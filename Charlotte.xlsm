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Master Program Seattle University\Courses\CPSC-5305 - Introduction of Data Science\Yelp Project\ExcelFiles\"/>
    </mc:Choice>
  </mc:AlternateContent>
  <xr:revisionPtr revIDLastSave="0" documentId="13_ncr:1_{078FFBDE-BE82-4CAF-A0F8-FC567B4184F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harlotte" sheetId="1" r:id="rId1"/>
  </sheets>
  <definedNames>
    <definedName name="_xlnm._FilterDatabase" localSheetId="0" hidden="1">Charlotte!$A$1:$JN$2711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0" i="1" l="1"/>
  <c r="A143" i="1"/>
  <c r="A226" i="1"/>
  <c r="A228" i="1"/>
  <c r="A276" i="1"/>
  <c r="A280" i="1"/>
  <c r="A300" i="1"/>
  <c r="A366" i="1"/>
  <c r="A450" i="1"/>
  <c r="A537" i="1"/>
  <c r="A541" i="1"/>
  <c r="A625" i="1"/>
  <c r="A663" i="1"/>
  <c r="A702" i="1"/>
  <c r="A786" i="1"/>
  <c r="A854" i="1"/>
  <c r="A953" i="1"/>
  <c r="A965" i="1"/>
  <c r="A1092" i="1"/>
  <c r="A1137" i="1"/>
  <c r="A1167" i="1"/>
  <c r="A1304" i="1"/>
  <c r="A1377" i="1"/>
  <c r="A1889" i="1"/>
  <c r="A1912" i="1"/>
  <c r="A2081" i="1"/>
  <c r="A2184" i="1"/>
  <c r="A2244" i="1"/>
  <c r="A2256" i="1"/>
  <c r="A2306" i="1"/>
  <c r="A2319" i="1"/>
  <c r="A2390" i="1"/>
  <c r="A2427" i="1"/>
  <c r="A2486" i="1"/>
  <c r="A2492" i="1"/>
  <c r="A2642" i="1"/>
</calcChain>
</file>

<file path=xl/sharedStrings.xml><?xml version="1.0" encoding="utf-8"?>
<sst xmlns="http://schemas.openxmlformats.org/spreadsheetml/2006/main" count="21605" uniqueCount="8938">
  <si>
    <t>business_id</t>
  </si>
  <si>
    <t>categories</t>
  </si>
  <si>
    <t>name</t>
  </si>
  <si>
    <t>address</t>
  </si>
  <si>
    <t>city</t>
  </si>
  <si>
    <t>state</t>
  </si>
  <si>
    <t>postal_code</t>
  </si>
  <si>
    <t>stars</t>
  </si>
  <si>
    <t>review_count</t>
  </si>
  <si>
    <t>is_open</t>
  </si>
  <si>
    <t>gnKjwL_1w79qoiV3IC_xQQ</t>
  </si>
  <si>
    <t>Sushi Bars, Restaurants, Japanese</t>
  </si>
  <si>
    <t>Musashi Japanese Restaurant</t>
  </si>
  <si>
    <t>10110 Johnston Rd, Ste 15</t>
  </si>
  <si>
    <t>Charlotte</t>
  </si>
  <si>
    <t>NC</t>
  </si>
  <si>
    <t>4.0</t>
  </si>
  <si>
    <t>BvYU3jvGd0TJ7IyZdfiN2Q</t>
  </si>
  <si>
    <t>Sandwiches, Italian, American (Traditional), American (New), Seafood, Steakhouses, Restaurants</t>
  </si>
  <si>
    <t>Manzetti's Tavern</t>
  </si>
  <si>
    <t>6401 Morrison Blvd</t>
  </si>
  <si>
    <t>3.5</t>
  </si>
  <si>
    <t>_J_x_RaYTqAqAuCwgRhnRQ</t>
  </si>
  <si>
    <t>Coffee &amp; Tea, Hookah Bars, Nightlife, Persian/Iranian, Country Dance Halls, Middle Eastern, Beer, Wine &amp; Spirits, Bars, Restaurants, Food, Lounges, Delis</t>
  </si>
  <si>
    <t>Kabob House</t>
  </si>
  <si>
    <t>6432 E Independence Blvd</t>
  </si>
  <si>
    <t>3.0</t>
  </si>
  <si>
    <t>U3kygJOTlTQFlfaZS7sQjA</t>
  </si>
  <si>
    <t>Caterers, Hot Dogs, Restaurants, Vegetarian, American (Traditional), Event Planning &amp; Services</t>
  </si>
  <si>
    <t>JJ's Red Hots - Dilworth</t>
  </si>
  <si>
    <t>1514 East Blvd</t>
  </si>
  <si>
    <t>CsLQLiRoafpJPJSkNX2h5Q</t>
  </si>
  <si>
    <t>Food, Grocery, Restaurants, Middle Eastern</t>
  </si>
  <si>
    <t>Middle East Deli</t>
  </si>
  <si>
    <t>4508 E Independence Blvd</t>
  </si>
  <si>
    <t>Ye6Bdtw2lq5Y6FeX-p377Q</t>
  </si>
  <si>
    <t>Vegan, Soul Food, Restaurants, Food, Juice Bars &amp; Smoothies</t>
  </si>
  <si>
    <t>Veltree</t>
  </si>
  <si>
    <t>7945 N Tryon St, Unit 110</t>
  </si>
  <si>
    <t>4.5</t>
  </si>
  <si>
    <t>xHZmM-kGXqOfmQNTm0T05g</t>
  </si>
  <si>
    <t>Burgers, Italian, Beauty &amp; Spas, Wine Bars, Barbers, Peruvian, American (Traditional), Bars, Gastropubs, Diners, Salad, Specialty Food, Restaurants, American (New), Nightlife, Cafes, Food</t>
  </si>
  <si>
    <t>Circles Grill and Market</t>
  </si>
  <si>
    <t>8129 Ardrey Kell Rd</t>
  </si>
  <si>
    <t>GiTv0gFXtYFQAzCXnPvepQ</t>
  </si>
  <si>
    <t>Restaurants, American (Traditional), American (New), Tex-Mex, Bars, Nightlife</t>
  </si>
  <si>
    <t>Chili's</t>
  </si>
  <si>
    <t>5521 Westpark Dr</t>
  </si>
  <si>
    <t>2.5</t>
  </si>
  <si>
    <t>ZBE-H_aUlicix_9vUGQPIQ</t>
  </si>
  <si>
    <t>Bars, Restaurants, Sports Bars, Chicken Wings, American (Traditional), Nightlife</t>
  </si>
  <si>
    <t>Hickory Tavern</t>
  </si>
  <si>
    <t>9010 Harris Corners Pkwy</t>
  </si>
  <si>
    <t>RGK23CEkDfYHWtUbRhA-bQ</t>
  </si>
  <si>
    <t>Burgers, Restaurants, American (New), Bars, American (Traditional), Nightlife</t>
  </si>
  <si>
    <t>The Turnhouse Grille</t>
  </si>
  <si>
    <t>1600 E Woodlawn Rd, Ste 100</t>
  </si>
  <si>
    <t>zUHIDqm_UKdnSygmWKtyRg</t>
  </si>
  <si>
    <t>Delis, Restaurants</t>
  </si>
  <si>
    <t>Food Lion</t>
  </si>
  <si>
    <t>3207 Eastway Dr</t>
  </si>
  <si>
    <t>CGUK3cd2gxp2q3KPY19Oog</t>
  </si>
  <si>
    <t>Breakfast &amp; Brunch, Restaurants, Coffee &amp; Tea, Cafes, Food</t>
  </si>
  <si>
    <t>Roots Cafe</t>
  </si>
  <si>
    <t>2135 Southend Dr, Ste 109</t>
  </si>
  <si>
    <t>uwpPniaFEVkK5T_PWdQZ0A</t>
  </si>
  <si>
    <t>Breakfast &amp; Brunch, Restaurants, Coffee &amp; Tea, American (Traditional), Food</t>
  </si>
  <si>
    <t>Le Peep</t>
  </si>
  <si>
    <t>8140-100 Providence Rd</t>
  </si>
  <si>
    <t>TreYsBGjXptogQQmQh1-bg</t>
  </si>
  <si>
    <t>Breakfast &amp; Brunch, Greek, American (Traditional), Restaurants, Mediterranean</t>
  </si>
  <si>
    <t>Showmars - Seventh Street</t>
  </si>
  <si>
    <t>2004 E 7th St</t>
  </si>
  <si>
    <t>QEgfK_TKY8bwK-YzKDdkGw</t>
  </si>
  <si>
    <t>French, Restaurants</t>
  </si>
  <si>
    <t>Lumiere French Kitchen</t>
  </si>
  <si>
    <t>1039 Providence Rd</t>
  </si>
  <si>
    <t>3aJEg4C6980DTPQrBHh6qQ</t>
  </si>
  <si>
    <t>Restaurants, Delis</t>
  </si>
  <si>
    <t>Just Fresh</t>
  </si>
  <si>
    <t>127 N Tryon St</t>
  </si>
  <si>
    <t>h1JiQERQeiV8kxv5KRjWYA</t>
  </si>
  <si>
    <t>Restaurants, Sandwiches</t>
  </si>
  <si>
    <t>Fresh Attractions</t>
  </si>
  <si>
    <t>5501 Josh Birmingham Pkwy</t>
  </si>
  <si>
    <t>vlLHfWn-Gyyfnh5Lp_kJsg</t>
  </si>
  <si>
    <t>Restaurants, Burgers</t>
  </si>
  <si>
    <t>Burger King</t>
  </si>
  <si>
    <t>10102 Johnston Rd</t>
  </si>
  <si>
    <t>U8ubLSxnCKRAJRmN1XWZaA</t>
  </si>
  <si>
    <t>Steakhouses, Restaurants</t>
  </si>
  <si>
    <t>Oak Steakhouse Charlotte</t>
  </si>
  <si>
    <t>4777 Sharon Rd</t>
  </si>
  <si>
    <t>uCgHhVx88-23VCZTdh8hxg</t>
  </si>
  <si>
    <t>Mediterranean, Greek, Restaurants, Sandwiches, Burgers</t>
  </si>
  <si>
    <t>Showmars - University</t>
  </si>
  <si>
    <t>115 McCullough Dr</t>
  </si>
  <si>
    <t>stCP0pdz5_3i7AAzmt5dSw</t>
  </si>
  <si>
    <t>Restaurants, Fast Food, Burgers</t>
  </si>
  <si>
    <t>Wendys</t>
  </si>
  <si>
    <t>3700 Wt Harris Blvd</t>
  </si>
  <si>
    <t>2.0</t>
  </si>
  <si>
    <t>bJ44rSxMNTAAF_WGI_jDEw</t>
  </si>
  <si>
    <t>Italian, Restaurants</t>
  </si>
  <si>
    <t>AQUA e VINO</t>
  </si>
  <si>
    <t>4219 Providence Rd, Ste 3</t>
  </si>
  <si>
    <t>YzMUZjUMcgI-NSGu48-nIQ</t>
  </si>
  <si>
    <t>Nightlife, Desserts, American (New), Food, Wine Bars, Bars, Restaurants, Italian</t>
  </si>
  <si>
    <t>Dolce Ristorante</t>
  </si>
  <si>
    <t>1710 Kenilworth Ave, Ste 203</t>
  </si>
  <si>
    <t>Pq2kDojfCW8B6s1ABna6ug</t>
  </si>
  <si>
    <t>Restaurants, Sushi Bars, American (New)</t>
  </si>
  <si>
    <t>505e</t>
  </si>
  <si>
    <t>505 E 6th St</t>
  </si>
  <si>
    <t>tdo6JvAKwmMAKU8T5jfORw</t>
  </si>
  <si>
    <t>Bars, Nightlife, Italian, Wine Bars, Restaurants</t>
  </si>
  <si>
    <t>Fidelli Kitchen</t>
  </si>
  <si>
    <t>1616 Camden Rd, Ste 100</t>
  </si>
  <si>
    <t>pCb0jYxksLR562vV7As1bQ</t>
  </si>
  <si>
    <t>Delis, Sandwiches, Restaurants, Salad</t>
  </si>
  <si>
    <t>Chris' Deli</t>
  </si>
  <si>
    <t>3619 E Independence Blvd</t>
  </si>
  <si>
    <t>pOoTOFxOh3UH03par0xEBg</t>
  </si>
  <si>
    <t>Food Trucks, Mexican, Restaurants, Food</t>
  </si>
  <si>
    <t>SoCal Taco Stand</t>
  </si>
  <si>
    <t>312 S Tryon St</t>
  </si>
  <si>
    <t>n-BoGXG2NItNbr_PMtIRBg</t>
  </si>
  <si>
    <t>Italian, Restaurants, Event Planning &amp; Services, Pizza, Caterers</t>
  </si>
  <si>
    <t>Amalfi's Pasta 'n' Pizza</t>
  </si>
  <si>
    <t>8542 University City Blvd</t>
  </si>
  <si>
    <t>S7JAMTags6lWb2Q3Nd2IKA</t>
  </si>
  <si>
    <t>Restaurants, Barbeque, Bars, Nightlife, Whiskey Bars</t>
  </si>
  <si>
    <t>Treehouse Bourbon &amp; BBQ</t>
  </si>
  <si>
    <t>4423 Sharon Rd</t>
  </si>
  <si>
    <t>tjAeaGdxf7I4xN9M7wGJNQ</t>
  </si>
  <si>
    <t>Vegetarian, Gluten-Free, Food, Restaurants, Pizza, Farmers Market</t>
  </si>
  <si>
    <t>Pure Pizza</t>
  </si>
  <si>
    <t>224 E 7th St</t>
  </si>
  <si>
    <t>9Zhiktm7_LYN_uxaT9XEhg</t>
  </si>
  <si>
    <t>Restaurants, Chinese</t>
  </si>
  <si>
    <t>The Wok</t>
  </si>
  <si>
    <t>11508 Providence Rd</t>
  </si>
  <si>
    <t>sHIG0hjQHoxal9a1zwSinw</t>
  </si>
  <si>
    <t>Ethiopian, Restaurants</t>
  </si>
  <si>
    <t>Abugida Ethiopian Cafe &amp; Restaurant</t>
  </si>
  <si>
    <t>3007 Central Ave</t>
  </si>
  <si>
    <t>5.0</t>
  </si>
  <si>
    <t>9p80iZvVnZdw9U5wtDyp4Q</t>
  </si>
  <si>
    <t>Sandwiches, Food, Meat Shops, Restaurants, Event Planning &amp; Services, Delis, Cafes, Caterers, Specialty Food</t>
  </si>
  <si>
    <t>Honey Baked Ham Company</t>
  </si>
  <si>
    <t>303 E Woodlawn Rd</t>
  </si>
  <si>
    <t>BpW65jN4yscndnTsdyzoHQ</t>
  </si>
  <si>
    <t>Caterers, Event Planning &amp; Services, Restaurants, Food, Food Stands, Arts &amp; Crafts, Shopping, Cooking Classes, Food Trucks</t>
  </si>
  <si>
    <t>Roots Catering</t>
  </si>
  <si>
    <t>3410 St Vardell Ln</t>
  </si>
  <si>
    <t>cZ86R4KIvSuTZiC5U4mhFg</t>
  </si>
  <si>
    <t>Food Stands, Restaurants, Food, Street Vendors</t>
  </si>
  <si>
    <t>Goody Woody's</t>
  </si>
  <si>
    <t>3016 Attaberry Dr</t>
  </si>
  <si>
    <t>yIxP32hWfZm5gyYUUh2WBA</t>
  </si>
  <si>
    <t>American (New), Wine Bars, Restaurants, Bars, Seafood, Nightlife</t>
  </si>
  <si>
    <t>Bonterra Restaurant &amp; Wine Room</t>
  </si>
  <si>
    <t>1829 Cleveland Ave</t>
  </si>
  <si>
    <t>ZCXjNG1EBFiKKMtR9DOTGg</t>
  </si>
  <si>
    <t>Seafood, Bars, Nightlife, Restaurants, Thai</t>
  </si>
  <si>
    <t>Thai House - University</t>
  </si>
  <si>
    <t>230 E Wt Harris Blvd, Ste B9</t>
  </si>
  <si>
    <t>xFSCaBlcnDXSGFPUtYtuXA</t>
  </si>
  <si>
    <t>Restaurants, Chicken Wings, Sandwiches, Pizza</t>
  </si>
  <si>
    <t>Fuel Pizza</t>
  </si>
  <si>
    <t>214 N Tryon St, Ste 130</t>
  </si>
  <si>
    <t>KEGLWeFAWXvo0W2LnujhtQ</t>
  </si>
  <si>
    <t>Vietnamese, Restaurants</t>
  </si>
  <si>
    <t>Lang Van Vietnamese</t>
  </si>
  <si>
    <t>3019 Shamrock Dr</t>
  </si>
  <si>
    <t>8fB3OodPzYuagvnEWzULeA</t>
  </si>
  <si>
    <t>Restaurants, Pizza</t>
  </si>
  <si>
    <t>Hungry Howie's Pizza</t>
  </si>
  <si>
    <t>10039 University City Blvd, Ste C</t>
  </si>
  <si>
    <t>CKNCkp6idxFd0KY18iGv5Q</t>
  </si>
  <si>
    <t>Soul Food, American (Traditional), Comfort Food, Restaurants</t>
  </si>
  <si>
    <t>Second Helping</t>
  </si>
  <si>
    <t>2903-C Central Ave</t>
  </si>
  <si>
    <t>D-RQsQjEVI_w-KC7iDJd5Q</t>
  </si>
  <si>
    <t>Asian Fusion, Restaurants, Vegetarian, Malaysian, Sushi Bars</t>
  </si>
  <si>
    <t>Cuisine Malaya</t>
  </si>
  <si>
    <t>1411 Elizabeth Ave</t>
  </si>
  <si>
    <t>WnLhd38sH80ViWwzyF7yoA</t>
  </si>
  <si>
    <t>Restaurants, Korean, Thai</t>
  </si>
  <si>
    <t>Hibiscus</t>
  </si>
  <si>
    <t>1600 E Woodlawn Rd, Ste 150</t>
  </si>
  <si>
    <t>LgRiEJPaocDHyRLLOh9iMQ</t>
  </si>
  <si>
    <t>Burgers, Restaurants, Fast Food, Coffee &amp; Tea, Food</t>
  </si>
  <si>
    <t>McDonald's</t>
  </si>
  <si>
    <t>9710 Rea Rd</t>
  </si>
  <si>
    <t>1.5</t>
  </si>
  <si>
    <t>5Nr1rkaTmyWqBAsil5CLDg</t>
  </si>
  <si>
    <t>Basque, Spanish, Tapas Bars, Wine Bars, Nightlife, Bars, Restaurants</t>
  </si>
  <si>
    <t>Arpa</t>
  </si>
  <si>
    <t>129-100 West Trade Street</t>
  </si>
  <si>
    <t>XdhisHedvykhoCnm6eS9-A</t>
  </si>
  <si>
    <t>Restaurants, Chicken Wings</t>
  </si>
  <si>
    <t>Wingstop</t>
  </si>
  <si>
    <t>6609 Monroe Rd Ste 110</t>
  </si>
  <si>
    <t>R1jJQi2yR44D_2ileqr8kA</t>
  </si>
  <si>
    <t>Restaurants, Vegan, Live/Raw Food, Vegetarian</t>
  </si>
  <si>
    <t>Living Kitchen</t>
  </si>
  <si>
    <t>2000 S Blvd, Ste 300</t>
  </si>
  <si>
    <t>DfD-xc8788c081WiFjluTA</t>
  </si>
  <si>
    <t>Tex-Mex, Restaurants, Mexican</t>
  </si>
  <si>
    <t>Tijuana Flats</t>
  </si>
  <si>
    <t>8926 J M Keynes Dr</t>
  </si>
  <si>
    <t>Seafood, American (New), Restaurants, Steakhouses</t>
  </si>
  <si>
    <t>Mickey &amp; Mooch</t>
  </si>
  <si>
    <t>8128 Providence Rd</t>
  </si>
  <si>
    <t>kRhjWeAPs-U5RmakIKz0Pg</t>
  </si>
  <si>
    <t>Irish Pub, Bars, British, Pubs, Burgers, Restaurants, Sandwiches, Irish, American (New), Nightlife</t>
  </si>
  <si>
    <t>Tyber Creek Pub</t>
  </si>
  <si>
    <t>1933 South Blvd</t>
  </si>
  <si>
    <t>IGkgcygg4nYYg2-jE5hnSw</t>
  </si>
  <si>
    <t>Fast Food, Burgers, Restaurants</t>
  </si>
  <si>
    <t>Wendy's</t>
  </si>
  <si>
    <t>4510 Billy Graham Pkwy</t>
  </si>
  <si>
    <t>FBSWwaE6gR7KAOyG1QhakQ</t>
  </si>
  <si>
    <t>Butcher, Nightlife, Food, American (New), Restaurants, Bars, Cocktail Bars</t>
  </si>
  <si>
    <t>Block &amp; Grinder</t>
  </si>
  <si>
    <t>2935 Providence Rd</t>
  </si>
  <si>
    <t>N9jmzeBT-6vQxbpC9yl8Aw</t>
  </si>
  <si>
    <t>Restaurants, American (New)</t>
  </si>
  <si>
    <t>Fifty 1</t>
  </si>
  <si>
    <t>7715 Pineville Matthews Rd</t>
  </si>
  <si>
    <t>67FzueRMlcTQV3Nuep2qPw</t>
  </si>
  <si>
    <t>Lotus Chinese Cuisine</t>
  </si>
  <si>
    <t>3716 W Wt Harris Blvd</t>
  </si>
  <si>
    <t>XlOtdDY_7VNieWYyMyic7Q</t>
  </si>
  <si>
    <t>Food, Salad, Sandwiches, Burgers, Fast Food, Juice Bars &amp; Smoothies, Restaurants, American (Traditional)</t>
  </si>
  <si>
    <t>B.GOOD</t>
  </si>
  <si>
    <t>7926 Rea Rd</t>
  </si>
  <si>
    <t>0LPVkxZ-Ab9Jx6_ytA-Yew</t>
  </si>
  <si>
    <t>Sandwiches, Coffee &amp; Tea, Restaurants, Bubble Tea, Desserts, Cafes, Food</t>
  </si>
  <si>
    <t>Tea Fusion Cafe</t>
  </si>
  <si>
    <t>440 E McCollough Dr</t>
  </si>
  <si>
    <t>9BBWtaSvsootDkKTVBgv_A</t>
  </si>
  <si>
    <t>Chinese, Restaurants, Buffets, Asian Fusion, Japanese</t>
  </si>
  <si>
    <t>Jasmine Buffet</t>
  </si>
  <si>
    <t>2305 Westinghouse Blvd, Ste A</t>
  </si>
  <si>
    <t>dlNvGczOrYuaH-LWxaSaTw</t>
  </si>
  <si>
    <t>American (Traditional), Restaurants, Chicken Wings</t>
  </si>
  <si>
    <t>Anthonys Restaurant of Charlotte</t>
  </si>
  <si>
    <t>2823 W Sugar Creek Rd</t>
  </si>
  <si>
    <t>5V9i2FuhQ3o8ynYwbubmQg</t>
  </si>
  <si>
    <t>Sports Bars, American (New), Bars, Nightlife, Restaurants</t>
  </si>
  <si>
    <t>Uptown Bar &amp;  Lounge</t>
  </si>
  <si>
    <t>108H_8aEgOH5uz_C9hBgUQ</t>
  </si>
  <si>
    <t>Restaurants, Fast Food</t>
  </si>
  <si>
    <t>Jack In the Box</t>
  </si>
  <si>
    <t>335 Westinghouse Blvd</t>
  </si>
  <si>
    <t>QX1OK1-qljE7g-X9gNta_Q</t>
  </si>
  <si>
    <t>American (New), Bars, Restaurants, Wine Bars, Nightlife</t>
  </si>
  <si>
    <t>Pennyard Bistro &amp; Winery</t>
  </si>
  <si>
    <t>8006 Cambridge Commons Dr</t>
  </si>
  <si>
    <t>Yg_erZ2xWHT1k0HW8FWzLg</t>
  </si>
  <si>
    <t>Chicken Wings, Fast Food, Restaurants, Chicken Shop</t>
  </si>
  <si>
    <t>KFC</t>
  </si>
  <si>
    <t>4601 N Tryon St</t>
  </si>
  <si>
    <t>1.0</t>
  </si>
  <si>
    <t>n-60saMwDrwBuQ8P7ByXJg</t>
  </si>
  <si>
    <t>Cafes, Restaurants, Coffee &amp; Tea, Diners, Food</t>
  </si>
  <si>
    <t>Tic Toc Diner &amp; Catering</t>
  </si>
  <si>
    <t>512 N Tryon St</t>
  </si>
  <si>
    <t>h7uxML49NQ_Wj-7zk0DSqg</t>
  </si>
  <si>
    <t>Breakfast &amp; Brunch, Restaurants, American (Traditional), Southern, Burgers</t>
  </si>
  <si>
    <t>O'Charley's Restaurant &amp; Bar</t>
  </si>
  <si>
    <t>8420 University City Blvd</t>
  </si>
  <si>
    <t>fYTfTGqseS7rJk9AMt2zvw</t>
  </si>
  <si>
    <t>Restaurants, Tex-Mex, Mexican</t>
  </si>
  <si>
    <t>On The Border Mexican Grill &amp; Cantina</t>
  </si>
  <si>
    <t>10710 Providence Rd</t>
  </si>
  <si>
    <t>hf2oiNqYYWoF2-iNYSnOMg</t>
  </si>
  <si>
    <t>Chinese, Restaurants</t>
  </si>
  <si>
    <t>China Fun</t>
  </si>
  <si>
    <t>9020 Albemarle Rd, Ste D</t>
  </si>
  <si>
    <t>zgtgMlvFk5Ilrs1yj78tdA</t>
  </si>
  <si>
    <t>Restaurants, Sandwiches, Pizza, Italian</t>
  </si>
  <si>
    <t>8334 Pineville-Matthews Rd</t>
  </si>
  <si>
    <t>qmd7qiygopG67rxb_3190A</t>
  </si>
  <si>
    <t>Napoli Pizza &amp; Pasta</t>
  </si>
  <si>
    <t>4113-A Monroe Rd</t>
  </si>
  <si>
    <t>QCUjHPu7OF_bqfjnehlQaQ</t>
  </si>
  <si>
    <t>Food, Nightlife, Mediterranean, Wine Bars, American (New), Desserts, Breakfast &amp; Brunch, Bars, Restaurants</t>
  </si>
  <si>
    <t>Nolen Kitchen</t>
  </si>
  <si>
    <t>2839 Selwyn Ave, Ste X</t>
  </si>
  <si>
    <t>d8lmIZIqmBC9oPM8y1dc7Q</t>
  </si>
  <si>
    <t>Tex-Mex, Restaurants, Bars, Mexican, Tacos, Nightlife</t>
  </si>
  <si>
    <t>Paco's Tacos &amp; Tequila</t>
  </si>
  <si>
    <t>6401 Morrison Blvd, Ste 8A</t>
  </si>
  <si>
    <t>VRUtFKBw21UqtJpXUXSp_A</t>
  </si>
  <si>
    <t>Burgers, Hot Dogs, Restaurants, Fast Food</t>
  </si>
  <si>
    <t>3421 Wilkinson Blvd</t>
  </si>
  <si>
    <t>3tZDHQnqe9X6LVNadqFq1Q</t>
  </si>
  <si>
    <t>Sandwiches, Burgers, American (Traditional), Restaurants</t>
  </si>
  <si>
    <t>American Burger</t>
  </si>
  <si>
    <t>5349 Ballantyne Commons Pkwy</t>
  </si>
  <si>
    <t>ohjBWS_-x0Db1FeYluJuIw</t>
  </si>
  <si>
    <t>American (Traditional), Food, Restaurants, Ice Cream &amp; Frozen Yogurt</t>
  </si>
  <si>
    <t>Snoop's Grill</t>
  </si>
  <si>
    <t>415 Hawthorne Ln</t>
  </si>
  <si>
    <t>RMzjD_LpED02tGGafX0RBw</t>
  </si>
  <si>
    <t>American (Traditional), Caterers, Barbeque, Event Planning &amp; Services, Restaurants</t>
  </si>
  <si>
    <t>City Barbeque</t>
  </si>
  <si>
    <t>11212 Providence Rd W</t>
  </si>
  <si>
    <t>KbhrsTQEea2RF_94YWnBdQ</t>
  </si>
  <si>
    <t>Mexican, Restaurants</t>
  </si>
  <si>
    <t>Anita's Mexican Grill</t>
  </si>
  <si>
    <t>2904 Yorkmont Rd, Ste C</t>
  </si>
  <si>
    <t>Rmj0NYF_Id_2rZzocx-Vyw</t>
  </si>
  <si>
    <t>Pizza, Restaurants</t>
  </si>
  <si>
    <t>Papa John's Pizza</t>
  </si>
  <si>
    <t>6411 Freedom Dr</t>
  </si>
  <si>
    <t>rF5PLlOXehPg-Dy3FiJl8A</t>
  </si>
  <si>
    <t>Sandwiches, Pizza, Chicken Wings, Fast Food, Restaurants</t>
  </si>
  <si>
    <t>Domino's</t>
  </si>
  <si>
    <t>1428 East 4th St</t>
  </si>
  <si>
    <t>TkXmhC7ZDA5H2tebIXH2_Q</t>
  </si>
  <si>
    <t>Buffets, Restaurants, Chinese</t>
  </si>
  <si>
    <t>Ichiban Buffet</t>
  </si>
  <si>
    <t>7201 Albemarle Rd</t>
  </si>
  <si>
    <t>ZCsvwa_dsqNB8d8tYHPdjw</t>
  </si>
  <si>
    <t>Restaurants, Pubs, Bars, Fish &amp; Chips, Nightlife</t>
  </si>
  <si>
    <t>Sir Edmond Halley's</t>
  </si>
  <si>
    <t>4151A Park Rd</t>
  </si>
  <si>
    <t>nLmgrCtMOkenVoJm2n8O4g</t>
  </si>
  <si>
    <t>Restaurants, Food, Coffee &amp; Tea</t>
  </si>
  <si>
    <t>Caribou Coffee</t>
  </si>
  <si>
    <t>100 N Tryon St</t>
  </si>
  <si>
    <t>R3BBuHmher7d0QouLbJLjQ</t>
  </si>
  <si>
    <t>Salad, Sandwiches, Delis, Restaurants</t>
  </si>
  <si>
    <t>McAlister's Deli</t>
  </si>
  <si>
    <t>4830 Berewick Town Center Drive</t>
  </si>
  <si>
    <t>wiPtQK7_QAkUUMQtyiaUNg</t>
  </si>
  <si>
    <t>American (New), Cajun/Creole, Breakfast &amp; Brunch, Restaurants</t>
  </si>
  <si>
    <t>Mimi's Cafe</t>
  </si>
  <si>
    <t>10224 Perimeter Pkwy</t>
  </si>
  <si>
    <t>RMnRn8TlJEva0l3UfForaw</t>
  </si>
  <si>
    <t>Restaurants, Food, Food Trucks, Southern</t>
  </si>
  <si>
    <t>Sugar Daddy's Food Truck</t>
  </si>
  <si>
    <t>taXtOYdA_oSqO1FM2EZwtA</t>
  </si>
  <si>
    <t>Bars, Restaurants, Trinidadian, Caribbean, Nightlife, Music Venues, Arts &amp; Entertainment</t>
  </si>
  <si>
    <t>Twilight Lounge</t>
  </si>
  <si>
    <t>7030 Smith Corners Blvd, Ste C</t>
  </si>
  <si>
    <t>9K2FHkajUaTU4P2cfFJmGQ</t>
  </si>
  <si>
    <t>Food, Indian, Restaurants</t>
  </si>
  <si>
    <t>Peacock India Restaurant</t>
  </si>
  <si>
    <t>230 E Wt Harris Blvd</t>
  </si>
  <si>
    <t>MGYVtKoCsLnuy6iyEuVBgQ</t>
  </si>
  <si>
    <t>Tapas/Small Plates, Bars, American (New), Hookah Bars, Seafood, Nightlife, American (Traditional), Restaurants, Beer, Wine &amp; Spirits, Lounges, Food</t>
  </si>
  <si>
    <t>7th District Restaurant &amp; Lounge</t>
  </si>
  <si>
    <t>321 N Caldwell St</t>
  </si>
  <si>
    <t>fD44IFB9Xxo5pkWXSJes7w</t>
  </si>
  <si>
    <t>American (New), Restaurants</t>
  </si>
  <si>
    <t>Sonoma Modern America</t>
  </si>
  <si>
    <t>Bank of America Corporate Center, 100 N Tryon St</t>
  </si>
  <si>
    <t>c50HBldFU8BXUIW6WFXTAw</t>
  </si>
  <si>
    <t>American (Traditional), Sandwiches, Food, Restaurants, Fast Food</t>
  </si>
  <si>
    <t>Subway</t>
  </si>
  <si>
    <t>7747 N Tryon St</t>
  </si>
  <si>
    <t>sSExaL8luneZit55NqQ2uA</t>
  </si>
  <si>
    <t>Pubs, Sandwiches, Nightlife, Bars, American (New), Sports Bars, Restaurants</t>
  </si>
  <si>
    <t>Malone's Pourhouse</t>
  </si>
  <si>
    <t>Seneca Place Shopping Center, 5033 S Blvd N</t>
  </si>
  <si>
    <t>vxadNrpTY7OHNmWsrEpNnA</t>
  </si>
  <si>
    <t>Mediterranean, Italian, Restaurants, Greek, Breakfast &amp; Brunch, Diners</t>
  </si>
  <si>
    <t>Landmark Diner Restaurant</t>
  </si>
  <si>
    <t>4429 Central Ave</t>
  </si>
  <si>
    <t>YiuMBA2u2F_WR3kOIuW_iw</t>
  </si>
  <si>
    <t>Caribbean, Restaurants</t>
  </si>
  <si>
    <t>Caribbean Hut</t>
  </si>
  <si>
    <t>200 W Woodlawn Rd</t>
  </si>
  <si>
    <t>ro-4-3USXvGKnp07BrxSKg</t>
  </si>
  <si>
    <t>Indian, Restaurants</t>
  </si>
  <si>
    <t>Godavari</t>
  </si>
  <si>
    <t>520 University Center Blvd</t>
  </si>
  <si>
    <t>xYy54Y2VTBAG5k7WJcaH4A</t>
  </si>
  <si>
    <t>Italian, Restaurants, French</t>
  </si>
  <si>
    <t>Terra</t>
  </si>
  <si>
    <t>545 Providence Rd</t>
  </si>
  <si>
    <t>K4ibWLIMnbqwLzVkAlHFzA</t>
  </si>
  <si>
    <t>Beer Bar, Mexican, Food, Beer Gardens, Restaurants, Wine Bars, Bars, Beer, Wine &amp; Spirits, Nightlife, Food Trucks</t>
  </si>
  <si>
    <t>Max &amp; Lola Bodega</t>
  </si>
  <si>
    <t>1501 S Mint St</t>
  </si>
  <si>
    <t>XuKkLgZbcdNOJ0EDlydnNQ</t>
  </si>
  <si>
    <t>Sandwiches, Restaurants, Fast Food</t>
  </si>
  <si>
    <t>201 N Tryon St, Ste 1020</t>
  </si>
  <si>
    <t>oV4wXa9_GEZWAYlyqKH8Ag</t>
  </si>
  <si>
    <t>Bars, Nightlife, Beer Bar, Restaurants</t>
  </si>
  <si>
    <t>Billy Jack's Shack</t>
  </si>
  <si>
    <t>3220 N Davidson St</t>
  </si>
  <si>
    <t>YmVcOfuPXRmyse8Rq7S6vQ</t>
  </si>
  <si>
    <t>Scottish, Nightlife, Restaurants, Irish, Pubs, Bars</t>
  </si>
  <si>
    <t>Molly MacPherson's Scottish Pubs &amp; Grill</t>
  </si>
  <si>
    <t>127 N Tryon St, Unit 8</t>
  </si>
  <si>
    <t>WV_35Z3NEg6WRPPW92E-NA</t>
  </si>
  <si>
    <t>Delis, Sandwiches, Restaurants</t>
  </si>
  <si>
    <t>The Salvador Deli</t>
  </si>
  <si>
    <t>3215 N Davidson St</t>
  </si>
  <si>
    <t>b42EKdSk61zd_FEqEwioYQ</t>
  </si>
  <si>
    <t>Seafood, Nightlife, Bars, Sushi Bars, Wine Bars, Restaurants, Breakfast &amp; Brunch</t>
  </si>
  <si>
    <t>Upstream</t>
  </si>
  <si>
    <t>6902 Phillips Place Ct</t>
  </si>
  <si>
    <t>Qh9sS8XjuO6tuvGWFqPsPQ</t>
  </si>
  <si>
    <t>Restaurants, Burgers, Fast Food, American (New)</t>
  </si>
  <si>
    <t>Five Guys</t>
  </si>
  <si>
    <t>9820 Rea Rd</t>
  </si>
  <si>
    <t>gZ07ufIQwnFjXUP-FWDt4Q</t>
  </si>
  <si>
    <t>Sandwiches, Fast Food, Restaurants, Delis</t>
  </si>
  <si>
    <t>Jersey Mike's Subs</t>
  </si>
  <si>
    <t>7828 Rea Rd</t>
  </si>
  <si>
    <t>2232XZ-3ub4S9cmrHJSDFg</t>
  </si>
  <si>
    <t>Desserts, Food, Ice Cream &amp; Frozen Yogurt, Juice Bars &amp; Smoothies, Restaurants, Sandwiches</t>
  </si>
  <si>
    <t>Ninety's Ice Cream &amp; Sandwiches</t>
  </si>
  <si>
    <t>9009 J M Keynes Dr, Ste 4</t>
  </si>
  <si>
    <t>PeVgw94It7HBBLkIbOoAng</t>
  </si>
  <si>
    <t>Japanese, Restaurants</t>
  </si>
  <si>
    <t>Hibachi Grill</t>
  </si>
  <si>
    <t>3657 E Independence Blvd</t>
  </si>
  <si>
    <t>2S6p5ICNswz_EdgcZk76qQ</t>
  </si>
  <si>
    <t>Bars, Sandwiches, Restaurants, Beer Bar, Nightlife, American (New), Beer, Wine &amp; Spirits, Chicken Wings, Burgers, Sports Bars, Pizza, Food, American (Traditional), Cheesesteaks</t>
  </si>
  <si>
    <t>Duckworth's Kitchen &amp; Taphouse</t>
  </si>
  <si>
    <t>4435 Park Rd</t>
  </si>
  <si>
    <t>XPPt-Z9t3LWhsomIpQ-Thw</t>
  </si>
  <si>
    <t>Sandwiches, Restaurants, Salad, American (Traditional)</t>
  </si>
  <si>
    <t>Park 51 Cafe</t>
  </si>
  <si>
    <t>10703 Park Rd</t>
  </si>
  <si>
    <t>K5sUVFSGFEZosixSXgx5sw</t>
  </si>
  <si>
    <t>American (Traditional), Restaurants, Fast Food, Burgers</t>
  </si>
  <si>
    <t>Shake Shack</t>
  </si>
  <si>
    <t>1605 E Woodlawn Rd</t>
  </si>
  <si>
    <t>y_ktxjYF2WJ__IA05ctSBw</t>
  </si>
  <si>
    <t>Event Planning &amp; Services, Barbeque, Restaurants, Caterers, American (New)</t>
  </si>
  <si>
    <t>Sonny's BBQ</t>
  </si>
  <si>
    <t>3351-300 Pineville Matthews Road</t>
  </si>
  <si>
    <t>Fufm0lM0opOKXiu30ZQjDA</t>
  </si>
  <si>
    <t>Thai, Restaurants</t>
  </si>
  <si>
    <t>Bangkok Ocha</t>
  </si>
  <si>
    <t>7629 Pineville Matthws Rd</t>
  </si>
  <si>
    <t>k-drEjxKmfqllwfY90STfA</t>
  </si>
  <si>
    <t>Nightlife, Breakfast &amp; Brunch, Bars, Latin American, Mexican, Gluten-Free, Restaurants, Tex-Mex</t>
  </si>
  <si>
    <t>Cantina 1511</t>
  </si>
  <si>
    <t>4271B Park Rd, Ste B</t>
  </si>
  <si>
    <t>JUhX-FMEqwojDlwHIS-9ng</t>
  </si>
  <si>
    <t>Restaurants, Greek, Mediterranean</t>
  </si>
  <si>
    <t>PeÃƒÂ±o Mediterranean Grill</t>
  </si>
  <si>
    <t>2115 East Arbors Dr, Ste 190</t>
  </si>
  <si>
    <t>DYX1KsipIxOzz_pqlvUzvg</t>
  </si>
  <si>
    <t>Restaurants, Italian, Pizza</t>
  </si>
  <si>
    <t>Capriccio</t>
  </si>
  <si>
    <t>9611 Brookdale Dr</t>
  </si>
  <si>
    <t>0GS6_96ld7mdEfgKhoDliA</t>
  </si>
  <si>
    <t>American (Traditional), Sports Bars, Pubs, Pool Halls, Bars, Restaurants, Nightlife</t>
  </si>
  <si>
    <t>Angry Ale's</t>
  </si>
  <si>
    <t>1518 Montford Dr</t>
  </si>
  <si>
    <t>3C0bnFhjkgYP9mWORKg6cA</t>
  </si>
  <si>
    <t>Hot Dogs, Food, Street Vendors, Restaurants</t>
  </si>
  <si>
    <t>Chili Man</t>
  </si>
  <si>
    <t>S Tryon</t>
  </si>
  <si>
    <t>b9caA3rPbseGPG1oycDiCA</t>
  </si>
  <si>
    <t>Diners, Waffles, Breakfast &amp; Brunch, American (Traditional), Restaurants</t>
  </si>
  <si>
    <t>Waffle House</t>
  </si>
  <si>
    <t>2125 W Arrowood Rd</t>
  </si>
  <si>
    <t>JQ4E1Im1dHMpDa1s4vJMoQ</t>
  </si>
  <si>
    <t>Vegetarian, Restaurants, Indian</t>
  </si>
  <si>
    <t>Woodlands</t>
  </si>
  <si>
    <t>7128 Albemarle Rd</t>
  </si>
  <si>
    <t>AXQ6qAqYhB7sTrS0BY2ymg</t>
  </si>
  <si>
    <t>Restaurants, Food Trucks, Mexican, Food</t>
  </si>
  <si>
    <t>Tacos Rick-O</t>
  </si>
  <si>
    <t>3500 Latrobe Dr</t>
  </si>
  <si>
    <t>DUSAjTJ3l_bavvo9uqPo_w</t>
  </si>
  <si>
    <t>Middle Eastern, Restaurants, Halal</t>
  </si>
  <si>
    <t>Aly Baba</t>
  </si>
  <si>
    <t>3145 N Sharon Amity Rd</t>
  </si>
  <si>
    <t>ICqeMnKHCj1LDboz8nyWnQ</t>
  </si>
  <si>
    <t>Bars, Breweries, Nightlife, Beer Bar, Beer Gardens, Restaurants, Sandwiches, Food</t>
  </si>
  <si>
    <t>Carolina Beer Temple</t>
  </si>
  <si>
    <t>2127 Ayrsley Town Blvd, Ste 10</t>
  </si>
  <si>
    <t>rjQDqMUZMigAVHmyb_5nRg</t>
  </si>
  <si>
    <t>Blackthorne</t>
  </si>
  <si>
    <t>11318 N Community House Rd, Ste 200</t>
  </si>
  <si>
    <t>lO-IY5X36bLI8vnQR4O18A</t>
  </si>
  <si>
    <t>Bakeries, Indian, Restaurants, Food</t>
  </si>
  <si>
    <t>Curry n Cake</t>
  </si>
  <si>
    <t>2015 E Arbors Dr, Ste 270</t>
  </si>
  <si>
    <t>bjzFOyHG4Ux1CPCIk-b_5A</t>
  </si>
  <si>
    <t>Restaurants, American (Traditional), Nightlife, American (New), Sports Bars, Bars, Food</t>
  </si>
  <si>
    <t>NoDa 101</t>
  </si>
  <si>
    <t>3205 N Davidson St, Unit 101</t>
  </si>
  <si>
    <t>HCvSXTYw0WoszrJlffsRSg</t>
  </si>
  <si>
    <t>Hong Phat Restaurant</t>
  </si>
  <si>
    <t>2400 Tuckaseegee Rd</t>
  </si>
  <si>
    <t>pI4w-MXCGbgDJh9Q97C-jg</t>
  </si>
  <si>
    <t>Greek, Mediterranean, Restaurants</t>
  </si>
  <si>
    <t>Greco Fresh Grille</t>
  </si>
  <si>
    <t>7731 Colony Rd, Ste F3</t>
  </si>
  <si>
    <t>vodVvMALuQPScQJpLhfcyg</t>
  </si>
  <si>
    <t>Bakeries, Restaurants, Food</t>
  </si>
  <si>
    <t>Nova's Bakery</t>
  </si>
  <si>
    <t>1511 Central Ave</t>
  </si>
  <si>
    <t>rNoMSO6AsegKb9-p6Ir7SQ</t>
  </si>
  <si>
    <t>Nightlife, Pubs, American (Traditional), Restaurants, Bars</t>
  </si>
  <si>
    <t>Thomas Street Tavern</t>
  </si>
  <si>
    <t>1228 Thomas Ave</t>
  </si>
  <si>
    <t>SDdB_gFAWW23cNmtwT-dAA</t>
  </si>
  <si>
    <t>Maria's Mexican Restaurant</t>
  </si>
  <si>
    <t>5234 South Blvd</t>
  </si>
  <si>
    <t>sqdhck-Ad8UiBTVRbhdepw</t>
  </si>
  <si>
    <t>Coffee &amp; Tea, Sandwiches, Breakfast &amp; Brunch, Food, Restaurants, Donuts, Cafes</t>
  </si>
  <si>
    <t>Rise Biscuits Donuts</t>
  </si>
  <si>
    <t>12807 S Tryon St</t>
  </si>
  <si>
    <t>cXHKyZfuaObtVi10hQqLcg</t>
  </si>
  <si>
    <t>Salad, Restaurants, Food, American (Traditional), Juice Bars &amp; Smoothies</t>
  </si>
  <si>
    <t>400 S Tryon St, Unit  R1</t>
  </si>
  <si>
    <t>5aGYZbjkXpCecz4QH2ZKFg</t>
  </si>
  <si>
    <t>Restaurants, Chinese, Buffets</t>
  </si>
  <si>
    <t>Dragon Buffet</t>
  </si>
  <si>
    <t>8170 S Tryon St</t>
  </si>
  <si>
    <t>rv0-ZcAbWkvpomaK0BhQrA</t>
  </si>
  <si>
    <t>American (New), Restaurants, Seafood, Cocktail Bars, Bars, Nightlife</t>
  </si>
  <si>
    <t>Fin &amp; Fino</t>
  </si>
  <si>
    <t>135 Levine Avenue Of The Arts, Ste 100</t>
  </si>
  <si>
    <t>NVJ1rVXyThay6Om-Q2LKJA</t>
  </si>
  <si>
    <t>Restaurants, Greek, Lebanese, Specialty Food, Middle Eastern, Ethnic Food, Food, Mediterranean, Grocery</t>
  </si>
  <si>
    <t>Cedar Land</t>
  </si>
  <si>
    <t>4832 Central Ave, Ste D</t>
  </si>
  <si>
    <t>KljAJzE4WuV1ay503jjP6w</t>
  </si>
  <si>
    <t>Chopsticks</t>
  </si>
  <si>
    <t>10039 University City Blvd</t>
  </si>
  <si>
    <t>SsJAn_JvZC4cbAg_eHUGpw</t>
  </si>
  <si>
    <t>Greek, Restaurants, Fast Food, American (Traditional)</t>
  </si>
  <si>
    <t>Showmars - Park Cedar</t>
  </si>
  <si>
    <t>9925 Park Cedar Dr</t>
  </si>
  <si>
    <t>Ad6MuVLFW4PlFZ4cAEnfwQ</t>
  </si>
  <si>
    <t>Coffee &amp; Tea, Themed Cafes, Bars, Wine Bars, Pets, Shopping, Gift Shops, Food, Restaurants, Flowers &amp; Gifts, Nightlife, Cafes</t>
  </si>
  <si>
    <t>Daily Mews Cat Cafe</t>
  </si>
  <si>
    <t>3748 Monroe Rd</t>
  </si>
  <si>
    <t>gxy5B_IhNpRFqobsffO0Tw</t>
  </si>
  <si>
    <t>Restaurants, Bars, Nightlife, Pizza</t>
  </si>
  <si>
    <t>Hawthorne's NY Pizza &amp; Bar</t>
  </si>
  <si>
    <t>6215 Old Post Rd, Ste 101</t>
  </si>
  <si>
    <t>ieL2bzG1mQ_4wbWZ9Y3mVg</t>
  </si>
  <si>
    <t>Restaurants, Caribbean, Food, Soul Food, Grocery</t>
  </si>
  <si>
    <t>Island Grocery</t>
  </si>
  <si>
    <t>5861 Albemarle Rd</t>
  </si>
  <si>
    <t>tLSgXuy0g8nxX6Xgb7nvrw</t>
  </si>
  <si>
    <t>Lotus Buffet</t>
  </si>
  <si>
    <t>9605 N Tryon St</t>
  </si>
  <si>
    <t>FX43CMUW4ISt_9D-5nKQlg</t>
  </si>
  <si>
    <t>Restaurants, American (Traditional)</t>
  </si>
  <si>
    <t>Chili's Grill &amp; Bar</t>
  </si>
  <si>
    <t>Charlotte International Airport, 5501 Josh Birmingham Pkwy</t>
  </si>
  <si>
    <t>zXsB61ZYYsTCaKYOTYr1Tg</t>
  </si>
  <si>
    <t>Hot Dogs, Burgers, Fast Food, Restaurants</t>
  </si>
  <si>
    <t>1110 W Sugar Creek Rd</t>
  </si>
  <si>
    <t>urgjbqhtZD20G5h3XM76wQ</t>
  </si>
  <si>
    <t>Restaurants, Food, Food Trucks, Halal</t>
  </si>
  <si>
    <t>Mi Barrio's Halal Cart</t>
  </si>
  <si>
    <t>101 N Tryon St</t>
  </si>
  <si>
    <t>mkow7OZ2PZSUjhQ3x3SVbg</t>
  </si>
  <si>
    <t>Nightlife, Restaurants, Bars, Sports Bars</t>
  </si>
  <si>
    <t>Home Team Sports</t>
  </si>
  <si>
    <t>3346 Little Rock Rd</t>
  </si>
  <si>
    <t>Mediterranean, Greek, Breakfast &amp; Brunch, American (Traditional), Restaurants</t>
  </si>
  <si>
    <t>Chuck's Grill</t>
  </si>
  <si>
    <t>8001 Old Statesville Rd</t>
  </si>
  <si>
    <t>Ri2IkvrDVM20XBNH1034Qw</t>
  </si>
  <si>
    <t>Honduran, Breakfast &amp; Brunch, Restaurants, Latin American</t>
  </si>
  <si>
    <t>La Catracha</t>
  </si>
  <si>
    <t>820 E Arrowood Rd, Ste D</t>
  </si>
  <si>
    <t>QnD4hpjwW8QySEh2R_UHpQ</t>
  </si>
  <si>
    <t>Royal Panda</t>
  </si>
  <si>
    <t>9100 S Tryon St, Ste B</t>
  </si>
  <si>
    <t>sbb9isKQySeqf8l_rLKjXA</t>
  </si>
  <si>
    <t>Restaurants, American (Traditional), Seafood</t>
  </si>
  <si>
    <t>The Deck</t>
  </si>
  <si>
    <t>1514 E Blvd</t>
  </si>
  <si>
    <t>ALwAlxItASeEs2vYAeLXHA</t>
  </si>
  <si>
    <t>Asian Fusion, Ramen, Japanese, Restaurants</t>
  </si>
  <si>
    <t>Futo Buta</t>
  </si>
  <si>
    <t>222 Bland St</t>
  </si>
  <si>
    <t>v4HpZFOU3mvIeuHLRSIi7g</t>
  </si>
  <si>
    <t>Salad, Thai, Sushi Bars, Restaurants</t>
  </si>
  <si>
    <t>Bahn Thai</t>
  </si>
  <si>
    <t>12206 Copper Way, Ste 122</t>
  </si>
  <si>
    <t>AYL_y8ahquUW0o-cvIyLbg</t>
  </si>
  <si>
    <t>Junior's Pizzeria</t>
  </si>
  <si>
    <t>2908 Oak Lake Blvd</t>
  </si>
  <si>
    <t>f_R4-FMtQ2Dj6m8LNuse1w</t>
  </si>
  <si>
    <t>Pizza, Chicken Wings, Restaurants, Italian</t>
  </si>
  <si>
    <t>Libretto's Pizzeria</t>
  </si>
  <si>
    <t>15205 John J Delaney Dr, Ste A</t>
  </si>
  <si>
    <t>KxrdZP_HuY9Pcf3-gzZzDA</t>
  </si>
  <si>
    <t>Hot Dogs, Burgers, Sandwiches, Restaurants</t>
  </si>
  <si>
    <t>BT's Burger Joint</t>
  </si>
  <si>
    <t>1d3nPqv_WhZMsNOB22EawA</t>
  </si>
  <si>
    <t>Restaurants, Burgers, Hot Dogs</t>
  </si>
  <si>
    <t>119 N Sharon Amity Rd</t>
  </si>
  <si>
    <t>UPjIiLldv0TD6y87fDofzg</t>
  </si>
  <si>
    <t>Latin American, Asian Fusion, Restaurants</t>
  </si>
  <si>
    <t>Zen Taco</t>
  </si>
  <si>
    <t>200 S College St</t>
  </si>
  <si>
    <t>nEQFnHydeX2A3bRRDAKqQg</t>
  </si>
  <si>
    <t>Tex-Mex, Mexican, Restaurants</t>
  </si>
  <si>
    <t>Chuy's</t>
  </si>
  <si>
    <t>4310 Sharon Rd</t>
  </si>
  <si>
    <t>afuh98hZmRUPS_H2wl6y4g</t>
  </si>
  <si>
    <t>American (New), Restaurants, Southern</t>
  </si>
  <si>
    <t>Chicken King</t>
  </si>
  <si>
    <t>1740 W Trade St</t>
  </si>
  <si>
    <t>3buPFDqdstemNGAGHDWPaw</t>
  </si>
  <si>
    <t>China King</t>
  </si>
  <si>
    <t>128 Brevard Ct</t>
  </si>
  <si>
    <t>sQLNQeASr7xbl25WML3JdQ</t>
  </si>
  <si>
    <t>Sandwiches, Salad, Fast Food, Restaurants, Food</t>
  </si>
  <si>
    <t>Bojangles' Famous Chicken 'n Biscuits</t>
  </si>
  <si>
    <t>6120 E Independence Blvd</t>
  </si>
  <si>
    <t>xW4dkUdC4bDDrTE8RA6W3Q</t>
  </si>
  <si>
    <t>Seafood, Breakfast &amp; Brunch, Southern, American (New), Tapas/Small Plates, Comfort Food, Diners, Restaurants</t>
  </si>
  <si>
    <t>Social Bar &amp; Kitchen</t>
  </si>
  <si>
    <t>555 South Mcdowell St</t>
  </si>
  <si>
    <t>WItlLMrwWUbZhi7aSAzs2Q</t>
  </si>
  <si>
    <t>Restaurants, Bars, Bowling, Southern, Arts &amp; Entertainment, Nightlife, Active Life, Social Clubs</t>
  </si>
  <si>
    <t>Piedmont Social House</t>
  </si>
  <si>
    <t>2135 Ayrsley Town Blvd</t>
  </si>
  <si>
    <t>B1kKm3sLtoRZGXeZTwKiAg</t>
  </si>
  <si>
    <t>Beer, Wine &amp; Spirits, American (Traditional), Food, Nightlife, Restaurants</t>
  </si>
  <si>
    <t>Bradshaw Social House</t>
  </si>
  <si>
    <t>8440 Rea Rd</t>
  </si>
  <si>
    <t>dmx8LX_V-vQbgBhFQPLl9A</t>
  </si>
  <si>
    <t>Burgers, Bars, Sports Bars, Nightlife, Restaurants, American (Traditional)</t>
  </si>
  <si>
    <t>Fox &amp; Hound</t>
  </si>
  <si>
    <t>9325 Center Lake Drive, Suite 200</t>
  </si>
  <si>
    <t>cMHgw40ldvUBxTYNeZjHQg</t>
  </si>
  <si>
    <t>Barbeque, Southern, Restaurants</t>
  </si>
  <si>
    <t>Whisky River at the Airport</t>
  </si>
  <si>
    <t>VWJ5ek9uX-VFsD9Tiy2Njw</t>
  </si>
  <si>
    <t>Sushi Bars, Restaurants, Japanese, Steakhouses</t>
  </si>
  <si>
    <t>Kabuto Japanese Steak House &amp; Sushi Bar</t>
  </si>
  <si>
    <t>1001 E Wt Harris Blvd</t>
  </si>
  <si>
    <t>BFU_tJo4s7jKlizKybvs3A</t>
  </si>
  <si>
    <t>Delis, Restaurants, Sandwiches</t>
  </si>
  <si>
    <t>Food Lion Inc</t>
  </si>
  <si>
    <t>3024 Prosperity Church Rd</t>
  </si>
  <si>
    <t>klQnFvxN7stIgYAvRylY0Q</t>
  </si>
  <si>
    <t>Mongolian, Chinese, Restaurants</t>
  </si>
  <si>
    <t>Genghis Grill</t>
  </si>
  <si>
    <t>3is0dluydFCPv2c0lbvP0g</t>
  </si>
  <si>
    <t>Birch Restaurant &amp; Bar</t>
  </si>
  <si>
    <t>5700 Westpark Dr</t>
  </si>
  <si>
    <t>ZhdbnIScQfeYh9upMbK0lQ</t>
  </si>
  <si>
    <t>Wok Bo Chinese Restaurant</t>
  </si>
  <si>
    <t>527 Little Rock Rd, # B</t>
  </si>
  <si>
    <t>1av_7zemoQnj8hWLY_J9Zw</t>
  </si>
  <si>
    <t>Restaurants, Asian Fusion, Sushi Bars</t>
  </si>
  <si>
    <t>Kalu</t>
  </si>
  <si>
    <t>S4Gb3V7p5piEqRaP8dk1oA</t>
  </si>
  <si>
    <t>Art Schools, Arts &amp; Entertainment, Nightlife, Comedy Clubs, Specialty Schools, Performing Arts, American (New), Education, Restaurants, Adult Education</t>
  </si>
  <si>
    <t>Charlotte Comedy Theater</t>
  </si>
  <si>
    <t>900 Nc Music Factory Blvd</t>
  </si>
  <si>
    <t>osSwv6CJy5hDKQdOKeyTow</t>
  </si>
  <si>
    <t>Sushi Bars, Japanese, Restaurants</t>
  </si>
  <si>
    <t>Ru San's</t>
  </si>
  <si>
    <t>2440 Park Rd</t>
  </si>
  <si>
    <t>PTDMAKBZze2QpZPc8mQD0w</t>
  </si>
  <si>
    <t>Quick Wok</t>
  </si>
  <si>
    <t>8328 Pineville Matthws Rd</t>
  </si>
  <si>
    <t>e01WELWR6ODCder7onrIlA</t>
  </si>
  <si>
    <t>Restaurants, Food, Mexican, Food Trucks</t>
  </si>
  <si>
    <t>Tacos Don Sammy</t>
  </si>
  <si>
    <t>6020 Wilkinson Blvd</t>
  </si>
  <si>
    <t>OvCQ-2YUSCT9X2uE52S-Nw</t>
  </si>
  <si>
    <t>Noodles, Soup, Asian Fusion, Restaurants, Chinese, Salad, Pan Asian</t>
  </si>
  <si>
    <t>Inchin's Bamboo Garden</t>
  </si>
  <si>
    <t>9601 N Tryon St</t>
  </si>
  <si>
    <t>L8rJht4Jw_BuR8gsckEWYg</t>
  </si>
  <si>
    <t>Restaurants, Desserts, American (Traditional), Food, Salad, American (New)</t>
  </si>
  <si>
    <t>The Cheesecake Factory</t>
  </si>
  <si>
    <t>4400 Sharon Rd, Space A</t>
  </si>
  <si>
    <t>JzsyGtlPsEuPTndUMLph0g</t>
  </si>
  <si>
    <t>Restaurants, Street Vendors, American (New), Food, Hot Dogs</t>
  </si>
  <si>
    <t>Mojo's Famous Hot Dogs</t>
  </si>
  <si>
    <t>4301 Statesville Rd</t>
  </si>
  <si>
    <t>fNMVV_ZX7CJSDWQGdOM8Nw</t>
  </si>
  <si>
    <t>American (Traditional), Restaurants</t>
  </si>
  <si>
    <t>Showmars Government Center</t>
  </si>
  <si>
    <t>600 E 4th St</t>
  </si>
  <si>
    <t>uBs1-3FNDhKN-BBP27erFw</t>
  </si>
  <si>
    <t>Public Services &amp; Government, Chinese, Restaurants</t>
  </si>
  <si>
    <t>Rice Inc - Chinese Cuisine</t>
  </si>
  <si>
    <t>127 N Tryon St, Ste 250</t>
  </si>
  <si>
    <t>EyPDvFnc8Jh1kAZZMHoApQ</t>
  </si>
  <si>
    <t>Pizza, Restaurants, Fast Food</t>
  </si>
  <si>
    <t>MOD Pizza</t>
  </si>
  <si>
    <t>14318 RiverGate View, Ste 500</t>
  </si>
  <si>
    <t>aW6Z4NSqEVli-xYMV3jRyg</t>
  </si>
  <si>
    <t>Wine Bars, French, Nightlife, American (Traditional), Restaurants, American (New), Event Planning &amp; Services, Caterers, Bars</t>
  </si>
  <si>
    <t>Zebra Restaurant</t>
  </si>
  <si>
    <t>4521 Sharon Rd, Ste 100</t>
  </si>
  <si>
    <t>YWm5z2mu-C-pUuL86fcFxQ</t>
  </si>
  <si>
    <t>Best Wok</t>
  </si>
  <si>
    <t>1717 Sardis Rd N</t>
  </si>
  <si>
    <t>P-xthnjpyWaS9wma9HfFUA</t>
  </si>
  <si>
    <t>Street Vendors, Food Trucks, Food, Korean, Restaurants</t>
  </si>
  <si>
    <t>Hiya Food Truck</t>
  </si>
  <si>
    <t>620 W Morehead St</t>
  </si>
  <si>
    <t>9YnK_lZ7lInd81BURIk3Ew</t>
  </si>
  <si>
    <t>Event Planning &amp; Services, Tex-Mex, Restaurants, Salad, Caterers, Mexican</t>
  </si>
  <si>
    <t>Salsarita's Fresh Mexican Grill</t>
  </si>
  <si>
    <t>9941 Rea Rd</t>
  </si>
  <si>
    <t>5UK1KtbB1dHTCo0LNDVslA</t>
  </si>
  <si>
    <t>Restaurants, Southern</t>
  </si>
  <si>
    <t>Gus's Sir Beef Restaurant</t>
  </si>
  <si>
    <t>4101 Monroe Rd</t>
  </si>
  <si>
    <t>YZYqpZFBgQN-ruQ-hAj3Jw</t>
  </si>
  <si>
    <t>Wraps, Restaurants, Delis, Fast Food</t>
  </si>
  <si>
    <t>American Deli</t>
  </si>
  <si>
    <t>5430 North Tryon St, Ste 16</t>
  </si>
  <si>
    <t>Gepo-V2cjV-BA3oNde2tDw</t>
  </si>
  <si>
    <t>American (Traditional), Restaurants, Southern</t>
  </si>
  <si>
    <t>Q's Diner</t>
  </si>
  <si>
    <t>1816 Galleria Blvd, Ste D</t>
  </si>
  <si>
    <t>QeEQXdto_4wFRaNKyIygRA</t>
  </si>
  <si>
    <t>Cajun/Creole, Food, Beer, Wine &amp; Spirits, American (Traditional), Restaurants, Comfort Food, French, American (New)</t>
  </si>
  <si>
    <t>French Quarter</t>
  </si>
  <si>
    <t>321 S Church St</t>
  </si>
  <si>
    <t>iLHzm7N_GMPl6sr2RqeqhQ</t>
  </si>
  <si>
    <t>Restaurants, Salad, Burgers, Wraps, Event Planning &amp; Services, Caterers, Fast Food</t>
  </si>
  <si>
    <t>Chick-fil-A</t>
  </si>
  <si>
    <t>800 W Trade St</t>
  </si>
  <si>
    <t>OiutT-PHcZd6y2cEJ_yEVw</t>
  </si>
  <si>
    <t>Chuck E. Cheese's</t>
  </si>
  <si>
    <t>7701 Pineville Matthws Rd</t>
  </si>
  <si>
    <t>oMZxCtEcgT5RWg8g5bilxA</t>
  </si>
  <si>
    <t>Burgers, Restaurants, Fast Food</t>
  </si>
  <si>
    <t>8431 N Tryon St</t>
  </si>
  <si>
    <t>OWByE1i1tjPB5i5mSprDJw</t>
  </si>
  <si>
    <t>Restaurants, Vietnamese, Juice Bars &amp; Smoothies, Food, Sandwiches</t>
  </si>
  <si>
    <t>Crispy Banh Mi</t>
  </si>
  <si>
    <t>2934 Shamrock Dr</t>
  </si>
  <si>
    <t>7LLU_dpe7iN97nJzYmTvjQ</t>
  </si>
  <si>
    <t>Hanaya Garden</t>
  </si>
  <si>
    <t>9630 University City Blvd</t>
  </si>
  <si>
    <t>Cdk3wRR7TwJb1JW7agPJXw</t>
  </si>
  <si>
    <t>Beer Gardens, Nightlife, Bars, Restaurants, Argentine, Beer Bar, Tapas Bars, American (New)</t>
  </si>
  <si>
    <t>Pint Central</t>
  </si>
  <si>
    <t>1226 Central Ave</t>
  </si>
  <si>
    <t>DI8SC8MF0wh3ba45aN9dTw</t>
  </si>
  <si>
    <t>Dunkin' Donuts</t>
  </si>
  <si>
    <t>1601 Freedom Dr, Ste A-B</t>
  </si>
  <si>
    <t>sQIH-MmfdI2xyXa6acyYhg</t>
  </si>
  <si>
    <t>A Taste Of Carolina</t>
  </si>
  <si>
    <t>j2vNoPv7Jzvvj7rbsT7vAA</t>
  </si>
  <si>
    <t>Fast Food, Restaurants</t>
  </si>
  <si>
    <t>6915 Albemarle Rd</t>
  </si>
  <si>
    <t>pZUS-Bgd02-YgskCS4mXoA</t>
  </si>
  <si>
    <t>Restaurants, Comfort Food, Southern, Food, Specialty Food</t>
  </si>
  <si>
    <t>Indigo Cafe</t>
  </si>
  <si>
    <t>1816-D Galleria Blvd</t>
  </si>
  <si>
    <t>sdjkEXdhbSO3QOJpOvLKkQ</t>
  </si>
  <si>
    <t>Salad, Restaurants, Burgers, Desserts, Fast Food, Coffee &amp; Tea, Food</t>
  </si>
  <si>
    <t>9320 Steele Creek Rd</t>
  </si>
  <si>
    <t>PbOnLu9ZVqG88oVem8_khA</t>
  </si>
  <si>
    <t>Restaurants, American (New), Breakfast &amp; Brunch</t>
  </si>
  <si>
    <t>Lava Bistro &amp; Bar</t>
  </si>
  <si>
    <t>8708 JW Clay Blvd</t>
  </si>
  <si>
    <t>jjrjoMeuQqMSNdeJRdr1qA</t>
  </si>
  <si>
    <t>Diners, Breakfast &amp; Brunch, Restaurants, American (Traditional)</t>
  </si>
  <si>
    <t>4739 S Blvd</t>
  </si>
  <si>
    <t>hh1z7gy0k3fCdVQf9hZYfg</t>
  </si>
  <si>
    <t>Vegetarian, Vegan, Vietnamese, Restaurants</t>
  </si>
  <si>
    <t>VN Tofu Food To Go</t>
  </si>
  <si>
    <t>6823 S Blvd</t>
  </si>
  <si>
    <t>dM_bvkmRli5sbvSik_uDMw</t>
  </si>
  <si>
    <t>American (Traditional), Bars, Restaurants, Cocktail Bars, Nightlife, Southern</t>
  </si>
  <si>
    <t>The Packhouse</t>
  </si>
  <si>
    <t>500 E Morehead St, Ste 150-A</t>
  </si>
  <si>
    <t>g-BuoRJi5LOki0_rSWK2BA</t>
  </si>
  <si>
    <t>Cocktail Bars, Bars, Tapas/Small Plates, Nightlife, Restaurants</t>
  </si>
  <si>
    <t>Zeppelin</t>
  </si>
  <si>
    <t>235 W Tremont Ave</t>
  </si>
  <si>
    <t>su5sBvJrgaD5Sh1SnvYzkw</t>
  </si>
  <si>
    <t>Restaurants, Vietnamese, Food, Food Trucks</t>
  </si>
  <si>
    <t>Yummi Banh Mi Truck</t>
  </si>
  <si>
    <t>ZLNNXEZaCMhXuUovRTIGTw</t>
  </si>
  <si>
    <t>Coffee &amp; Tea, Food, Delis, Restaurants, Bagels</t>
  </si>
  <si>
    <t>Owen's Bagel &amp; Deli</t>
  </si>
  <si>
    <t>2041 South Blvd</t>
  </si>
  <si>
    <t>qUqmTlchliF55jF7s4Xlmw</t>
  </si>
  <si>
    <t>Mexican, Restaurants, Fast Food, Tex-Mex, Sandwiches</t>
  </si>
  <si>
    <t>Chipotle Mexican Grill</t>
  </si>
  <si>
    <t>2921 Providence Rd, Ste 100</t>
  </si>
  <si>
    <t>Sp8DfXkAlaAACI2WQrvhIQ</t>
  </si>
  <si>
    <t>Asian Fusion, Chinese, Restaurants, Food</t>
  </si>
  <si>
    <t>7705 D S Tryon St</t>
  </si>
  <si>
    <t>47i7RePvE1RMBANYOUwI2Q</t>
  </si>
  <si>
    <t>Restaurants, Sandwiches, Breakfast &amp; Brunch, Food, Cafes, Coffee &amp; Tea</t>
  </si>
  <si>
    <t>Melon Cafe</t>
  </si>
  <si>
    <t>8720 Red Oak Blvd, Ste 127</t>
  </si>
  <si>
    <t>kPfhSK0kcUmOTmC5DEjaDw</t>
  </si>
  <si>
    <t>Vegetarian, Restaurants, Vietnamese, Asian Fusion</t>
  </si>
  <si>
    <t>Doan's</t>
  </si>
  <si>
    <t>5937 South Blvd</t>
  </si>
  <si>
    <t>mWEltFSw33nARGPLvZiAJw</t>
  </si>
  <si>
    <t>Restaurants, Mexican</t>
  </si>
  <si>
    <t>Tacos El Nevado</t>
  </si>
  <si>
    <t>4715 Central Ave</t>
  </si>
  <si>
    <t>BShmKdQIkKmB89fmvOe9Nw</t>
  </si>
  <si>
    <t>Paventi's Pizzeria</t>
  </si>
  <si>
    <t>6434 W Sugar Creek Rd</t>
  </si>
  <si>
    <t>Pgay5a3ZPZB_5ijSHAGoyA</t>
  </si>
  <si>
    <t>Golden Gate Express</t>
  </si>
  <si>
    <t>5708 N Sharon Amity Rd</t>
  </si>
  <si>
    <t>ak0zg848hiMkT1hQwnIf0w</t>
  </si>
  <si>
    <t>Southern, Cafeteria, Soul Food, Restaurants</t>
  </si>
  <si>
    <t>Koffee Kup Cafeteria</t>
  </si>
  <si>
    <t>1520 W Blvd, Ste H</t>
  </si>
  <si>
    <t>_csgqOCUWhaS4KAwm9Rcag</t>
  </si>
  <si>
    <t>Event Planning &amp; Services, Caterers, Fast Food, Restaurants</t>
  </si>
  <si>
    <t>14111 Rivergate Pkwy</t>
  </si>
  <si>
    <t>sXQ1EhIRcXWzB9zVxNRmfw</t>
  </si>
  <si>
    <t>Restaurants, Seafood Markets, Seafood, Food, Specialty Food, Sandwiches, Cajun/Creole</t>
  </si>
  <si>
    <t>Poboy's Low Country Seafood Market</t>
  </si>
  <si>
    <t>3022 Freedom Dr</t>
  </si>
  <si>
    <t>o8nauTizH7H_GEAeV6HfMg</t>
  </si>
  <si>
    <t>Halal, Indian, Restaurants, Buffets, Chinese</t>
  </si>
  <si>
    <t>Hyderabadi Biryani House</t>
  </si>
  <si>
    <t>15025 Lancaster Hwy, Ste D8</t>
  </si>
  <si>
    <t>b0n2D_Ry2WPo7XAV1Y1U0Q</t>
  </si>
  <si>
    <t>Seafood, Sandwiches, Sports Bars, Barbeque, Bars, Nightlife, Restaurants, American (Traditional), Beer Bar, Cocktail Bars</t>
  </si>
  <si>
    <t>Boardwalk Billy's Raw Bar-river &amp; Ribs - Crown Point</t>
  </si>
  <si>
    <t>1636 Sardis Rd N</t>
  </si>
  <si>
    <t>Gija3u7SaXAr3ittymiZ4A</t>
  </si>
  <si>
    <t>Breakfast &amp; Brunch, Restaurants</t>
  </si>
  <si>
    <t>Eggheads Breakfast Brunch and Lunch</t>
  </si>
  <si>
    <t>317 S Church St</t>
  </si>
  <si>
    <t>VNVobBqsDH13Oraz3d6Mlw</t>
  </si>
  <si>
    <t>Food, Beer, Wine &amp; Spirits, Restaurants, American (New)</t>
  </si>
  <si>
    <t>3 Trade Food &amp; Wine</t>
  </si>
  <si>
    <t>333 W Trade St</t>
  </si>
  <si>
    <t>nowVNqKQekMLQQphP2lItA</t>
  </si>
  <si>
    <t>Breakfast &amp; Brunch, Comfort Food, Delis, Sandwiches, Restaurants, Caterers, Event Planning &amp; Services</t>
  </si>
  <si>
    <t>Jack's New Yorker Deli</t>
  </si>
  <si>
    <t>401 N Tryon St</t>
  </si>
  <si>
    <t>b-RTSpuHvZUtOPjiLshS7A</t>
  </si>
  <si>
    <t>Brevard Court Sundries</t>
  </si>
  <si>
    <t>145 Brevard Ct</t>
  </si>
  <si>
    <t>1PYFn3TX0zAOydMyKpQVnQ</t>
  </si>
  <si>
    <t>Asian Fusion, Specialty Food, Restaurants, Food</t>
  </si>
  <si>
    <t>UMI Teriyaki &amp; Sushi</t>
  </si>
  <si>
    <t>5428 New Fashion Way, Ste 612</t>
  </si>
  <si>
    <t>mD3eTatk9hgxi2iN3LZR3g</t>
  </si>
  <si>
    <t>Filipino, Restaurants, Sushi Bars, Japanese</t>
  </si>
  <si>
    <t>Bachi</t>
  </si>
  <si>
    <t>2700 W Mallard Creek Church Rd, Ste 200</t>
  </si>
  <si>
    <t>Z66xO_B7trDah8F0PKwRqg</t>
  </si>
  <si>
    <t>Restaurants, Fashion, Outlet Stores, Shopping, Shopping Centers</t>
  </si>
  <si>
    <t>Charlotte Premium Outlets</t>
  </si>
  <si>
    <t>5404 New Fashion Way</t>
  </si>
  <si>
    <t>4fFF8i_YsLFivSDcqMJDdg</t>
  </si>
  <si>
    <t>Buffets, Asian Fusion, Restaurants, Sushi Bars</t>
  </si>
  <si>
    <t>Fuse</t>
  </si>
  <si>
    <t>8302 University Executive Park Dr</t>
  </si>
  <si>
    <t>WOj8nPos3R9IIf0Pyttd8g</t>
  </si>
  <si>
    <t>Restaurants, Coffee &amp; Tea, Food, Sandwiches, Southern, American (New), American (Traditional), French</t>
  </si>
  <si>
    <t>Lulu</t>
  </si>
  <si>
    <t>1911 Central Ave</t>
  </si>
  <si>
    <t>Restaurants, Bakeries, Food, Delis</t>
  </si>
  <si>
    <t>301 S College St</t>
  </si>
  <si>
    <t>9xA2E8wlqu2omrXuYlvMIg</t>
  </si>
  <si>
    <t>Sandwiches, Restaurants, Sicilian, Food Delivery Services, Pizza, Food, Italian</t>
  </si>
  <si>
    <t>Anzi Pizzeria</t>
  </si>
  <si>
    <t>8133 Ardrey Kell Rd</t>
  </si>
  <si>
    <t>Los Arcos Mexican Restaurant</t>
  </si>
  <si>
    <t>3542 Mount Holly Huntersville Rd</t>
  </si>
  <si>
    <t>YBhDZMKF_Xfr0z0iqd_tGg</t>
  </si>
  <si>
    <t>Salad, Restaurants, Juice Bars &amp; Smoothies, Food, Coffee &amp; Tea</t>
  </si>
  <si>
    <t>EastSide Local</t>
  </si>
  <si>
    <t>3102 Eastway Dr</t>
  </si>
  <si>
    <t>N2M0WyGCyTV5jMOYPH7odA</t>
  </si>
  <si>
    <t>Sushi Bars, Asian Fusion, Japanese, Chinese, Restaurants</t>
  </si>
  <si>
    <t>Umai Sushi &amp; Asian Bistro</t>
  </si>
  <si>
    <t>8418 Park Rd</t>
  </si>
  <si>
    <t>gRwK5oLixlWga7BFVEgBmA</t>
  </si>
  <si>
    <t>Basque, Spanish, Restaurants</t>
  </si>
  <si>
    <t>Sole</t>
  </si>
  <si>
    <t>1608 E Blvd</t>
  </si>
  <si>
    <t>0gfGLDe_gSr9CYUBO57i0g</t>
  </si>
  <si>
    <t>Restaurants, Seafood</t>
  </si>
  <si>
    <t>Mayflower Seafood Restaurant</t>
  </si>
  <si>
    <t>3124 Milton Rd</t>
  </si>
  <si>
    <t>OU1UWWXAgAiB4yM0NEaPYA</t>
  </si>
  <si>
    <t>Sandwiches, Pizza, Restaurants, Fast Food, Chicken Wings</t>
  </si>
  <si>
    <t>4350 Colwick Rd</t>
  </si>
  <si>
    <t>1MvR4NJQbHy0i7ME1IoYpw</t>
  </si>
  <si>
    <t>Seafood, Restaurants, Steakhouses</t>
  </si>
  <si>
    <t>Beef 'N Bottle</t>
  </si>
  <si>
    <t>4538 S Blvd</t>
  </si>
  <si>
    <t>DRJzfAuSzgoBJeSuwfdPow</t>
  </si>
  <si>
    <t>Italian, American (New), Nightlife, Bars, Pizza, Sports Bars, Event Planning &amp; Services, Seafood, Caterers, Restaurants</t>
  </si>
  <si>
    <t>The Randazzos' Grid Iron</t>
  </si>
  <si>
    <t>13105 S Tryon St</t>
  </si>
  <si>
    <t>lcAmFYxmUyb1IjJkrENm3Q</t>
  </si>
  <si>
    <t>Sushi Bars, Restaurants</t>
  </si>
  <si>
    <t>Sapporo Bistro</t>
  </si>
  <si>
    <t>EaIho6EvTuODNHPLO98yeQ</t>
  </si>
  <si>
    <t>Brixx Wood Fired Pizza</t>
  </si>
  <si>
    <t>7814 Fairview Rd</t>
  </si>
  <si>
    <t>2e3v6CzSm1H2Z6d5l4w3Vg</t>
  </si>
  <si>
    <t>Gluten-Free, Restaurants</t>
  </si>
  <si>
    <t>Jaylas Gluten Free Cafe</t>
  </si>
  <si>
    <t>1515 Mockingbird Ln, Ste 113</t>
  </si>
  <si>
    <t>4X9tVVQHIewliXqaancfQA</t>
  </si>
  <si>
    <t>Caribbean, American (Traditional), Restaurants, Cuban, Nightlife, Puerto Rican, Bars, Sports Bars</t>
  </si>
  <si>
    <t>Rum Bar &amp; Grill</t>
  </si>
  <si>
    <t>CrPm7Rby304RmpFgmIBdUQ</t>
  </si>
  <si>
    <t>Bars, American (Traditional), Pubs, Dive Bars, Chicken Wings, Nightlife, Restaurants</t>
  </si>
  <si>
    <t>Moosehead Grill</t>
  </si>
  <si>
    <t>1807 Montford Dr</t>
  </si>
  <si>
    <t>PqcOSnCsJTT9Yd2xWKIMWw</t>
  </si>
  <si>
    <t>Middle Eastern, Restaurants</t>
  </si>
  <si>
    <t>La Shish Kabob</t>
  </si>
  <si>
    <t>3117-A N Sharon Amity</t>
  </si>
  <si>
    <t>vZOovrRdEZpB6buB2Pq2FQ</t>
  </si>
  <si>
    <t>Greek, Mediterranean, Restaurants, American (Traditional)</t>
  </si>
  <si>
    <t>Showmars Third Street</t>
  </si>
  <si>
    <t>130 W 3rd St</t>
  </si>
  <si>
    <t>N2PlDjUJVfOJzsPzY0Au1w</t>
  </si>
  <si>
    <t>China King Super Buffet</t>
  </si>
  <si>
    <t>930 Tyvola Rd</t>
  </si>
  <si>
    <t>2zQi4IaS_NH9u2yOlaqUqA</t>
  </si>
  <si>
    <t>Southern, Specialty Food, Event Planning &amp; Services, Food, Caterers, Restaurants</t>
  </si>
  <si>
    <t>The Southern Gourmet</t>
  </si>
  <si>
    <t>9101 Monroe Rd, Ste  110</t>
  </si>
  <si>
    <t>3b14ebd1k9y7VJbp5hC0gg</t>
  </si>
  <si>
    <t>Wine Bars, Sandwiches, Arts &amp; Entertainment, Nightlife, Wineries, Tapas/Small Plates, Restaurants, Food, Bars</t>
  </si>
  <si>
    <t>Beaudevin</t>
  </si>
  <si>
    <t>5501 R C Josh Birmingham Pkwy</t>
  </si>
  <si>
    <t>wC-wLFVCIjXArsrMuUJdYQ</t>
  </si>
  <si>
    <t>Hunan Park</t>
  </si>
  <si>
    <t>5818 Prosperity Church Rd</t>
  </si>
  <si>
    <t>WCkh_ZcsWKU1wx4bqyU9KA</t>
  </si>
  <si>
    <t>Taiwanese, Chinese, Restaurants</t>
  </si>
  <si>
    <t>Taipei South</t>
  </si>
  <si>
    <t>10106 Johnston Rd, Ste A</t>
  </si>
  <si>
    <t>2u3OFITjxUzUdl_-8KeUFg</t>
  </si>
  <si>
    <t>Indochine Grill</t>
  </si>
  <si>
    <t>210 E Trade St</t>
  </si>
  <si>
    <t>ujYrcaXEbxj3KH9r0-FgWg</t>
  </si>
  <si>
    <t>China Taste</t>
  </si>
  <si>
    <t>8108 Idlewild Rd, Ste 500</t>
  </si>
  <si>
    <t>7pm1vcJD11eNI_RaFwI3kA</t>
  </si>
  <si>
    <t>Chinese, Restaurants, Asian Fusion</t>
  </si>
  <si>
    <t>Super Wok I</t>
  </si>
  <si>
    <t>2824 W Sugar Creek Rd</t>
  </si>
  <si>
    <t>pDoDY-cDLyeKQgDx5RAlnQ</t>
  </si>
  <si>
    <t>Restaurants, American (Traditional), Southern</t>
  </si>
  <si>
    <t>Jake's Good Eats</t>
  </si>
  <si>
    <t>12721 Albemarle Rd</t>
  </si>
  <si>
    <t>nL1EXx8Djm6Yorb6A11lRg</t>
  </si>
  <si>
    <t>Burgers, Restaurants</t>
  </si>
  <si>
    <t>4709 Sharon Rd</t>
  </si>
  <si>
    <t>x_BblTvFkQqM601Ad0kUDA</t>
  </si>
  <si>
    <t>Mexican, Restaurants, Latin American</t>
  </si>
  <si>
    <t>Nano's Dominican Cuisine</t>
  </si>
  <si>
    <t>3428 N Tryon St</t>
  </si>
  <si>
    <t>MQEpDvkdL39hh1N0We3Vaw</t>
  </si>
  <si>
    <t>Hot Taco</t>
  </si>
  <si>
    <t>200 E Bland St</t>
  </si>
  <si>
    <t>WHLc3UekMTh3o2ixO1pqZQ</t>
  </si>
  <si>
    <t>Caribbean, Dominican, Restaurants, Salad, Latin American</t>
  </si>
  <si>
    <t>Luna Restaurant and Lounge</t>
  </si>
  <si>
    <t>YxwxKqemcKwV4vIQXhVv_w</t>
  </si>
  <si>
    <t>Pizza, Local Flavor, Restaurants</t>
  </si>
  <si>
    <t>Zablong Peculiar Pizza</t>
  </si>
  <si>
    <t>137 Brevard Ct</t>
  </si>
  <si>
    <t>yufkwo_ZszA1QHJwcuyOWQ</t>
  </si>
  <si>
    <t>Restaurants, Beer, Wine &amp; Spirits, American (New), Food, Bars, Tasting Classes, American (Traditional), Wine Bars, Breakfast &amp; Brunch, Nightlife, Education, Wine Tasting Classes</t>
  </si>
  <si>
    <t>Corkbuzz Restaurant &amp; Wine Bar</t>
  </si>
  <si>
    <t>4905 Ashley Park Ln, Ste J</t>
  </si>
  <si>
    <t>CxsN79g8rZoouLwZvr_FVg</t>
  </si>
  <si>
    <t>Restaurants, Vegetarian, Vegan, Breakfast &amp; Brunch, American (Traditional)</t>
  </si>
  <si>
    <t>Fern</t>
  </si>
  <si>
    <t>1419 East Blvd, Ste A</t>
  </si>
  <si>
    <t>IcesSie1RIua9LjFRQ27WQ</t>
  </si>
  <si>
    <t>Nightlife, Bars, Restaurants, Pool Halls</t>
  </si>
  <si>
    <t>MT Billiards</t>
  </si>
  <si>
    <t>6701 N Tryon St, Ste L</t>
  </si>
  <si>
    <t>fDgPqRj5oQE-lDRCc4afDg</t>
  </si>
  <si>
    <t>American (Traditional), Restaurants, Breakfast &amp; Brunch, American (New), Burgers</t>
  </si>
  <si>
    <t>IHOP</t>
  </si>
  <si>
    <t>8146 S Tryon St</t>
  </si>
  <si>
    <t>SHFlELFcEcAOJv_fTAKChQ</t>
  </si>
  <si>
    <t>Nightlife, Bars, Tapas/Small Plates, Food, American (New), Beer, Wine &amp; Spirits, Restaurants, Dance Clubs</t>
  </si>
  <si>
    <t>Dandelion Market</t>
  </si>
  <si>
    <t>118 W 5th St</t>
  </si>
  <si>
    <t>0FLEhT8CFMndcgIHuAhPmQ</t>
  </si>
  <si>
    <t>Barbeque, Restaurants</t>
  </si>
  <si>
    <t>The Rib Palace</t>
  </si>
  <si>
    <t>1300 Central Ave</t>
  </si>
  <si>
    <t>tVzPchjHbqWjn8ng7giMiQ</t>
  </si>
  <si>
    <t>Wok Express Chinese Food</t>
  </si>
  <si>
    <t>601 S Kings Dr</t>
  </si>
  <si>
    <t>gU9_PUEdOOoBaSM49SRObg</t>
  </si>
  <si>
    <t>Restaurants, Nightlife, Cocktail Bars, American (Traditional), Sandwiches, Pizza, Beer Bar, Bars</t>
  </si>
  <si>
    <t>Parry's Pizzeria &amp; Bar</t>
  </si>
  <si>
    <t>6851 Northlake Mall Dr</t>
  </si>
  <si>
    <t>w_5ZPLsssAutPi-JzFjuBA</t>
  </si>
  <si>
    <t>9021 Albemarle Rd</t>
  </si>
  <si>
    <t>RRTAFcRPmlLaYIDGDS7gPA</t>
  </si>
  <si>
    <t>1801 Sardis Rd N</t>
  </si>
  <si>
    <t>1lvMplnNVHjsMm0JWM8GGQ</t>
  </si>
  <si>
    <t>Fish &amp; Chips, American (Traditional), Fast Food, Seafood, Restaurants</t>
  </si>
  <si>
    <t>Captain D's</t>
  </si>
  <si>
    <t>2838 Freedom Dr</t>
  </si>
  <si>
    <t>GI9nWATB9s_1ECMSNnXEJA</t>
  </si>
  <si>
    <t>Bars, Nightlife, Lounges, American (New), Restaurants</t>
  </si>
  <si>
    <t>Hef's Bar &amp; Grill</t>
  </si>
  <si>
    <t>Park Towne Village Shopping Ctr, 1600 E Woodlawn Rd</t>
  </si>
  <si>
    <t>6xZIJU1xYyF4G6eXkO7yig</t>
  </si>
  <si>
    <t>Nightlife, Restaurants, American (New), Bars, Food, Lounges</t>
  </si>
  <si>
    <t>Bask On Seaboard</t>
  </si>
  <si>
    <t>1000 Seaboard St, Ste C1</t>
  </si>
  <si>
    <t>MHoRFW0k2yPKlv8Ti0Ri9A</t>
  </si>
  <si>
    <t>Restaurants, Yelp Events, Party &amp; Event Planning, Comedy Clubs, Venues &amp; Event Spaces, Dinner Theater, Event Planning &amp; Services, Nightlife, Arts &amp; Entertainment, Performing Arts, Local Flavor, American (Traditional)</t>
  </si>
  <si>
    <t>The Dinner Detective Interactive Murder Mystery Show</t>
  </si>
  <si>
    <t>6300 Morrison Blvd</t>
  </si>
  <si>
    <t>Buk1Aad3gynpDh8TgfTrVg</t>
  </si>
  <si>
    <t>Seafood, Restaurants, Soul Food, Fish &amp; Chips</t>
  </si>
  <si>
    <t>Skrimp Shack</t>
  </si>
  <si>
    <t>8328 Pineville-Matthews Rd, Ste 301</t>
  </si>
  <si>
    <t>WLCdg4ib7-_7b8epoXRjAw</t>
  </si>
  <si>
    <t>Ho Ho Cherry House</t>
  </si>
  <si>
    <t>2001 E 7th St</t>
  </si>
  <si>
    <t>7kgdy_Tn7kWZr0PMCKxRNA</t>
  </si>
  <si>
    <t>Restaurants, Food, Burgers, Coffee &amp; Tea, Fast Food</t>
  </si>
  <si>
    <t>413 Tyvola Rd</t>
  </si>
  <si>
    <t>3btAvuu-3hjq9UUa5FO-9Q</t>
  </si>
  <si>
    <t>6925 University City Blvd #440</t>
  </si>
  <si>
    <t>gp9nRRCpwsUrJxFFrvObmg</t>
  </si>
  <si>
    <t>Restaurants, Vietnamese, Asian Fusion, Pan Asian, Sushi Bars</t>
  </si>
  <si>
    <t>CO</t>
  </si>
  <si>
    <t>7416 Waverly Walk Ave</t>
  </si>
  <si>
    <t>Restaurants, Fast Food, Chicken Shop</t>
  </si>
  <si>
    <t>501 S College St</t>
  </si>
  <si>
    <t>tMKblwX0CeCDZbCz6ruyPg</t>
  </si>
  <si>
    <t>Restaurants, Caribbean</t>
  </si>
  <si>
    <t>Cocoa's Jamaican Jerk</t>
  </si>
  <si>
    <t>6316-A Old Sugar Creek Rd</t>
  </si>
  <si>
    <t>XlbDdblfNsOGiZ84CorRBQ</t>
  </si>
  <si>
    <t>Restaurants, Thai</t>
  </si>
  <si>
    <t>Basil Thai Cuisine Ballantyne</t>
  </si>
  <si>
    <t>7800 Rea Rd, Ste A</t>
  </si>
  <si>
    <t>gGt00WW8sNY2Sop7jYa7Tw</t>
  </si>
  <si>
    <t>Cocktail Bars, Restaurants, Tacos, Tex-Mex, Nightlife, Bars, Mexican, Ethnic Food, Specialty Food, Food</t>
  </si>
  <si>
    <t>Bakersfield</t>
  </si>
  <si>
    <t>1301 East Blvd</t>
  </si>
  <si>
    <t>Fast Food, Restaurants, American (New), Burgers</t>
  </si>
  <si>
    <t>Five Guys Burgers and Fries</t>
  </si>
  <si>
    <t>2130 E Arbors Dr</t>
  </si>
  <si>
    <t>eIzp7ZiMJJz98p-a1Qni8w</t>
  </si>
  <si>
    <t>Cuban, Restaurants</t>
  </si>
  <si>
    <t>Cuban Pete's Cafe</t>
  </si>
  <si>
    <t>1308-E The Plaza</t>
  </si>
  <si>
    <t>Jh5NKnKzpDlA1rpJbXcktg</t>
  </si>
  <si>
    <t>Food, Food Trucks, Restaurants, Southern</t>
  </si>
  <si>
    <t>Cuzzo's Cuisine Brick &amp; Mortar</t>
  </si>
  <si>
    <t>3418 Tuckaseegee Rd</t>
  </si>
  <si>
    <t>3tQO7AzHTicIWc6Efbw67w</t>
  </si>
  <si>
    <t>Sugar Magnolia Low Country Cuisine</t>
  </si>
  <si>
    <t>9824 Rea Rd, Ste B</t>
  </si>
  <si>
    <t>yIBeZebnXb-hvexqknnDCg</t>
  </si>
  <si>
    <t>Fondue, Southern, French, American (New), Restaurants</t>
  </si>
  <si>
    <t>McNinch House Restaurant</t>
  </si>
  <si>
    <t>511 N Church St</t>
  </si>
  <si>
    <t>nPJqwNZWIxHd-vfE-E3XQQ</t>
  </si>
  <si>
    <t>Siam Garden</t>
  </si>
  <si>
    <t>3607 Whitehall Park Dr, Ste X</t>
  </si>
  <si>
    <t>yymNrvk1cioG5Bn5lWH2QQ</t>
  </si>
  <si>
    <t>American (Traditional), Barbeque, Chicken Wings, Burgers, Restaurants</t>
  </si>
  <si>
    <t>Wild Wing Cafe</t>
  </si>
  <si>
    <t>210 E Trade St, Ste D262</t>
  </si>
  <si>
    <t>VMDOFvE1rbDC5NPui2s-sA</t>
  </si>
  <si>
    <t>Beer, Wine &amp; Spirits, Sports Bars, Food, American (Traditional), Nightlife, Bars, Restaurants</t>
  </si>
  <si>
    <t>Ale's University</t>
  </si>
  <si>
    <t>twqDp5T5eXXt6ZipLvECRw</t>
  </si>
  <si>
    <t>Tex-Mex, Mexican, Restaurants, Fast Food</t>
  </si>
  <si>
    <t>Taco Bell</t>
  </si>
  <si>
    <t>9015 S Tryon St</t>
  </si>
  <si>
    <t>O6V5KhfTmV1C7lKztNKjig</t>
  </si>
  <si>
    <t>Asian Fusion, Nightlife, American (New), Restaurants, Hookah Bars, Bars</t>
  </si>
  <si>
    <t>Tanner's Bistro</t>
  </si>
  <si>
    <t>4Tg0FVW0QGko7RFu5obkIA</t>
  </si>
  <si>
    <t>Food Trucks, Food Stands, Restaurants, Food, Hot Dogs</t>
  </si>
  <si>
    <t>A Worthy Dog</t>
  </si>
  <si>
    <t>Nx8qL3HqmuTvzIq8C7xPDA</t>
  </si>
  <si>
    <t>Restaurants, American (New), Soul Food</t>
  </si>
  <si>
    <t>Savannah Red</t>
  </si>
  <si>
    <t>100 W Trade St</t>
  </si>
  <si>
    <t>tS6duyMHvqhW0J5_3RLgPg</t>
  </si>
  <si>
    <t>Specialty Food, Grocery, Delis, Restaurants, Salad, Breakfast &amp; Brunch, Food</t>
  </si>
  <si>
    <t>Rhino Market &amp; Deli</t>
  </si>
  <si>
    <t>400 S Tryon St, Ste R3</t>
  </si>
  <si>
    <t>gG9z6zr_49LocyCTvSFg0w</t>
  </si>
  <si>
    <t>Restaurants, Coffee &amp; Tea, Food, Cafes, Bakeries, Patisserie/Cake Shop, Breakfast &amp; Brunch</t>
  </si>
  <si>
    <t>AmÃƒÂ©lie's French Bakery &amp; CafÃƒÂ©</t>
  </si>
  <si>
    <t>2424 N Davidson St, Ste 102</t>
  </si>
  <si>
    <t>vMyt2_uQOSbtYS0i14pr7Q</t>
  </si>
  <si>
    <t>Burgers, Restaurants, Fast Food, American (New), Breakfast &amp; Brunch, American (Traditional), Steakhouses, Diners</t>
  </si>
  <si>
    <t>Steak Ã¢â‚¬â„¢n Shake</t>
  </si>
  <si>
    <t>9700 S South Blvd</t>
  </si>
  <si>
    <t>U0A_qJiXaz3z--Hsjgw3Zw</t>
  </si>
  <si>
    <t>Food, Seafood, Food Trucks, Restaurants</t>
  </si>
  <si>
    <t>Cousins Maine Lobster - Charlotte</t>
  </si>
  <si>
    <t>pbrsG30usbyUpHwpkOymdg</t>
  </si>
  <si>
    <t>Fast Food, Tex-Mex, Restaurants, Caterers, Mexican, Event Planning &amp; Services</t>
  </si>
  <si>
    <t>101 South Tryon St, Ste 5</t>
  </si>
  <si>
    <t>x4rPP40pYR5yMqKA77AGkA</t>
  </si>
  <si>
    <t>Carnitas Guanajuato</t>
  </si>
  <si>
    <t>2531 N Sharon Amity Rd</t>
  </si>
  <si>
    <t>uBJdqqyfCWLhOcSZ3U6oaQ</t>
  </si>
  <si>
    <t>Restaurants, Brazilian, Steakhouses</t>
  </si>
  <si>
    <t>Brazas Brazilian Grill</t>
  </si>
  <si>
    <t>yBmDNVdEzW1ARUXYlKACIw</t>
  </si>
  <si>
    <t>Food, Wine Tasting Room, Nightlife, Bars, Modern European, American (Traditional), Beer, Wine &amp; Spirits, Arts &amp; Entertainment, Tapas/Small Plates, Wine Bars, Wineries, Restaurants</t>
  </si>
  <si>
    <t>Dilworth Tasting Room</t>
  </si>
  <si>
    <t>300 E Tremont Ave</t>
  </si>
  <si>
    <t>Restaurants, Bagels, Breakfast &amp; Brunch, Bakeries, Soup, Salad, Sandwiches, Food</t>
  </si>
  <si>
    <t>Panera Bread</t>
  </si>
  <si>
    <t>5940 Fairview Rd</t>
  </si>
  <si>
    <t>BS7PU7REvJZ7hVSHA6z8wQ</t>
  </si>
  <si>
    <t>Nightlife, Bars, Hookah Bars, Seafood, Lounges, Restaurants, Event Planning &amp; Services, Venues &amp; Event Spaces</t>
  </si>
  <si>
    <t>Fire House Bar &amp; Lounge</t>
  </si>
  <si>
    <t>320 W Carson Blvd</t>
  </si>
  <si>
    <t>-UV2tt3gy57-5a29paA_4w</t>
  </si>
  <si>
    <t>Sub One Hoagie House</t>
  </si>
  <si>
    <t>516 N Graham St</t>
  </si>
  <si>
    <t>Zf3chjATlbCZoCPEg6PfFQ</t>
  </si>
  <si>
    <t>Food, Southern, Greek, Restaurants, Sandwiches</t>
  </si>
  <si>
    <t>Showmars - Arrowood Rd</t>
  </si>
  <si>
    <t>2216 W Arrowood Rd</t>
  </si>
  <si>
    <t>Q7dGYPVFr2HTTdgl5aZDQQ</t>
  </si>
  <si>
    <t>Food, Food Trucks, Indian, Food Delivery Services, Restaurants</t>
  </si>
  <si>
    <t>Chennai Curries</t>
  </si>
  <si>
    <t>TZmMsbw5TbRqv8rmKj_aGg</t>
  </si>
  <si>
    <t>Delicatessen, Delis, Beer, Wine &amp; Spirits, Food, Arts &amp; Entertainment, Sandwiches, Music Venues, Restaurants, Nightlife</t>
  </si>
  <si>
    <t>The Common Market</t>
  </si>
  <si>
    <t>2007 Commonwealth Ave</t>
  </si>
  <si>
    <t>NvyjzqSF55Ghe3GrIIYEcw</t>
  </si>
  <si>
    <t>1801 Scott Ave</t>
  </si>
  <si>
    <t>hupeXWY97YCwZQYC79F6hQ</t>
  </si>
  <si>
    <t>Bagels, Breakfast &amp; Brunch, Soup, Bakeries, Food, Salad, Sandwiches, Restaurants</t>
  </si>
  <si>
    <t>8152 S Tryon St</t>
  </si>
  <si>
    <t>Bm_t6Ka9niKJ-6_QTjkg1g</t>
  </si>
  <si>
    <t>Fast Food, Restaurants, Burgers</t>
  </si>
  <si>
    <t>cxlylBjh7io480BUPpy8Sw</t>
  </si>
  <si>
    <t>Restaurants, Food, Sandwiches, Fast Food</t>
  </si>
  <si>
    <t>Kenilworth Common Shopping Ct, 1235 D East Blvd</t>
  </si>
  <si>
    <t>u632XAPn08Rot9Ru9BoFNA</t>
  </si>
  <si>
    <t>Wine Bars, American (Traditional), Bars, Beer Gardens, Restaurants, Nightlife</t>
  </si>
  <si>
    <t>Old Pineville Premium Pub</t>
  </si>
  <si>
    <t>4548 Old Pineville Rd</t>
  </si>
  <si>
    <t>4g_DBOk8h0A5DrdGlcv02A</t>
  </si>
  <si>
    <t>Restaurants, Latin American, Basque, Bakeries, Food, Spanish, Venezuelan, Vegetarian</t>
  </si>
  <si>
    <t>Arepas Grill</t>
  </si>
  <si>
    <t>4740 Old Pineville Rd, Ste A</t>
  </si>
  <si>
    <t>9BqDoxsq-Mx-Ei1Xu254pQ</t>
  </si>
  <si>
    <t>Papa Murphy's</t>
  </si>
  <si>
    <t>9815 Rae Rd</t>
  </si>
  <si>
    <t>B3H60GaBic12F4VLBi7-9A</t>
  </si>
  <si>
    <t>Pagoda Chinese Restaurant</t>
  </si>
  <si>
    <t>5304 Sunset Rd</t>
  </si>
  <si>
    <t>bFneaB_EoGdDfIi5z6jnyw</t>
  </si>
  <si>
    <t>Sandwiches, Breakfast &amp; Brunch, Restaurants, Delis</t>
  </si>
  <si>
    <t>Common Market SouthEnd</t>
  </si>
  <si>
    <t>235 West Tremont Ave, Ste 103</t>
  </si>
  <si>
    <t>4vDffQ7eSQ7n39cyroOSKQ</t>
  </si>
  <si>
    <t>Restaurants, Hookah Bars, Food, Bars, Desserts, Nightlife, Lounges</t>
  </si>
  <si>
    <t>Crave Dessert Bar</t>
  </si>
  <si>
    <t>500 W 5th St, Ste 120</t>
  </si>
  <si>
    <t>O9Nae8RT-5IBxrQZG2D2Kw</t>
  </si>
  <si>
    <t>Restaurants, Breakfast &amp; Brunch</t>
  </si>
  <si>
    <t>First Watch</t>
  </si>
  <si>
    <t>6311 Providence Farm Ln, Ste 100</t>
  </si>
  <si>
    <t>lrlnHYVp8PSzHZmHIv12fQ</t>
  </si>
  <si>
    <t>Food Trucks, Food, Laotian, Thai, Restaurants</t>
  </si>
  <si>
    <t>JP Food To Go</t>
  </si>
  <si>
    <t>2626 Little Rock Rd</t>
  </si>
  <si>
    <t>QGVPp99uf0IEph0-lTwD4w</t>
  </si>
  <si>
    <t>Food Trucks, Food, Restaurants, Fast Food, Food Stands, Pizza</t>
  </si>
  <si>
    <t>Belly Backers</t>
  </si>
  <si>
    <t>sBrrWO-Nv7imsqU0e5504Q</t>
  </si>
  <si>
    <t>Fast Food, Delis, Restaurants, Sandwiches</t>
  </si>
  <si>
    <t>Jimmy John's</t>
  </si>
  <si>
    <t>13129 S Tryon St</t>
  </si>
  <si>
    <t>RBljAvEdtDr1gCc9MhPBlw</t>
  </si>
  <si>
    <t>Restaurants, Hot Dogs, American (Traditional)</t>
  </si>
  <si>
    <t>K Dogs World Famous Hot Dog</t>
  </si>
  <si>
    <t>11112-D S Tryon St</t>
  </si>
  <si>
    <t>HrR_2-HUE6cqnoz1zMN9AQ</t>
  </si>
  <si>
    <t>Food, Restaurants, Italian, Pizza</t>
  </si>
  <si>
    <t>Omaggio Pizzeria</t>
  </si>
  <si>
    <t>1055 Metropolitan Ave, Ste 130</t>
  </si>
  <si>
    <t>19fdSca3MUoaGFNX2BrjTQ</t>
  </si>
  <si>
    <t>Food, Japanese, Restaurants, Sushi Bars, Poke</t>
  </si>
  <si>
    <t>Umami PokÃƒÂ©Rito</t>
  </si>
  <si>
    <t>7510 Pineville Matthews Rd</t>
  </si>
  <si>
    <t>aBLx9JlAMq_AuW6VAImSwg</t>
  </si>
  <si>
    <t>Sandwiches, Breakfast &amp; Brunch, American (New), Restaurants, Salad</t>
  </si>
  <si>
    <t>Zada Jane's Corner Cafe</t>
  </si>
  <si>
    <t>1601 Central Ave</t>
  </si>
  <si>
    <t>ZV89e6dYFymcBAUmRzKGwA</t>
  </si>
  <si>
    <t>Tanaka Grill &amp; Sushi</t>
  </si>
  <si>
    <t>5332 Prosperity Church Rd</t>
  </si>
  <si>
    <t>iiuXldyDVwgtmFwo_pxSAg</t>
  </si>
  <si>
    <t>American (Traditional), Chicken Wings, Burgers, Restaurants</t>
  </si>
  <si>
    <t>2132 Ayrsley Town Blvd</t>
  </si>
  <si>
    <t>1WtUgLhdBdQ39aBvEUbsnw</t>
  </si>
  <si>
    <t>Asian Fusion, Restaurants, Vietnamese, Sushi Bars</t>
  </si>
  <si>
    <t>Akahana Asian Bistro</t>
  </si>
  <si>
    <t>1308 The Plz</t>
  </si>
  <si>
    <t>kQknjbOvtPmS3NVm-RhcdQ</t>
  </si>
  <si>
    <t>Restaurants, Cajun/Creole</t>
  </si>
  <si>
    <t>Hotel Charlotte Restaurant</t>
  </si>
  <si>
    <t>705 S Sharon Amity Rd</t>
  </si>
  <si>
    <t>Ktqecq6IIVnsAVx_MZcUUw</t>
  </si>
  <si>
    <t>Marcos Pizza</t>
  </si>
  <si>
    <t>11218 Providence Rd W</t>
  </si>
  <si>
    <t>FNUPQBjJ4meyyKZZXaQXgQ</t>
  </si>
  <si>
    <t>Restaurants, Mexican, Latin American</t>
  </si>
  <si>
    <t>El Tropico</t>
  </si>
  <si>
    <t>4335 N Tryon St</t>
  </si>
  <si>
    <t>zr7grc6VLxwuo3iXLAs1oA</t>
  </si>
  <si>
    <t>Casa Bacardi</t>
  </si>
  <si>
    <t>Charlotte International Airport</t>
  </si>
  <si>
    <t>G_LtZnL66Iwama_7_FCLUQ</t>
  </si>
  <si>
    <t>Sushi Bars, Japanese, Restaurants, Asian Fusion, Tapas/Small Plates</t>
  </si>
  <si>
    <t>Baku</t>
  </si>
  <si>
    <t>4515 Sharon Rd</t>
  </si>
  <si>
    <t>o_73vrhXGy07nUWxn5q58A</t>
  </si>
  <si>
    <t>Chicken Wings, Restaurants, American (Traditional)</t>
  </si>
  <si>
    <t>East Coast Wings &amp; Grill</t>
  </si>
  <si>
    <t>9711 Northlake Centre Pkwy</t>
  </si>
  <si>
    <t>V6MWAv-xv4dgSUrDU1qxaA</t>
  </si>
  <si>
    <t>Event Planning &amp; Services, American (Traditional), Restaurants, Italian, Thai, American (New), Vegan, Asian Fusion, Caterers, Noodles, Gluten-Free, Chinese</t>
  </si>
  <si>
    <t>Nothing But Noodles</t>
  </si>
  <si>
    <t>7930 Rea Rd</t>
  </si>
  <si>
    <t>Abm-1HRGPyevBtnC3Rpxag</t>
  </si>
  <si>
    <t>Beer, Wine &amp; Spirits, Food, Nightlife, Pubs, American (Traditional), Sandwiches, Bars, Pizza, American (New), Restaurants</t>
  </si>
  <si>
    <t>Rock Bottom Restaurant &amp; Brewery</t>
  </si>
  <si>
    <t>JWpKSSLuSHUemOES35Dl7w</t>
  </si>
  <si>
    <t>Seafood, Korean, Japanese, Restaurants</t>
  </si>
  <si>
    <t>Fujiyama</t>
  </si>
  <si>
    <t>320 S Tryon St, Ste 117</t>
  </si>
  <si>
    <t>h9Lhx0Fj20iY2zJ4Dqa0Tg</t>
  </si>
  <si>
    <t>Food Delivery Services, Pizza, Food, Restaurants</t>
  </si>
  <si>
    <t>Farley's Pizzeria</t>
  </si>
  <si>
    <t>15025 Lancaster Hwy</t>
  </si>
  <si>
    <t>YAJzBGvqT3dT_qAg6u8E1A</t>
  </si>
  <si>
    <t>Pubs, Chicken Wings, Sports Bars, Restaurants, American (Traditional), Nightlife, Bars</t>
  </si>
  <si>
    <t>Lebowski's Neighborhood Grill</t>
  </si>
  <si>
    <t>1524 East Blvd</t>
  </si>
  <si>
    <t>cabOEjEmUdFjDwe67HpXkA</t>
  </si>
  <si>
    <t>Tony's Pizza</t>
  </si>
  <si>
    <t>1530 Overland Park Ln, Ste 1-104</t>
  </si>
  <si>
    <t>3kGgPRqWOtOdrUMSKKxnhg</t>
  </si>
  <si>
    <t>Sandwiches, Fast Food, Restaurants</t>
  </si>
  <si>
    <t>3020 Prosperity Church Rd</t>
  </si>
  <si>
    <t>6DqOyMcFZhCf5GX-aP7cqA</t>
  </si>
  <si>
    <t>Little Caesars Pizza</t>
  </si>
  <si>
    <t>9009 Albemarle Rd, Ste 102</t>
  </si>
  <si>
    <t>ydh6a3M6EEAQdZFyLHFcrQ</t>
  </si>
  <si>
    <t>Breakfast &amp; Brunch, Restaurants, Chicken Shop, Fast Food</t>
  </si>
  <si>
    <t>5321 Old Dowd Rd</t>
  </si>
  <si>
    <t>3H48sIcoOooMFsTME0Jm_Q</t>
  </si>
  <si>
    <t>Fast Food, Salad, Soup, Sandwiches, Restaurants, Delis</t>
  </si>
  <si>
    <t>Potbelly Sandwich Shop</t>
  </si>
  <si>
    <t>320 S Tryon St</t>
  </si>
  <si>
    <t>kjAUoej1kgAAl_IHcIYTdA</t>
  </si>
  <si>
    <t>Rainbow Grille</t>
  </si>
  <si>
    <t>700 Atando Ave</t>
  </si>
  <si>
    <t>LdhprCGxa0inFo5P812EIg</t>
  </si>
  <si>
    <t>Bars, Wine Bars, Tapas Bars, American (New), Cocktail Bars, Restaurants, Nightlife, Tapas/Small Plates, Lounges, Music Venues, Arts &amp; Entertainment, Breakfast &amp; Brunch</t>
  </si>
  <si>
    <t>Loft &amp; Cellar</t>
  </si>
  <si>
    <t>305 W 4th St</t>
  </si>
  <si>
    <t>_-OBx0-ReIMrPOmaReB8-Q</t>
  </si>
  <si>
    <t>Nightlife, Pubs, Restaurants, Bars, American (Traditional)</t>
  </si>
  <si>
    <t>The Corner Pub</t>
  </si>
  <si>
    <t>335 N Graham St</t>
  </si>
  <si>
    <t>5aWjeN0j0u6wFn6ZsHnEvg</t>
  </si>
  <si>
    <t>Food, Restaurants, Coffee &amp; Tea, Local Flavor</t>
  </si>
  <si>
    <t>Dilworth Coffee</t>
  </si>
  <si>
    <t>1235 East Blvd, Ste B</t>
  </si>
  <si>
    <t>r7S7Dbq6AqSrne2WgoXohQ</t>
  </si>
  <si>
    <t>Restaurants</t>
  </si>
  <si>
    <t>Harper's Restaurant</t>
  </si>
  <si>
    <t>1228 E Morehead St</t>
  </si>
  <si>
    <t>ImVLYkYtgmgfrOamxzXYZA</t>
  </si>
  <si>
    <t>Specialty Food, Food, Vietnamese, Restaurants</t>
  </si>
  <si>
    <t>Pho Place</t>
  </si>
  <si>
    <t>Latta Arcade Church St</t>
  </si>
  <si>
    <t>BIWDzxxfly7DNYBER4kqpQ</t>
  </si>
  <si>
    <t>Ari's Pizza</t>
  </si>
  <si>
    <t>4450 The Plz, Ste D</t>
  </si>
  <si>
    <t>E0TK141YMBP0LBknhVKEqw</t>
  </si>
  <si>
    <t>American (New), Creperies, Sandwiches, Gastropubs, Restaurants, Modern European</t>
  </si>
  <si>
    <t>CrÃƒÂªpe Cellar</t>
  </si>
  <si>
    <t>3116 N Davidson St</t>
  </si>
  <si>
    <t>oUuxEuWDbyXmnr9jpL9v2Q</t>
  </si>
  <si>
    <t>Restaurants, Seafood, Chicken Shop</t>
  </si>
  <si>
    <t>Pier 16 Fish &amp; Chicken</t>
  </si>
  <si>
    <t>3800 Brookshire Blvd</t>
  </si>
  <si>
    <t>k2vfX7620aLlHOP2NiJruw</t>
  </si>
  <si>
    <t>American (Traditional), Bars, Nightlife, Sports Bars, Restaurants</t>
  </si>
  <si>
    <t>Stadium Sports Tavern</t>
  </si>
  <si>
    <t>8155 Ardrey Kell Rd</t>
  </si>
  <si>
    <t>bxUtoCqGF9GbiPv5DbOs4g</t>
  </si>
  <si>
    <t>Bakeries, Salad, Breakfast &amp; Brunch, Food, Bagels, Restaurants, Soup, Sandwiches</t>
  </si>
  <si>
    <t>14835 Ballantyne Village Way</t>
  </si>
  <si>
    <t>t54Zsk6hV-17BZ6DzOEq4w</t>
  </si>
  <si>
    <t>6300 Carmel Rd, Ste 139</t>
  </si>
  <si>
    <t>8xlME4uNKp1X_-KXmrJOUg</t>
  </si>
  <si>
    <t>Mediterranean, Restaurants</t>
  </si>
  <si>
    <t>CAVA</t>
  </si>
  <si>
    <t>4267 Park Rd</t>
  </si>
  <si>
    <t>75I53bwt6FXvGn7pv55-MQ</t>
  </si>
  <si>
    <t>Restaurants, Steakhouses, Seafood</t>
  </si>
  <si>
    <t>McIntosh's Steaks &amp; Seafood</t>
  </si>
  <si>
    <t>1812 South Blvd</t>
  </si>
  <si>
    <t>PR82wjqOPSmhEwRI1Kw3GA</t>
  </si>
  <si>
    <t>Food, Breakfast &amp; Brunch, Restaurants, American (New), American (Traditional), Burgers</t>
  </si>
  <si>
    <t>336 S Sharon Amity Rd</t>
  </si>
  <si>
    <t>zbbQdTc22S9ROibEimKHAw</t>
  </si>
  <si>
    <t>Salad, Sandwiches, Delis, Restaurants, Event Planning &amp; Services, Caterers</t>
  </si>
  <si>
    <t>Jason's Deli</t>
  </si>
  <si>
    <t>vP4sY1QCP8Du4dzxG-I0WQ</t>
  </si>
  <si>
    <t>Sandwiches, Restaurants</t>
  </si>
  <si>
    <t>The Steak' N Hoagie Shop</t>
  </si>
  <si>
    <t>903 Eastway Dr</t>
  </si>
  <si>
    <t>Xd7SRDs6ZJtk5ZQiAM2QJg</t>
  </si>
  <si>
    <t>Restaurants, Indian</t>
  </si>
  <si>
    <t>Kabuto Indian Biryani &amp; Grill</t>
  </si>
  <si>
    <t>502 Tyvola Rd</t>
  </si>
  <si>
    <t>IO-TqtFvn2gkcSxVrw59aA</t>
  </si>
  <si>
    <t>Restaurants, Mediterranean</t>
  </si>
  <si>
    <t>Levant Mediterranean Cuisine</t>
  </si>
  <si>
    <t>501 S Church St, Ste 120</t>
  </si>
  <si>
    <t>UByM7N0mF-ylIGUuIWHCtA</t>
  </si>
  <si>
    <t>Sullivan's Steakhouse</t>
  </si>
  <si>
    <t>1928 South Blvd, Ste 200</t>
  </si>
  <si>
    <t>IbG2bgOTAGayL6T8VVePGQ</t>
  </si>
  <si>
    <t>Event Planning &amp; Services, Caterers, Restaurants, Fast Food</t>
  </si>
  <si>
    <t>8648 Jw Clay Blvd</t>
  </si>
  <si>
    <t>Jo4H3qhaeOrT-UsjC6PrkA</t>
  </si>
  <si>
    <t>Barbeque, Restaurants, Southern</t>
  </si>
  <si>
    <t>Queen City Q</t>
  </si>
  <si>
    <t>16139 Lancaster Hwy</t>
  </si>
  <si>
    <t>jUF7BSWB2s7Xgp5PbISbsg</t>
  </si>
  <si>
    <t>Caribbean, Restaurants, Soul Food</t>
  </si>
  <si>
    <t>9609 N Tryon St, Ste K</t>
  </si>
  <si>
    <t>Beer, Wine &amp; Spirits, American (New), Food, Restaurants, Breweries, Tapas/Small Plates, Gastropubs</t>
  </si>
  <si>
    <t>Davidson Street Public House</t>
  </si>
  <si>
    <t>Q1L_Nb1QsD0S9pbng5-kMQ</t>
  </si>
  <si>
    <t>Italian, Nightlife, Restaurants, Pizza, Wine Bars, Bars</t>
  </si>
  <si>
    <t>Portofino's Italian Restaurant Ayrsley</t>
  </si>
  <si>
    <t>2127 Ayrsley Town Blvd</t>
  </si>
  <si>
    <t>M9xBz7QSw1rV0glDmP5k1A</t>
  </si>
  <si>
    <t>16049 Johnston Rd, Ste J</t>
  </si>
  <si>
    <t>ZX9eujPNUxqWEWYdr4Ulqg</t>
  </si>
  <si>
    <t>American (New), Salad, Chicken Wings, Sandwiches, Restaurants, Soup, Food, Food Trucks</t>
  </si>
  <si>
    <t>The Mayobird</t>
  </si>
  <si>
    <t>1531 E Blvd</t>
  </si>
  <si>
    <t>OnGPegQGuQ5_uuFLvezvKw</t>
  </si>
  <si>
    <t>Japanese, Restaurants, Chinese</t>
  </si>
  <si>
    <t>Shun Lee Palace</t>
  </si>
  <si>
    <t>4340 Colwick Rd</t>
  </si>
  <si>
    <t>T2tEMLpTeSMxLKpxwFdS3g</t>
  </si>
  <si>
    <t>Latin American, Mexican, Seafood, Restaurants, Tex-Mex</t>
  </si>
  <si>
    <t>Cabo Fish Taco</t>
  </si>
  <si>
    <t>3201 N Davidson St</t>
  </si>
  <si>
    <t>LAswzVTnT3uCvnKr-SwxEg</t>
  </si>
  <si>
    <t>Hmshost</t>
  </si>
  <si>
    <t>NKC_fa3_vdJQq4Vj7ih2_A</t>
  </si>
  <si>
    <t>Puerto Rican, Restaurants, Spanish, Caribbean</t>
  </si>
  <si>
    <t>Sabor de Puerto Rico</t>
  </si>
  <si>
    <t>4709 Tuckaseegee Rd</t>
  </si>
  <si>
    <t>xEIqG7Rq8ydAT9LxCVBOOg</t>
  </si>
  <si>
    <t>Asian Fusion, Chinese, Thai, Sushi Bars, Restaurants</t>
  </si>
  <si>
    <t>Red Bowl Asian Bistro</t>
  </si>
  <si>
    <t>3538 Mt Holly Huntersville Rd</t>
  </si>
  <si>
    <t>ZVGPttEyPZUWdsA98CgWog</t>
  </si>
  <si>
    <t>Sultan Kabob House</t>
  </si>
  <si>
    <t>9640 S Tryon St</t>
  </si>
  <si>
    <t>er-nETZUCUpNKsoKUP97kw</t>
  </si>
  <si>
    <t>7920 Cambridge Commons Dr</t>
  </si>
  <si>
    <t>x0nPQOsfh_fy43-M-iCbRA</t>
  </si>
  <si>
    <t>Chin Chin</t>
  </si>
  <si>
    <t>9856 Monroe Rd</t>
  </si>
  <si>
    <t>6hZgMg9rnDCC0RBVRlkZwQ</t>
  </si>
  <si>
    <t>Food, Salad, Japanese, Restaurants, Sushi Bars, Desserts</t>
  </si>
  <si>
    <t>Mr Tokyo Japanese Restaurant</t>
  </si>
  <si>
    <t>8334 Pineville Matthew Rd</t>
  </si>
  <si>
    <t>90eu_fBWXfcRehAJVfsOIg</t>
  </si>
  <si>
    <t>7741 Colony Rd</t>
  </si>
  <si>
    <t>Zd6vgtm9vQAxJbiuIrk0QA</t>
  </si>
  <si>
    <t>13000 S Tryon St</t>
  </si>
  <si>
    <t>0v984vlPQfb4VZWvBJSsfg</t>
  </si>
  <si>
    <t>Nightlife, Sushi Bars, American (New), Lounges, Restaurants, Bars</t>
  </si>
  <si>
    <t>Cosmos Cafe</t>
  </si>
  <si>
    <t>300 N College St</t>
  </si>
  <si>
    <t>wFbncfH1aRNhF9pleXU7wA</t>
  </si>
  <si>
    <t>Food, Specialty Food, Sushi Bars, Restaurants, Ethnic Food</t>
  </si>
  <si>
    <t>How Do You Roll ?</t>
  </si>
  <si>
    <t>Ballantyne Corners Shopping Center, 11318 N Community House Rd</t>
  </si>
  <si>
    <t>vw2bjKUHThIAp_Soz6m0Pw</t>
  </si>
  <si>
    <t>Art Galleries, Mediterranean, Greek, Arts &amp; Entertainment, Shopping, Local Flavor, Restaurants, Arts &amp; Crafts, Jewelry</t>
  </si>
  <si>
    <t>Yiasou Greek Festival</t>
  </si>
  <si>
    <t>600 East Blvd</t>
  </si>
  <si>
    <t>RPdnLqobT7fUzyekOnMitQ</t>
  </si>
  <si>
    <t>Restaurants, Hot Dogs</t>
  </si>
  <si>
    <t>Woody's Chicago Style</t>
  </si>
  <si>
    <t>5F5z9wntiSn-rKuit92fJQ</t>
  </si>
  <si>
    <t>Caterers, Restaurants, Fast Food, Event Planning &amp; Services</t>
  </si>
  <si>
    <t>4431 Randolph Rd</t>
  </si>
  <si>
    <t>X2hqIoRSFl96wT7qluI9ZA</t>
  </si>
  <si>
    <t>Asian Fusion, Restaurants</t>
  </si>
  <si>
    <t>Asian Garden</t>
  </si>
  <si>
    <t>2925 E Wt Harris Blvd, Ste B</t>
  </si>
  <si>
    <t>ybbtuwtS5S6Q5-3Up0jG2Q</t>
  </si>
  <si>
    <t>Restaurants, Coffee &amp; Tea, Food</t>
  </si>
  <si>
    <t>Charlotte Coffee Station</t>
  </si>
  <si>
    <t>UVBF8lak7rAO2r8nam9MOA</t>
  </si>
  <si>
    <t>Steakhouses, Japanese, Nightlife, Restaurants, Sushi Bars, Bars, Cocktail Bars</t>
  </si>
  <si>
    <t>Suki Akor</t>
  </si>
  <si>
    <t>401 E M Lk Jr Blvd, Ste 306</t>
  </si>
  <si>
    <t>vYCBkwsQrdpb-RbkjWqG-w</t>
  </si>
  <si>
    <t>Restaurants, Chinese, Chicken Wings</t>
  </si>
  <si>
    <t>Wing Heaven</t>
  </si>
  <si>
    <t>5516 South Blvd</t>
  </si>
  <si>
    <t>FLyufyQmLXnQzHhfWpNB5g</t>
  </si>
  <si>
    <t>Southern, American (New), Comfort Food, Restaurants</t>
  </si>
  <si>
    <t>Ember Grille &amp; Terrace</t>
  </si>
  <si>
    <t>601 S College St</t>
  </si>
  <si>
    <t>SXQEYB5qR_y8LNQUsGKHhA</t>
  </si>
  <si>
    <t>Sports Bars, Nightlife, Bars, Restaurants, Pool Halls, American (Traditional), Burgers</t>
  </si>
  <si>
    <t>Providence Road Sundries</t>
  </si>
  <si>
    <t>1522 Providence Rd</t>
  </si>
  <si>
    <t>iob-hWxzVOsZxC5sh0EdHA</t>
  </si>
  <si>
    <t>8315 Northlake Commons Blvd</t>
  </si>
  <si>
    <t>5gl2GLgimBz1-Q-uXji_Rw</t>
  </si>
  <si>
    <t>Food Delivery Services, Pizza, Food, Chicken Wings, Italian, Restaurants</t>
  </si>
  <si>
    <t>Milano's Pizza &amp; Pasta</t>
  </si>
  <si>
    <t>rVzosqfZxSLee9tV-WW6MA</t>
  </si>
  <si>
    <t>Breakfast &amp; Brunch, Bagels, Food, Sandwiches, Restaurants, Bakeries</t>
  </si>
  <si>
    <t>Bruegger's Bagels</t>
  </si>
  <si>
    <t>4327 Park Rd, Bldg 25</t>
  </si>
  <si>
    <t>_q5KRey0wfvf1Z7yTjGMuQ</t>
  </si>
  <si>
    <t>Restaurants, Gelato, Coffee &amp; Tea, Ice Cream &amp; Frozen Yogurt, Cafes, Food</t>
  </si>
  <si>
    <t>Yofflers</t>
  </si>
  <si>
    <t>11318 N Community House Rd, Ste 204</t>
  </si>
  <si>
    <t>1p7CaMTJBO1VuvpogOvrFA</t>
  </si>
  <si>
    <t>Pizza, Restaurants, Fast Food, Chicken Wings, Sandwiches</t>
  </si>
  <si>
    <t>3205 North Sharon Amity Rd</t>
  </si>
  <si>
    <t>IuONl7tvvBovSb24-iR_DA</t>
  </si>
  <si>
    <t>African, Soul Food, Restaurants</t>
  </si>
  <si>
    <t>Mama Gee's Takeout Restaurant</t>
  </si>
  <si>
    <t>509 Beatties Ford Rd</t>
  </si>
  <si>
    <t>CA9DW-u62WT8Ds2ZDUvNNw</t>
  </si>
  <si>
    <t>Nightlife, American (Traditional), Sports Bars, Bars, Restaurants, Tex-Mex</t>
  </si>
  <si>
    <t>500 University Center Blvd</t>
  </si>
  <si>
    <t>lcbMJQ1ltFT29THt_I-3yQ</t>
  </si>
  <si>
    <t>Village Bistro</t>
  </si>
  <si>
    <t>14185 John J Delany Dr, Ste 150</t>
  </si>
  <si>
    <t>37WwsSrfPocA3RM-AuZ5tw</t>
  </si>
  <si>
    <t>Bakeries, Desserts, Cafes, Coffee &amp; Tea, Food, Restaurants</t>
  </si>
  <si>
    <t>Nestle Toll House Cafe By Chip</t>
  </si>
  <si>
    <t>4400 Sharon Rd, Ste 116</t>
  </si>
  <si>
    <t>nhrR9_rflG0jnezbACb1Og</t>
  </si>
  <si>
    <t>Gift Shops, Vietnamese, Grocery, Shopping, Food, Flowers &amp; Gifts, Imported Food, International Grocery, Ethnic Food, Restaurants, Ethnic Grocery, Specialty Food</t>
  </si>
  <si>
    <t>Kim Anh Oriental Groceries &amp; Gifts</t>
  </si>
  <si>
    <t>3615 Whitehall Park Dr, Ste F</t>
  </si>
  <si>
    <t>WbJ1LRQdOuYYlRLyTkuuxw</t>
  </si>
  <si>
    <t>Breakfast &amp; Brunch, Southern, American (New), Restaurants</t>
  </si>
  <si>
    <t>Tupelo Honey</t>
  </si>
  <si>
    <t>1820 South Blvd</t>
  </si>
  <si>
    <t>oLTUXAF0dZMQuYUi2VgmPQ</t>
  </si>
  <si>
    <t>American (Traditional), Restaurants, Chicken Wings, Sandwiches, Salad, Fast Food</t>
  </si>
  <si>
    <t>Zaxby's Chicken Fingers &amp; Buffalo Wings</t>
  </si>
  <si>
    <t>1930 Sardis Rd N</t>
  </si>
  <si>
    <t>OMEbwr0Aybw_wnqvno-6zQ</t>
  </si>
  <si>
    <t>Tex-Mex, Mexican, Nightlife, Restaurants, Bars</t>
  </si>
  <si>
    <t>7314 Waverly Walk Ave</t>
  </si>
  <si>
    <t>Z4BLvKJuJOpiaWGW8X62sg</t>
  </si>
  <si>
    <t>Eggs Up Grill</t>
  </si>
  <si>
    <t>6414 Rea Rd</t>
  </si>
  <si>
    <t>kKDC53Ru4f0of1oF--4wbA</t>
  </si>
  <si>
    <t>Currito - Burritos Without Borders</t>
  </si>
  <si>
    <t>Northlake Mall, 6801 Northlake Mall Dr</t>
  </si>
  <si>
    <t>oLhb7tWPNP5SttENVmGtHw</t>
  </si>
  <si>
    <t>Breweries, Food, Pizza, Art Galleries, Shopping, Restaurants, Arts &amp; Entertainment, Coffee &amp; Tea</t>
  </si>
  <si>
    <t>Salud Cerveceria</t>
  </si>
  <si>
    <t>3306-C N Davidson St</t>
  </si>
  <si>
    <t>FoJRtc3PDpbKsy_C5fk88Q</t>
  </si>
  <si>
    <t>Restaurants, Food, Sandwiches, Breakfast &amp; Brunch, Bagels</t>
  </si>
  <si>
    <t>9211 North Tryon St, Ste 13</t>
  </si>
  <si>
    <t>ExtP8z3SVyut_RICc9i_DA</t>
  </si>
  <si>
    <t>Middle Eastern, Lebanese, Restaurants, Mediterranean</t>
  </si>
  <si>
    <t>Zeitouni Grill</t>
  </si>
  <si>
    <t>3419 Toringdon Way, Ste A-124</t>
  </si>
  <si>
    <t>rYPlWpOli9wBsP4sdFE26A</t>
  </si>
  <si>
    <t>Sandwiches, Breakfast &amp; Brunch, Restaurants</t>
  </si>
  <si>
    <t>e2GO</t>
  </si>
  <si>
    <t>135 Levine Ave of the Arts, Ste 100</t>
  </si>
  <si>
    <t>KJMC9x2VoSIwMh2lA1pfaA</t>
  </si>
  <si>
    <t>Burgers, Food, Beer, Wine &amp; Spirits, Arts &amp; Entertainment, Wineries, Sandwiches, Restaurants</t>
  </si>
  <si>
    <t>Arthur's At Belk</t>
  </si>
  <si>
    <t>4400 Sharon Rd</t>
  </si>
  <si>
    <t>pldfvm-zM2VU5m9a-j9cMQ</t>
  </si>
  <si>
    <t>Cafes, Creperies, Breakfast &amp; Brunch, Food, Desserts, American (New), Restaurants</t>
  </si>
  <si>
    <t>Hazelnuts Creperie</t>
  </si>
  <si>
    <t>200 S Tryon St</t>
  </si>
  <si>
    <t>ZNiDs4waM025JdZI9cOV0A</t>
  </si>
  <si>
    <t>Pasta Shops, Food, Specialty Food, Restaurants, American (New)</t>
  </si>
  <si>
    <t>Flourshop</t>
  </si>
  <si>
    <t>530 Brandywine Rd, Ste A</t>
  </si>
  <si>
    <t>yWUBX9Pe6pzh1PjVj04UmQ</t>
  </si>
  <si>
    <t>Nightlife, Burgers, Food, Ice Cream &amp; Frozen Yogurt, Bars, Fast Food, Restaurants, American (Traditional), Salad</t>
  </si>
  <si>
    <t>Bad Daddy's Burger Bar</t>
  </si>
  <si>
    <t>1626 East Blvd</t>
  </si>
  <si>
    <t>IKDzQtQ2X7pyCbNkjeNrUg</t>
  </si>
  <si>
    <t>Restaurants, Bakeries, Food, Ice Cream &amp; Frozen Yogurt</t>
  </si>
  <si>
    <t>Maggiemoo's</t>
  </si>
  <si>
    <t>WPkRg0eaJZFbyXm0uNb1ZA</t>
  </si>
  <si>
    <t>Cabo's Mexican Cuisine and Cantina</t>
  </si>
  <si>
    <t>6676 Carmel Rd</t>
  </si>
  <si>
    <t>HhJ9BQIWdDnpuvdwlMRoNQ</t>
  </si>
  <si>
    <t>Pakistani, Indian, Restaurants</t>
  </si>
  <si>
    <t>Flavors of India</t>
  </si>
  <si>
    <t>320 S Tryon St, Ste 116</t>
  </si>
  <si>
    <t>5q6Xh-UcJa78bp6dzyaE7w</t>
  </si>
  <si>
    <t>Donuts, Breakfast &amp; Brunch, Coffee &amp; Tea, Food, Restaurants</t>
  </si>
  <si>
    <t>Duck Donuts</t>
  </si>
  <si>
    <t>1710 Kenilworth Ave, Ste 220</t>
  </si>
  <si>
    <t>WkAVUoyX69LLfeS9cMSm5g</t>
  </si>
  <si>
    <t>Restaurants, Salad, Sandwiches, Food, Breakfast &amp; Brunch, Bakeries, Soup</t>
  </si>
  <si>
    <t>3625 W Tyvola Rd</t>
  </si>
  <si>
    <t>uSfMPBkH2lcxvBswLyaY0A</t>
  </si>
  <si>
    <t>301 S Tryon St</t>
  </si>
  <si>
    <t>ESWBD7Atc9cejaUiqbPpZg</t>
  </si>
  <si>
    <t>Mexican, Restaurants, Chicken Wings, Burgers</t>
  </si>
  <si>
    <t>Tamaleria Laurita</t>
  </si>
  <si>
    <t>809 E Arrowood Rd, Ste 2100</t>
  </si>
  <si>
    <t>EpraQbQkJIVqcfiiP3FQRA</t>
  </si>
  <si>
    <t>Coffee &amp; Tea, Fast Food, Food, Restaurants, Burgers</t>
  </si>
  <si>
    <t>8900 J M Keynes Dr</t>
  </si>
  <si>
    <t>M0pkmBUi_CI0qrzN7ee80Q</t>
  </si>
  <si>
    <t>Food, Bakeries, Coffee &amp; Tea, Cafes, Restaurants</t>
  </si>
  <si>
    <t>380 S College St</t>
  </si>
  <si>
    <t>mikaCujT2MtuoGdUTkp-Ow</t>
  </si>
  <si>
    <t>Restaurants, Nightlife, Bars, Wine Bars, Tapas/Small Plates</t>
  </si>
  <si>
    <t>Vintage Wine Lounge</t>
  </si>
  <si>
    <t>gChmBjLSe3qa8rzEngoDLQ</t>
  </si>
  <si>
    <t>Pizza, Salad, Restaurants, American (New)</t>
  </si>
  <si>
    <t>Fahrenheit</t>
  </si>
  <si>
    <t>222 S Caldwell St</t>
  </si>
  <si>
    <t>lcSQjVKY_T8w6QTyPZO5ww</t>
  </si>
  <si>
    <t>Sandwiches, Restaurants, Do-It-Yourself Food, Salad, Food, Vegetarian</t>
  </si>
  <si>
    <t>Chopt Creative Salad Co.</t>
  </si>
  <si>
    <t>8022 Providence Rd</t>
  </si>
  <si>
    <t>3ZZUo_-T-JC6t15gHnhxGQ</t>
  </si>
  <si>
    <t>American (New), Vegetarian, Sandwiches, Restaurants, Salad, Gluten-Free</t>
  </si>
  <si>
    <t>Crunch Bistro</t>
  </si>
  <si>
    <t>6414 Rea Rd, Ste C2, The Shops At Piper Glen</t>
  </si>
  <si>
    <t>iJpTpE9A8WDWvUlvUcFZuA</t>
  </si>
  <si>
    <t>Pizza, Nightlife, Bars, Seafood, Italian, Restaurants, American (New), Cocktail Bars</t>
  </si>
  <si>
    <t>Brio</t>
  </si>
  <si>
    <t>4720 Piedmont Row Dr, Ste 150</t>
  </si>
  <si>
    <t>kJk3m__a57y_jvs3heXSkA</t>
  </si>
  <si>
    <t>Restaurants, Tacos, Food Trucks, Street Vendors, Mexican, Food</t>
  </si>
  <si>
    <t>Chilaka TacoLab</t>
  </si>
  <si>
    <t>6100  South Blvd</t>
  </si>
  <si>
    <t>npWIa3dIPEV1MTaZNq6AUA</t>
  </si>
  <si>
    <t>Restaurants, Steakhouses, Wine Bars, Nightlife, American (Traditional), Bars, Seafood, American (New)</t>
  </si>
  <si>
    <t>Firebirds Wood Fired Grill</t>
  </si>
  <si>
    <t>7716 Rea Rd</t>
  </si>
  <si>
    <t>hd4DGQ3rZkg2lzw4x4D-5A</t>
  </si>
  <si>
    <t>Barbeque, American (Traditional), Restaurants</t>
  </si>
  <si>
    <t>Boardwalk Billy's</t>
  </si>
  <si>
    <t>n6dds9NX1YetxGRJ6dhIlQ</t>
  </si>
  <si>
    <t>Buffets, Restaurants</t>
  </si>
  <si>
    <t>River Buffet &amp; Grill</t>
  </si>
  <si>
    <t>8215 University City Blvd</t>
  </si>
  <si>
    <t>HBBZRHpJG3L4lXLWz910JQ</t>
  </si>
  <si>
    <t>Flagstones</t>
  </si>
  <si>
    <t>5501 Carnegie Blvd</t>
  </si>
  <si>
    <t>XMrLwzmEAsfNpbKRC7vUzQ</t>
  </si>
  <si>
    <t>Chicken Wings, Tacos, Restaurants, American (Traditional), Sports Bars, Nightlife, American (New), Bars, Mexican</t>
  </si>
  <si>
    <t>Taco Mac</t>
  </si>
  <si>
    <t>517 University Center Blvd</t>
  </si>
  <si>
    <t>vAgV7hgQF8IazGNRlNtDiw</t>
  </si>
  <si>
    <t>Pizza, Italian, Restaurants, Chicken Wings</t>
  </si>
  <si>
    <t>Pizza Hut</t>
  </si>
  <si>
    <t>7802A Fairview Rd</t>
  </si>
  <si>
    <t>wU8Sld-ehrRXiuH1QcWTcg</t>
  </si>
  <si>
    <t>Greek, Southern, Mediterranean, Sandwiches, Restaurants</t>
  </si>
  <si>
    <t>Showmars</t>
  </si>
  <si>
    <t>1600 E Blvd</t>
  </si>
  <si>
    <t>3f2dKT9PgLipoNi6vebnDQ</t>
  </si>
  <si>
    <t>Fortune Cookie</t>
  </si>
  <si>
    <t>V19SJT2zo8ydJWhMB_31SA</t>
  </si>
  <si>
    <t>Taziki's Mediterranean Cafe</t>
  </si>
  <si>
    <t>205 S Kings Dr, Ste 100</t>
  </si>
  <si>
    <t>0IySwcfqwJjpHPsYwjpAkg</t>
  </si>
  <si>
    <t>Fast Food, Sandwiches, Restaurants</t>
  </si>
  <si>
    <t>2904 Yorkmont Rd</t>
  </si>
  <si>
    <t>JXGyLKoAmNfC0IDe0NYZbA</t>
  </si>
  <si>
    <t>Buffets, Restaurants, American (Traditional)</t>
  </si>
  <si>
    <t>Souper Salad</t>
  </si>
  <si>
    <t>5117 S Blvd</t>
  </si>
  <si>
    <t>H5aJsGJu8211pUms6otexg</t>
  </si>
  <si>
    <t>9905 Northlake Mall Pkwy</t>
  </si>
  <si>
    <t>8CPVh2uBLLYTIfv65j9wlQ</t>
  </si>
  <si>
    <t>Barbeque, Food, Event Planning &amp; Services, Southern, Caterers, Food Trucks, Restaurants</t>
  </si>
  <si>
    <t>Rocky Top BBQ Co</t>
  </si>
  <si>
    <t>3500 Latrobe Dr, Ste 300</t>
  </si>
  <si>
    <t>Zo9nErKOVrY9d7Bfa1Gn2g</t>
  </si>
  <si>
    <t>Soul Food, American (Traditional), Comfort Food, Restaurants, Food Trucks, Food, Southern</t>
  </si>
  <si>
    <t>Comfort Foods on Wheels</t>
  </si>
  <si>
    <t>tzYcd4njGLGya9igO2aYPg</t>
  </si>
  <si>
    <t>Restaurants, Delis, Sandwiches, Event Planning &amp; Services, Salad, Caterers</t>
  </si>
  <si>
    <t>3509 David Cox Rd</t>
  </si>
  <si>
    <t>gXYevYIEOvyrmc7gd35qrg</t>
  </si>
  <si>
    <t>Tapas Bars, Nightlife, Food, Cafes, Restaurants, Pubs, Desserts, Wine Bars, Bars</t>
  </si>
  <si>
    <t>POPLAR  Tapas. Wine. Spirits</t>
  </si>
  <si>
    <t>224 W 10th St</t>
  </si>
  <si>
    <t>MTLs08qW1hb72oeNvxTLPg</t>
  </si>
  <si>
    <t>Penn Station East Coast Subs</t>
  </si>
  <si>
    <t>5110 Park Rd</t>
  </si>
  <si>
    <t>ntMauFOy3bpFqrYG7n0v2Q</t>
  </si>
  <si>
    <t>2301 The Plz</t>
  </si>
  <si>
    <t>c9sUbc-SoW7xCOK8lS2ZpQ</t>
  </si>
  <si>
    <t>Seafood, Japanese, Food, Restaurants</t>
  </si>
  <si>
    <t>Hibachi Express &amp; Grill</t>
  </si>
  <si>
    <t>3AtzUXZuCljfNUVRtle2Mw</t>
  </si>
  <si>
    <t>Gardenia Restaurant</t>
  </si>
  <si>
    <t>1019 Alleghany St</t>
  </si>
  <si>
    <t>Restaurants, Delis, Wraps, Sandwiches</t>
  </si>
  <si>
    <t>Stacey's Deli &amp; Catering</t>
  </si>
  <si>
    <t>10720 S Tryon St, Ste O</t>
  </si>
  <si>
    <t>2Qz80YiECe_d5-zb1GwbpQ</t>
  </si>
  <si>
    <t>Burgers, American (Traditional), Chicken Wings, Restaurants</t>
  </si>
  <si>
    <t>U Name It Restaurant</t>
  </si>
  <si>
    <t>1537 W Blvd</t>
  </si>
  <si>
    <t>0D6NKcLzVfQ3RcEPySmzDw</t>
  </si>
  <si>
    <t>Restaurants, Sushi Bars, Japanese</t>
  </si>
  <si>
    <t>Masa Sushi &amp; Asian Grill</t>
  </si>
  <si>
    <t>12806 S Tryon St</t>
  </si>
  <si>
    <t>7fD4xn76oSgksqfkOpG9qw</t>
  </si>
  <si>
    <t>Restaurants, Sushi Bars, Japanese, Chinese</t>
  </si>
  <si>
    <t>Suki Hana</t>
  </si>
  <si>
    <t>6801 N Lake Mall Dr, #207</t>
  </si>
  <si>
    <t>HPhtgNS6GQe523P8LZHylg</t>
  </si>
  <si>
    <t>Rosemont</t>
  </si>
  <si>
    <t>1714 South Blvd</t>
  </si>
  <si>
    <t>AhbNhI6fyUlB1gB7vKX2Nw</t>
  </si>
  <si>
    <t>Italian, Pizza, Restaurants, Sandwiches, Chicken Wings, Fast Food</t>
  </si>
  <si>
    <t>3901 Providence Rd, Suite G</t>
  </si>
  <si>
    <t>rH3T4ZITiUpwwKqCyYCWKg</t>
  </si>
  <si>
    <t>Sandwiches, Street Vendors, Food, Restaurants, Greek, Breakfast &amp; Brunch</t>
  </si>
  <si>
    <t>Graham Street Grill</t>
  </si>
  <si>
    <t>2519 N Graham St</t>
  </si>
  <si>
    <t>Ebsd4gjMWvbwssDRDsflVQ</t>
  </si>
  <si>
    <t>Chi Thai</t>
  </si>
  <si>
    <t>3333 Pineville Matthews Rd</t>
  </si>
  <si>
    <t>uMYFhajHSs0Vj5erQHe9yg</t>
  </si>
  <si>
    <t>Restaurants, Sandwiches, Delis, Fast Food</t>
  </si>
  <si>
    <t>Quiznos</t>
  </si>
  <si>
    <t>901 E 4th St, Ste B</t>
  </si>
  <si>
    <t>_DOjM_VGK-ojgjoY6esOdg</t>
  </si>
  <si>
    <t>Restaurants, Caterers, Barbeque, Event Planning &amp; Services</t>
  </si>
  <si>
    <t>The Q Shack</t>
  </si>
  <si>
    <t>10822 Providence Rd</t>
  </si>
  <si>
    <t>w3PwDEbI0EDx4YI_BkFhIA</t>
  </si>
  <si>
    <t>Pizza, Restaurants, Italian</t>
  </si>
  <si>
    <t>Portofino's</t>
  </si>
  <si>
    <t>5126 Park Rd, Ste 1c</t>
  </si>
  <si>
    <t>9k-q8w2MsVuc1KcpwKZ2Hw</t>
  </si>
  <si>
    <t>Restaurants, Bars, Nightlife, American (Traditional)</t>
  </si>
  <si>
    <t>Comet Grill</t>
  </si>
  <si>
    <t>2224 Park Rd</t>
  </si>
  <si>
    <t>v0ubf7h2E0OfwGGfkI1S4w</t>
  </si>
  <si>
    <t>Mexican, Restaurants, Nightlife, Bars</t>
  </si>
  <si>
    <t>Que Onda Tacos Matthews</t>
  </si>
  <si>
    <t>3016 Weddington Rd, Ste 100</t>
  </si>
  <si>
    <t>HFE26zoL72N7MCv2c_2-tQ</t>
  </si>
  <si>
    <t>Restaurants, Event Planning &amp; Services, Caterers, Indian</t>
  </si>
  <si>
    <t>Balu's Biryani</t>
  </si>
  <si>
    <t>xRVIv9-6y4aGE-kxdUK9BA</t>
  </si>
  <si>
    <t>Restaurants, Sandwiches, Bars, Nightlife, Chicken Wings</t>
  </si>
  <si>
    <t>Doghouse Bar and Grill</t>
  </si>
  <si>
    <t>7200 Albermarle Rd</t>
  </si>
  <si>
    <t>6XN7DP9PD3e_FLmCZiG0Gg</t>
  </si>
  <si>
    <t>Restaurants, American (Traditional), Sandwiches, Food, Salad, Delis</t>
  </si>
  <si>
    <t>Mcalister's Deli</t>
  </si>
  <si>
    <t>101 South Tryon St</t>
  </si>
  <si>
    <t>T6r1CjkbVHMsGpR2dlyXuQ</t>
  </si>
  <si>
    <t>Food Delivery Services, Asian Fusion, Sushi Bars, Food, Japanese, Restaurants</t>
  </si>
  <si>
    <t>Sushiya Japan</t>
  </si>
  <si>
    <t>8200 Providence Rd, Ste 500</t>
  </si>
  <si>
    <t>9YiIVnH_QokhOCqho28CPg</t>
  </si>
  <si>
    <t>Food, Fast Food, Burgers, Restaurants, Coffee &amp; Tea</t>
  </si>
  <si>
    <t>7051 South Blvd</t>
  </si>
  <si>
    <t>wmZUubpFZvgi_jtlDD-yRg</t>
  </si>
  <si>
    <t>Soul Food, American (Traditional), Restaurants</t>
  </si>
  <si>
    <t>Chicken Box</t>
  </si>
  <si>
    <t>3726 N Tryon St</t>
  </si>
  <si>
    <t>wkZ6P5fDw0G_iFRU-hzBhQ</t>
  </si>
  <si>
    <t>Sandwiches, Tacos, Italian, Beer, Wine &amp; Spirits, Mexican, Bars, Nightlife, Restaurants, Food, Pizza</t>
  </si>
  <si>
    <t>The Pizza Peel</t>
  </si>
  <si>
    <t>4422 Colwick Rd</t>
  </si>
  <si>
    <t>5lVrzwXAgnbOlczfdWpgJA</t>
  </si>
  <si>
    <t>Fonda La Taquiza</t>
  </si>
  <si>
    <t>5135 Albemarle Rd</t>
  </si>
  <si>
    <t>FAtMpWfFsFsq8htZCuCSgQ</t>
  </si>
  <si>
    <t>Latin American, Restaurants</t>
  </si>
  <si>
    <t>Caribbean Delights</t>
  </si>
  <si>
    <t>8625 D Monroe Rd</t>
  </si>
  <si>
    <t>9jnhErNXJ0fvDJAgiUMnTA</t>
  </si>
  <si>
    <t>Restaurants, Buffets</t>
  </si>
  <si>
    <t>Golden Corral</t>
  </si>
  <si>
    <t>9430 S Blvd</t>
  </si>
  <si>
    <t>dFuesggbkAFUUnKcihT3vA</t>
  </si>
  <si>
    <t>Nightlife, Pizza, Restaurants, Sports Bars, Burgers, American (Traditional), Bars, American (New)</t>
  </si>
  <si>
    <t>Bikinis Sports Bar &amp; Grill</t>
  </si>
  <si>
    <t>c_GeUPI0qjilmWp8QNK-oQ</t>
  </si>
  <si>
    <t>Coffee &amp; Tea, Food, Cafes, Restaurants, Specialty Food, Grocery, Sandwiches</t>
  </si>
  <si>
    <t>Dean &amp; DeLuca - Tryon Cafe</t>
  </si>
  <si>
    <t>201 S Tryon</t>
  </si>
  <si>
    <t>nh1StiltxvClOOkaSLuOEg</t>
  </si>
  <si>
    <t>Restaurants, Steakhouses</t>
  </si>
  <si>
    <t>Omaha Steak House</t>
  </si>
  <si>
    <t>4800 S Tryon St</t>
  </si>
  <si>
    <t>3qUM5BxoyZ6BayMmhWJAXg</t>
  </si>
  <si>
    <t>Bars, Sports Bars, American (Traditional), Nightlife, Restaurants</t>
  </si>
  <si>
    <t>Fox and Hound Smokehouse &amp; Tavern</t>
  </si>
  <si>
    <t>330 N Tryon St</t>
  </si>
  <si>
    <t>Zsz_dLOEwihJHvMTK9a8Vg</t>
  </si>
  <si>
    <t>Seafood, Bars, Ethiopian, Restaurants, Nightlife</t>
  </si>
  <si>
    <t>Red Sea Restaurant &amp; Bar</t>
  </si>
  <si>
    <t>4301 Monroe Rd</t>
  </si>
  <si>
    <t>mkAb0midYXqRLFJI1CHLWA</t>
  </si>
  <si>
    <t>Steakhouses, Barbeque, Restaurants, Fast Food, Event Planning &amp; Services, Southern, Caterers</t>
  </si>
  <si>
    <t>Shane's Rib Shack</t>
  </si>
  <si>
    <t>9330 Center Lake Dr, Ste 100</t>
  </si>
  <si>
    <t>qs-o8DFpkPNoUSfy5IPIFg</t>
  </si>
  <si>
    <t>Restaurants, Chicken Wings, Fast Food, Event Planning &amp; Services, Caterers</t>
  </si>
  <si>
    <t>8411 Northlake Commons Blvd</t>
  </si>
  <si>
    <t>bKKVa2WXYnMTtiUPd3sV7Q</t>
  </si>
  <si>
    <t>Superica</t>
  </si>
  <si>
    <t>101 W Worthington Ave</t>
  </si>
  <si>
    <t>yVPiqeEWOzJuskp5G-twRw</t>
  </si>
  <si>
    <t>Chinese, Restaurants, Fast Food</t>
  </si>
  <si>
    <t>Manchu Wok</t>
  </si>
  <si>
    <t>JWOYA3FC2RlHl7v2bLzD5A</t>
  </si>
  <si>
    <t>Ethnic Food, Grocery, Specialty Food, Butcher, Meat Shops, Food, Halal, Restaurants</t>
  </si>
  <si>
    <t>Holy Joes Meats &amp; More</t>
  </si>
  <si>
    <t>10210 Berkeley Place Dr, Unit 120</t>
  </si>
  <si>
    <t>J5_fv_596MBv04PGmtRgYw</t>
  </si>
  <si>
    <t>Cocktail Bars, Tapas/Small Plates, Bars, Nightlife, Lounges, Restaurants, Asian Fusion</t>
  </si>
  <si>
    <t>Reign Restaurant &amp; Lounge</t>
  </si>
  <si>
    <t>505 East 6th St</t>
  </si>
  <si>
    <t>QavyoOrDgrpZmn_WmXHFNw</t>
  </si>
  <si>
    <t>Hotels &amp; Travel, American (New), Gas Stations, Restaurants, Convenience Stores, Food, Automotive</t>
  </si>
  <si>
    <t>Kangaroo Express</t>
  </si>
  <si>
    <t>8505 S Tryon St</t>
  </si>
  <si>
    <t>Ff3FKbwZ-fCT74G1F3_j1g</t>
  </si>
  <si>
    <t>Restaurants, Vegetarian, Sandwiches, American (New), Food, Salad</t>
  </si>
  <si>
    <t>Southpark Mall, 4400 Sharon Rd</t>
  </si>
  <si>
    <t>gfvjmYS2BtjXs7K0aN1SYw</t>
  </si>
  <si>
    <t>Chicken Wings, Greek, Breakfast &amp; Brunch, Salad, Restaurants, Sandwiches</t>
  </si>
  <si>
    <t>Mr Geero</t>
  </si>
  <si>
    <t>2910 Mt Holly Huntersville Rd</t>
  </si>
  <si>
    <t>tNPWi75s0o20rNERLg6R_Q</t>
  </si>
  <si>
    <t>Pakistani, Vegan, Restaurants, Breakfast &amp; Brunch, Vegetarian, Indian, Buffets</t>
  </si>
  <si>
    <t>Bombay Cuisine</t>
  </si>
  <si>
    <t>230 E WT Harris Blvd</t>
  </si>
  <si>
    <t>qcWaROXNmCd3JmOb7H78vg</t>
  </si>
  <si>
    <t>Mexican, Latin American, Nightlife, Dance Clubs, Restaurants</t>
  </si>
  <si>
    <t>Latorre's Restaurant</t>
  </si>
  <si>
    <t>Mj5IOoLsRwZ6wm8xH95kAg</t>
  </si>
  <si>
    <t>Restaurants, Seafood, American (New)</t>
  </si>
  <si>
    <t>Long John Silver's</t>
  </si>
  <si>
    <t>6320 W Sugar Creek Rd</t>
  </si>
  <si>
    <t>5HgSU7RMELtmIHB6JQWRqA</t>
  </si>
  <si>
    <t>American (New), Southern, Breakfast &amp; Brunch, Restaurants</t>
  </si>
  <si>
    <t>Community Table Bistro</t>
  </si>
  <si>
    <t>5301 Wilkinson Blvd</t>
  </si>
  <si>
    <t>UAU1aSlqgrZwZ847npH37w</t>
  </si>
  <si>
    <t>Restaurants, American (Traditional), American (New)</t>
  </si>
  <si>
    <t>Tavern On The Tracks</t>
  </si>
  <si>
    <t>1411 S Tryon St</t>
  </si>
  <si>
    <t>3OKwP3ylofhDJDtWJQu5GQ</t>
  </si>
  <si>
    <t>Kabob Grill</t>
  </si>
  <si>
    <t>krM91L2J4x0Wv3RzEwcEbA</t>
  </si>
  <si>
    <t>Restaurants, Diners, Southern</t>
  </si>
  <si>
    <t>Tryon House Restaurant</t>
  </si>
  <si>
    <t>215 E Exmore St</t>
  </si>
  <si>
    <t>eFMqG_kgSrAjiaR-xahTfA</t>
  </si>
  <si>
    <t>Arboretum Shopping Ctr</t>
  </si>
  <si>
    <t>KLVE030wJLPvW9aZ8tv1RQ</t>
  </si>
  <si>
    <t>Restaurants, Bagels, Food</t>
  </si>
  <si>
    <t>Einstein Bros Bagels</t>
  </si>
  <si>
    <t>1501 South Blvd</t>
  </si>
  <si>
    <t>FCzezfDt-WtSix--9pLjhg</t>
  </si>
  <si>
    <t>Barefooters Neighborhood Grille</t>
  </si>
  <si>
    <t>8470 Bellhaven Blvd</t>
  </si>
  <si>
    <t>9tn0zETs3sHA0oR0H2zukQ</t>
  </si>
  <si>
    <t>Harper's ToGoGo</t>
  </si>
  <si>
    <t>6530 Fairview Rd</t>
  </si>
  <si>
    <t>rrExJZcQaLa8Omd-NSjtcg</t>
  </si>
  <si>
    <t>Cantonese, Restaurants, Chinese</t>
  </si>
  <si>
    <t>Hop Feng Kitchen</t>
  </si>
  <si>
    <t>2504 Little Rock Rd, Ste C</t>
  </si>
  <si>
    <t>JZs2T3Ykzqw7QoAKgyISkg</t>
  </si>
  <si>
    <t>American (Traditional), Restaurants, Pizza, Food, Do-It-Yourself Food</t>
  </si>
  <si>
    <t>16015 Lancaster Highway, Suite C</t>
  </si>
  <si>
    <t>KU7eFCdA47v6zeKF3a7j6A</t>
  </si>
  <si>
    <t>New South Kitchen &amp; Bar</t>
  </si>
  <si>
    <t>8140 Providence Rd, Ste 300</t>
  </si>
  <si>
    <t>SVh3dQ62oXkL6MHPjQh8Tw</t>
  </si>
  <si>
    <t>Restaurants, Nightlife, Seafood, Bars, Sports Bars</t>
  </si>
  <si>
    <t>Vinnie's Sardine Grill &amp; Raw Bar</t>
  </si>
  <si>
    <t>1714 S Blvd</t>
  </si>
  <si>
    <t>10c6sIFdsH3g51VooGRwAA</t>
  </si>
  <si>
    <t>Bars, Restaurants, Nightlife, American (New), Pubs</t>
  </si>
  <si>
    <t>Blackfinn Ameripub</t>
  </si>
  <si>
    <t>14825 Ballantyne Village Way, Ste 100</t>
  </si>
  <si>
    <t>MTCyh5VqkKp1LIvfeI-TTg</t>
  </si>
  <si>
    <t>Bistros, Restaurants, Nightlife, Breakfast &amp; Brunch, Wine Bars, American (New), Bars</t>
  </si>
  <si>
    <t>Wooden Vine Wine Bar &amp; Bistro</t>
  </si>
  <si>
    <t>231 N Tryon St</t>
  </si>
  <si>
    <t>5G0cEcOxAwoPOhGV_B5VlA</t>
  </si>
  <si>
    <t>China Jade</t>
  </si>
  <si>
    <t>5600 Albemarle Rd, Ste 800</t>
  </si>
  <si>
    <t>xSs1Z1OrWC_KmhY0SPKJ1Q</t>
  </si>
  <si>
    <t>Japanese, Desserts, Restaurants, Chicken Wings, Food, Noodles, Sushi Bars</t>
  </si>
  <si>
    <t>Shiki Japanese Restaurant</t>
  </si>
  <si>
    <t>1848 Galleria Blvd, Ste K</t>
  </si>
  <si>
    <t>7Nz4kTghhicjsR23GYMlLg</t>
  </si>
  <si>
    <t>Jade Dragon</t>
  </si>
  <si>
    <t>7741 Colony Rd, Ste A4</t>
  </si>
  <si>
    <t>XFFVjs-maXVezjQF6KoKjg</t>
  </si>
  <si>
    <t>Hillbilly's BBQ &amp; Steaks</t>
  </si>
  <si>
    <t>838 Tyvola Rd</t>
  </si>
  <si>
    <t>JpxjQWZbmjWlgAeMSVNGBA</t>
  </si>
  <si>
    <t>Food, Restaurants, Mexican</t>
  </si>
  <si>
    <t>San Antonio's Modern Mexican</t>
  </si>
  <si>
    <t>4331 Barclay Downs Dr</t>
  </si>
  <si>
    <t>H9a6IRS0edhW343Y2kXSSA</t>
  </si>
  <si>
    <t>Restaurants, Burgers, Gastropubs</t>
  </si>
  <si>
    <t>The Liberty</t>
  </si>
  <si>
    <t>UFVy-8WC7pDzvBUzOvdwzA</t>
  </si>
  <si>
    <t>1900 Mexican Grill</t>
  </si>
  <si>
    <t>1523 Elizabeth Ave</t>
  </si>
  <si>
    <t>mOMeDQB8NjdBTTzKtikAYg</t>
  </si>
  <si>
    <t>Chicken Wings, Southern, Restaurants, Mexican, Tex-Mex</t>
  </si>
  <si>
    <t>The Roasting Company</t>
  </si>
  <si>
    <t>1521 Montford Dr</t>
  </si>
  <si>
    <t>NI3xvN6p0qhvUkKirbKokA</t>
  </si>
  <si>
    <t>Breakfast &amp; Brunch, American (Traditional), Kosher, Restaurants, Creperies</t>
  </si>
  <si>
    <t>Original Pancake House</t>
  </si>
  <si>
    <t>4736 Sharon Rd</t>
  </si>
  <si>
    <t>odtLH4HI7i0TSbybja6qrQ</t>
  </si>
  <si>
    <t>6404 Albemarle Rd, Ste A</t>
  </si>
  <si>
    <t>Ooy7Mf6uu2oCiHFokplmwA</t>
  </si>
  <si>
    <t>Which Wich</t>
  </si>
  <si>
    <t>11318 N Community House Rd</t>
  </si>
  <si>
    <t>CcK-g4IrT8E0ywMJFb63TA</t>
  </si>
  <si>
    <t>Salad, Sandwiches, Delis, Restaurants, American (Traditional)</t>
  </si>
  <si>
    <t>2706 W Mallard Creek Church Rd</t>
  </si>
  <si>
    <t>wuTVGJ4rHBjj35fOqaZqHg</t>
  </si>
  <si>
    <t>Delis, Salad, Breakfast &amp; Brunch, Southern, Sandwiches, Soul Food, Restaurants, American (Traditional)</t>
  </si>
  <si>
    <t>Niki's Food Shop</t>
  </si>
  <si>
    <t>2200 Beatties Ford Rd</t>
  </si>
  <si>
    <t>8GC_bLQu_ui9a_Wtb335Jw</t>
  </si>
  <si>
    <t>Tops China Restaurant</t>
  </si>
  <si>
    <t>2127 Beatties Ford Rd, Ste A</t>
  </si>
  <si>
    <t>8YyBAyA3TKpaVxy99FRWjA</t>
  </si>
  <si>
    <t>Taqueria Express</t>
  </si>
  <si>
    <t>6927 Albemarle Rd</t>
  </si>
  <si>
    <t>c2EJuIDUGuyNUrRSqGEdtQ</t>
  </si>
  <si>
    <t>Restaurants, Asian Fusion</t>
  </si>
  <si>
    <t>Fu Lin Asian Cuisine</t>
  </si>
  <si>
    <t>5301 E Independence Blvd</t>
  </si>
  <si>
    <t>I8DIq321Tkm-wi9z5gTv9A</t>
  </si>
  <si>
    <t>Bars, Nightlife, American (Traditional), Sports Bars, Beer, Wine &amp; Spirits, Food, Gastropubs, Chicken Wings, Cocktail Bars, Cheesesteaks, Restaurants</t>
  </si>
  <si>
    <t>Duckworth's Grill &amp; Taphouse</t>
  </si>
  <si>
    <t>OMlvHQ6ywnJJ6h_5gTnqAA</t>
  </si>
  <si>
    <t>Restaurants, Breakfast &amp; Brunch, American (Traditional), Burgers</t>
  </si>
  <si>
    <t>Shoney's Restaurants</t>
  </si>
  <si>
    <t>8531 N Tryon St</t>
  </si>
  <si>
    <t>L2VXZ7_Ohzp7pr1otj7WoQ</t>
  </si>
  <si>
    <t>Restaurants, Italian</t>
  </si>
  <si>
    <t>Coco Osteria</t>
  </si>
  <si>
    <t>214 N Tryon St, Suite 3</t>
  </si>
  <si>
    <t>M4mNS2LZPjpzQyiJgL8znw</t>
  </si>
  <si>
    <t>Restaurants, Bars, Nightlife, Italian, Wine Bars, Cocktail Bars</t>
  </si>
  <si>
    <t>Aroojis Wine Room</t>
  </si>
  <si>
    <t>5349 Ballantyne Commons Pkwy, Ste 200</t>
  </si>
  <si>
    <t>nUerwdq4cj98wwt-5pP-ow</t>
  </si>
  <si>
    <t>Latin American, Arabian, Colombian, Restaurants, Cuban</t>
  </si>
  <si>
    <t>Las Palmas Columbian &amp; Cuban Cuisine</t>
  </si>
  <si>
    <t>5033 South Blvd, Ste G</t>
  </si>
  <si>
    <t>f29HwpckASrGkxKnB00XTA</t>
  </si>
  <si>
    <t>Restaurants, Sushi Bars</t>
  </si>
  <si>
    <t>Sushi Guru</t>
  </si>
  <si>
    <t>1217 The Plaza</t>
  </si>
  <si>
    <t>wtazPNyIbsRMHmrpEYbqZA</t>
  </si>
  <si>
    <t>Bakeries, Food, Caribbean, Restaurants</t>
  </si>
  <si>
    <t>Golden Krust Caribbean Bakery &amp; Grill</t>
  </si>
  <si>
    <t>440 E McCullough Dr, Ste 126</t>
  </si>
  <si>
    <t>Daasejc2-RV-MxEKpPjXtA</t>
  </si>
  <si>
    <t>Nightlife, Pubs, American (New), Restaurants, Bars</t>
  </si>
  <si>
    <t>Brazwells Premium Pub</t>
  </si>
  <si>
    <t>1627 Montford Dr</t>
  </si>
  <si>
    <t>3dK3PIfmu09FFGi21QYPaA</t>
  </si>
  <si>
    <t>American (Traditional), Restaurants, Chicken Wings, Nightlife, Bars, Sports Bars</t>
  </si>
  <si>
    <t>13545 Steelcroft Pkwy</t>
  </si>
  <si>
    <t>K-DB2drKSa7lssT3t0jfPw</t>
  </si>
  <si>
    <t>Desserts, Sandwiches, Breakfast &amp; Brunch, Food, Restaurants, Bakeries, Coffee &amp; Tea</t>
  </si>
  <si>
    <t>Sunflour Baking Company</t>
  </si>
  <si>
    <t>14021 Conlan Cir, Ste B 9</t>
  </si>
  <si>
    <t>Jo6EcTFYMMFbbdmkSPG5ug</t>
  </si>
  <si>
    <t>Beer, Wine &amp; Spirits, Japanese, Food, Bubble Tea, Restaurants</t>
  </si>
  <si>
    <t>Fuji Hibachi &amp; Teriyaki Grill</t>
  </si>
  <si>
    <t>210 E Trade St, Ste C-248</t>
  </si>
  <si>
    <t>kPdOOry5KnxX1KAow3rMWA</t>
  </si>
  <si>
    <t>Diners, Breakfast &amp; Brunch, Restaurants</t>
  </si>
  <si>
    <t>Queen City Diner</t>
  </si>
  <si>
    <t>116 W 5th St</t>
  </si>
  <si>
    <t>DlKuPBPEvU2ynAYzZkmH2Q</t>
  </si>
  <si>
    <t>Restaurants, Korean, Barbeque</t>
  </si>
  <si>
    <t>Cho Won Garden</t>
  </si>
  <si>
    <t>2501 Crownpoint Executive Dr</t>
  </si>
  <si>
    <t>fjJa1py5jnLAUJDOrHhu8Q</t>
  </si>
  <si>
    <t>La Paz Cantina &amp; Restaurante</t>
  </si>
  <si>
    <t>1910 South Blvd, Ste 100</t>
  </si>
  <si>
    <t>vcVgncax_tbfhMckX1m36w</t>
  </si>
  <si>
    <t>Restaurants, Food, Sushi Bars, Japanese, Poke</t>
  </si>
  <si>
    <t>King Fish Poke</t>
  </si>
  <si>
    <t>350 E McCullough Dr, Ste 110</t>
  </si>
  <si>
    <t>42DvUONuqa1mC1YbnZ0o0w</t>
  </si>
  <si>
    <t>Restaurants, Mexican, Fast Food</t>
  </si>
  <si>
    <t>13121 S Tryon St</t>
  </si>
  <si>
    <t>q9ugnXqUutldixx2zGUVag</t>
  </si>
  <si>
    <t>Japanese, Fast Food, Restaurants</t>
  </si>
  <si>
    <t>Niyoshi II Japanese Express Restaurant</t>
  </si>
  <si>
    <t>3625 Mount Holly Huntersville Rd</t>
  </si>
  <si>
    <t>Breakfast &amp; Brunch, Restaurants, American (Traditional), Southern</t>
  </si>
  <si>
    <t>The Boardroom Restaurant</t>
  </si>
  <si>
    <t>128 S Tryon St, Ste 150</t>
  </si>
  <si>
    <t>nqHZia9GEkcPobU87hBwzg</t>
  </si>
  <si>
    <t>Pizza, Chicken Wings, Italian, Restaurants</t>
  </si>
  <si>
    <t>15105 John J Delaney Dr, Ste 1</t>
  </si>
  <si>
    <t>l3jXlEDlVfKj_ECpU7tobA</t>
  </si>
  <si>
    <t>Beer, Wine &amp; Spirits, Sports Bars, Food, Nightlife, Breakfast &amp; Brunch, Bars, Gastropubs, Restaurants, American (New)</t>
  </si>
  <si>
    <t>Draught</t>
  </si>
  <si>
    <t>601 S Cedar St</t>
  </si>
  <si>
    <t>ATMiPNPxN-g1ra7nar5prA</t>
  </si>
  <si>
    <t>Wine Bars, Nightlife, Steakhouses, Restaurants, Bars, Seafood, Salad</t>
  </si>
  <si>
    <t>Fleming's Prime Steakhouse &amp; Wine Bar - Charlotte</t>
  </si>
  <si>
    <t>Nightlife, Tapas Bars, Cocktail Bars, Ramen, Teppanyaki, Japanese, Tapas/Small Plates, Bars, Asian Fusion, Restaurants, Sushi Bars, Gastropubs, Izakaya</t>
  </si>
  <si>
    <t>Yama Izakaya</t>
  </si>
  <si>
    <t>1324 Central Ave</t>
  </si>
  <si>
    <t>m_JrQBdsGWC22IKitUUAAw</t>
  </si>
  <si>
    <t>Nightlife, Restaurants, Bars, Indian</t>
  </si>
  <si>
    <t>Bawarchi Indian Grill and Bar</t>
  </si>
  <si>
    <t>10099 Weddington Rd Ext</t>
  </si>
  <si>
    <t>9KR010S2MquncfcaRj1pCQ</t>
  </si>
  <si>
    <t>Restaurants, Food, Shopping Centers, Imported Food, Ethnic Food, Specialty Food, Shopping, Farmers Market</t>
  </si>
  <si>
    <t>Atherton Mill</t>
  </si>
  <si>
    <t>2000-2104 South Blvd</t>
  </si>
  <si>
    <t>6nnI3DfHn-DTd6tWnZu7Jg</t>
  </si>
  <si>
    <t>8812 Albemarle Rd.</t>
  </si>
  <si>
    <t>j1xqz2w3wjVpvxYJi3t5IQ</t>
  </si>
  <si>
    <t>Ciro's Italian Restaurant</t>
  </si>
  <si>
    <t>8927 J M Keynes Dr</t>
  </si>
  <si>
    <t>y0TTPR0K5iB4oMkgVUH1ig</t>
  </si>
  <si>
    <t>Pizza Fusion</t>
  </si>
  <si>
    <t>PoQb6so_yIXs35jZV-k9oQ</t>
  </si>
  <si>
    <t>Restaurants, Coffee &amp; Tea, Food, Cafes</t>
  </si>
  <si>
    <t>Trade And Lore</t>
  </si>
  <si>
    <t>3306 N Davidson St</t>
  </si>
  <si>
    <t>3f8MM0antF98zPbqcteYNg</t>
  </si>
  <si>
    <t>Music Venues, Cafes, Restaurants, Bars, Arts &amp; Entertainment, Food, Pubs, Shaved Ice, Internet Cafes, Nightlife, Coffee &amp; Tea</t>
  </si>
  <si>
    <t>Eagle Speak Coffee House &amp; Bar</t>
  </si>
  <si>
    <t>3907 South Blvd</t>
  </si>
  <si>
    <t>NVtejin_G1SUXc9g9Ii-wQ</t>
  </si>
  <si>
    <t>Burgers, Salad, Restaurants, American (New), Sandwiches</t>
  </si>
  <si>
    <t>Showmars Emerywood</t>
  </si>
  <si>
    <t>1317 Emerywood Dr</t>
  </si>
  <si>
    <t>pzy9xWQqsDxVU6j9MktRJg</t>
  </si>
  <si>
    <t>Azteca Mexican Restaurant</t>
  </si>
  <si>
    <t>116 E Woodlawn Rd</t>
  </si>
  <si>
    <t>Wbxyj-CoBXXvqQ0lpcDXGQ</t>
  </si>
  <si>
    <t>Fast Food, Restaurants, Coffee &amp; Tea, Burgers, Food</t>
  </si>
  <si>
    <t>7721 Pineville Matthews Rd</t>
  </si>
  <si>
    <t>bgCHcGeOBNQxDT95XvzNFQ</t>
  </si>
  <si>
    <t>Villa Antonio</t>
  </si>
  <si>
    <t>AFCR8dsLHXBxbAg_rXXpgw</t>
  </si>
  <si>
    <t>Coffee &amp; Tea, Food, Restaurants, Fast Food, Burgers</t>
  </si>
  <si>
    <t>5800 E Wt Harris Blvd</t>
  </si>
  <si>
    <t>TcGmeeNvbcvnQVmVmlWxlA</t>
  </si>
  <si>
    <t>Chinese, Fast Food, Restaurants</t>
  </si>
  <si>
    <t>China Go Go</t>
  </si>
  <si>
    <t>7010 Smith Corners Blvd</t>
  </si>
  <si>
    <t>8Oc8YMgnpc6vhe1hWAKY-Q</t>
  </si>
  <si>
    <t>Middle Eastern, Mediterranean, Restaurants</t>
  </si>
  <si>
    <t>Jerusalem Restaurant</t>
  </si>
  <si>
    <t>6E0D-5wVjDJZQF8iA6k3ig</t>
  </si>
  <si>
    <t>Chicken Wings, Cafes, Sandwiches, Chicken Shop, Salad, Delis, Food, Specialty Food, Southern, Restaurants, American (Traditional)</t>
  </si>
  <si>
    <t>Chicken Salad Chick of Charlotte - Pineville Matthews</t>
  </si>
  <si>
    <t>7617 C Pineville-matthews Rd</t>
  </si>
  <si>
    <t>y3Wxd_BP3wI3i5HFG6FRnA</t>
  </si>
  <si>
    <t>Cocktail Bars, Event Planning &amp; Services, Restaurants, American (New), Venues &amp; Event Spaces, Nightlife, Breakfast &amp; Brunch, Lounges, Bars</t>
  </si>
  <si>
    <t>Nest Restaurant &amp; Lounge</t>
  </si>
  <si>
    <t>vUhxuFgKCZn6cTZePbhd6g</t>
  </si>
  <si>
    <t>Coffee &amp; Tea, Food, Restaurants</t>
  </si>
  <si>
    <t>Starbucks</t>
  </si>
  <si>
    <t>1401 East Boulevard</t>
  </si>
  <si>
    <t>WizGXNkcaRahwTExF90KYw</t>
  </si>
  <si>
    <t>Barbeque, Restaurants, Burgers, Chicken Wings</t>
  </si>
  <si>
    <t>Elwoods Barbecue &amp; Burger Bar</t>
  </si>
  <si>
    <t>WCqcYtJ4rUxA4bIzjOfzqg</t>
  </si>
  <si>
    <t>Breakfast &amp; Brunch, Pizza, Nightlife, Restaurants, Italian, Bars</t>
  </si>
  <si>
    <t>Vapiano</t>
  </si>
  <si>
    <t>201 S Tryon St</t>
  </si>
  <si>
    <t>n3ry8GxT_Atov6GAIzRGKQ</t>
  </si>
  <si>
    <t>Restaurants, Fast Food, Chicken Shop, Chicken Wings, Breakfast &amp; Brunch</t>
  </si>
  <si>
    <t>7047 South Blvd</t>
  </si>
  <si>
    <t>jP7zIbDXor7fQ8phrU6LQQ</t>
  </si>
  <si>
    <t>Italian, Chicken Wings, Pizza, Restaurants</t>
  </si>
  <si>
    <t>901 S Kings Dr</t>
  </si>
  <si>
    <t>_5p2MuUnX7aYIh0c1WHg1w</t>
  </si>
  <si>
    <t>Texas Ranch Steak House</t>
  </si>
  <si>
    <t>1310 W Sugar Creek Rd</t>
  </si>
  <si>
    <t>ie8F4cL15JQi8cZVY78xRA</t>
  </si>
  <si>
    <t>Asian Fusion, Restaurants, Sushi Bars</t>
  </si>
  <si>
    <t>Emzy Sushi Bar &amp; Asian Kitchen</t>
  </si>
  <si>
    <t>550 S Tryon St, Ste 160</t>
  </si>
  <si>
    <t>EX60HoNJRs3ALidmEGDgWA</t>
  </si>
  <si>
    <t>Delis, Restaurants, Sandwiches, Fast Food</t>
  </si>
  <si>
    <t>350 E McCullough Dr</t>
  </si>
  <si>
    <t>yxLVwItd1Wnhy6SeUUcNYA</t>
  </si>
  <si>
    <t>Bars, Comfort Food, Nightlife, Food, Gluten-Free, Beer, Wine &amp; Spirits, American (Traditional), Burgers, Sports Bars, Restaurants</t>
  </si>
  <si>
    <t>The Lodge: A Sportsman's Grill</t>
  </si>
  <si>
    <t>7725 Colony Rd</t>
  </si>
  <si>
    <t>aPvvjVN_JrK0fcyixNOfcw</t>
  </si>
  <si>
    <t>Italian, Pizza, Food, Restaurants, Food Delivery Services</t>
  </si>
  <si>
    <t>11518 Providence Rd</t>
  </si>
  <si>
    <t>_n5gPknmF6_WBrFngFb21w</t>
  </si>
  <si>
    <t>Food, Seafood, Restaurants, Barbeque, Indian, Desserts</t>
  </si>
  <si>
    <t>Amaravati Grill</t>
  </si>
  <si>
    <t>8145 Ardrey Kell Rd</t>
  </si>
  <si>
    <t>nMo0ozHO7cqsPaxw_7N6ow</t>
  </si>
  <si>
    <t>Dim Sum, Restaurants, Chinese</t>
  </si>
  <si>
    <t>Dim Sum Chinese Restaurant</t>
  </si>
  <si>
    <t>2920 Central Ave</t>
  </si>
  <si>
    <t>vBNM4NEBuO66Hk5yO797eA</t>
  </si>
  <si>
    <t>Lupie's Cafe</t>
  </si>
  <si>
    <t>2718 Monroe Rd</t>
  </si>
  <si>
    <t>XSCYYvstSpCVW8wC7rJT7w</t>
  </si>
  <si>
    <t>Restaurants, Chicken Wings, Barbeque, Caribbean, Seafood, Salad</t>
  </si>
  <si>
    <t>Anntony's Caribbean Cafe</t>
  </si>
  <si>
    <t>n2WtavwwYZyOr0ImiImquQ</t>
  </si>
  <si>
    <t>Jack in the Box</t>
  </si>
  <si>
    <t>220 N Hoskins Rd</t>
  </si>
  <si>
    <t>1bXC3NewRsBL1gecvGXA-g</t>
  </si>
  <si>
    <t>Sports Bars, Nightlife, Restaurants, Breakfast &amp; Brunch, Burgers, Bars, American (Traditional)</t>
  </si>
  <si>
    <t>Jackalope Jacks</t>
  </si>
  <si>
    <t>1936 E 7th St</t>
  </si>
  <si>
    <t>uMbSCjf6D9-rZOOXQyz9LA</t>
  </si>
  <si>
    <t>Beer, Wine &amp; Spirits, Coffee &amp; Tea, Desserts, Food, Creperies, Bakeries, Restaurants</t>
  </si>
  <si>
    <t>Crema Espresso Bar and Cafe</t>
  </si>
  <si>
    <t>1235 E Blvd, Ste B</t>
  </si>
  <si>
    <t>VY6TmD3FE2rxtK5fNaoGcA</t>
  </si>
  <si>
    <t>Carolina Soda Shoppe</t>
  </si>
  <si>
    <t>4121 Park Rd</t>
  </si>
  <si>
    <t>zRr45TrTgq8XAKwvjM0W_Q</t>
  </si>
  <si>
    <t>Vanloi Chinese Barbecue Restaurant</t>
  </si>
  <si>
    <t>3101 Central Ave, Ste 1</t>
  </si>
  <si>
    <t>SHgzYAiaEHJaWDMBgsSJbw</t>
  </si>
  <si>
    <t>Fast Food, Chicken Shop, Breakfast &amp; Brunch, Restaurants</t>
  </si>
  <si>
    <t>8521 N Tryon St</t>
  </si>
  <si>
    <t>OgM-BL1BrQ-F5d433wVUmA</t>
  </si>
  <si>
    <t>228 Eastway Dr, Unit 9</t>
  </si>
  <si>
    <t>9_SM4w8LoVrPT98KPaJrYQ</t>
  </si>
  <si>
    <t>Fast Food, Restaurants, Food, Food Trucks, Breakfast &amp; Brunch, Burgers</t>
  </si>
  <si>
    <t>The Cookin Coop</t>
  </si>
  <si>
    <t>G75gMavLP3CtShvZZBpb_Q</t>
  </si>
  <si>
    <t>RnLge-oEcXEicbmnw0036g</t>
  </si>
  <si>
    <t>Food, Restaurants, Bakeries</t>
  </si>
  <si>
    <t>Just Fresh A Bakery Cafe</t>
  </si>
  <si>
    <t>101 S Tryon St</t>
  </si>
  <si>
    <t>10tJuB_YkVQWuk4PtoI7iA</t>
  </si>
  <si>
    <t>Restaurants, Cafes, Pizza</t>
  </si>
  <si>
    <t>Intermezzo Pizzeria and Cafe</t>
  </si>
  <si>
    <t>1427 E 10th St</t>
  </si>
  <si>
    <t>GIIyJ3BjG2P4FNxBou2WPg</t>
  </si>
  <si>
    <t>Restaurants, Diners</t>
  </si>
  <si>
    <t>Brooklyn Diner</t>
  </si>
  <si>
    <t>6800 S Blvd</t>
  </si>
  <si>
    <t>iXXTFcJgOKJbHgdizC26vw</t>
  </si>
  <si>
    <t>13855 Conlan Cir</t>
  </si>
  <si>
    <t>RAh9WCQAuocM7hYM5_6tnw</t>
  </si>
  <si>
    <t>Sushi Bars, Restaurants, Asian Fusion, Burgers</t>
  </si>
  <si>
    <t>The Cowfish Sushi Burger Bar</t>
  </si>
  <si>
    <t>4310 Sharon Rd, Ste X05</t>
  </si>
  <si>
    <t>G1t9MT6-sJvrsG-RWLgCkg</t>
  </si>
  <si>
    <t>Food, Restaurants, Sandwiches, Pizza</t>
  </si>
  <si>
    <t>Donatos</t>
  </si>
  <si>
    <t>2112 Park Rd</t>
  </si>
  <si>
    <t>IvTpZowBC7_4N5xTXsaQpA</t>
  </si>
  <si>
    <t>Sandwiches, Restaurants, Pizza, Fast Food, Chicken Wings</t>
  </si>
  <si>
    <t>8510 Park Rd</t>
  </si>
  <si>
    <t>sAXy1yJRLllTm5WrJbJGAA</t>
  </si>
  <si>
    <t>Bars, Nightlife, Seafood, Restaurants, Cocktail Bars, Wine Bars, Steakhouses</t>
  </si>
  <si>
    <t>Del Frisco's Double Eagle Steakhouse</t>
  </si>
  <si>
    <t>4725 Piedmont Row Dr, Ste 170</t>
  </si>
  <si>
    <t>gJenWbGw43v7yZmGzZt_6g</t>
  </si>
  <si>
    <t>Restaurants, Fast Food, American (New), Burgers</t>
  </si>
  <si>
    <t>7HbKKqXtZUjf6uVSHZ8wyw</t>
  </si>
  <si>
    <t>Korean, Buffets, Barbeque, Restaurants</t>
  </si>
  <si>
    <t>Let's Meat Kbbq</t>
  </si>
  <si>
    <t>1400 S Church St, Ste B</t>
  </si>
  <si>
    <t>WBV7728-QB5IyVQPAS-nbw</t>
  </si>
  <si>
    <t>Fast Food, Restaurants, Delis, Sandwiches</t>
  </si>
  <si>
    <t>4724 Sharon Corners Shops</t>
  </si>
  <si>
    <t>iYT30UPGmLdmTRaAKz0Vvw</t>
  </si>
  <si>
    <t>Sandwiches, Vietnamese, Noodles, Restaurants</t>
  </si>
  <si>
    <t>Be's Noodles &amp; Banh Mi</t>
  </si>
  <si>
    <t>jRxLnJ9my31Re_O2MvQGhw</t>
  </si>
  <si>
    <t>Thai, Caribbean, Restaurants, Indian, Fast Food, Mexican, Sandwiches, Italian</t>
  </si>
  <si>
    <t>The Tasty Bowl Subs N Such</t>
  </si>
  <si>
    <t>2900 Westinghouse Blvd, Ste 116</t>
  </si>
  <si>
    <t>ZA4TMCw5FOT8u1BmIltvgg</t>
  </si>
  <si>
    <t>Restaurants, American (Traditional), American (New), Nightlife, Bars</t>
  </si>
  <si>
    <t>Recess Charlotte</t>
  </si>
  <si>
    <t>832 Seigle Ave</t>
  </si>
  <si>
    <t>NBy3LuucJBPpo49vC2Aq_g</t>
  </si>
  <si>
    <t>Sandwiches, Pizza, Restaurants</t>
  </si>
  <si>
    <t>Bellacino's Pizza and Grinders</t>
  </si>
  <si>
    <t>8124 S Tryon St</t>
  </si>
  <si>
    <t>wzcdJKY0DoNKjTHAsynIDQ</t>
  </si>
  <si>
    <t>Chicken Wings, Fast Food, Chicken Shop, Restaurants</t>
  </si>
  <si>
    <t>ne7lSA6lAOMYYs43kNTtPQ</t>
  </si>
  <si>
    <t>Pubs, Nightlife, Restaurants, Bars, American (New)</t>
  </si>
  <si>
    <t>Ink N Ivy CLT</t>
  </si>
  <si>
    <t>222 S Church St</t>
  </si>
  <si>
    <t>oltWoU-oOzz7MZQ94Mn8vg</t>
  </si>
  <si>
    <t>Pizza, Restaurants, Sandwiches, Salad</t>
  </si>
  <si>
    <t>Revolution Pizza</t>
  </si>
  <si>
    <t>oAMTQB42vLuJS5LVGXiR9A</t>
  </si>
  <si>
    <t>Providence Cafe</t>
  </si>
  <si>
    <t>110 Perrin Pl</t>
  </si>
  <si>
    <t>Ggh9JwuIwPBiMmx16kAiug</t>
  </si>
  <si>
    <t>6601 Morrison Blvd</t>
  </si>
  <si>
    <t>7JSOssAyZ83aYgohoTUc8w</t>
  </si>
  <si>
    <t>Pizza, Buffets, Restaurants, Italian</t>
  </si>
  <si>
    <t>Pizza Up</t>
  </si>
  <si>
    <t>127 N Tryon St, Ste 259</t>
  </si>
  <si>
    <t>oCI38JuE_ZyNTCIQkaK03g</t>
  </si>
  <si>
    <t>Bars, Restaurants, Pubs, Nightlife, American (New)</t>
  </si>
  <si>
    <t>Friar Tuck Pub</t>
  </si>
  <si>
    <t>3130 Driwood Ct B</t>
  </si>
  <si>
    <t>c4KXpCou6HBOgfKp2z2_hw</t>
  </si>
  <si>
    <t>American (New), Southern, Breakfast &amp; Brunch, Comfort Food, Cafes, Restaurants</t>
  </si>
  <si>
    <t>Terrace  - Ballantyne</t>
  </si>
  <si>
    <t>14815 Ballantyne Village Way, Ste 150</t>
  </si>
  <si>
    <t>pPbkSv9GCoNbGg9BiVP8Ag</t>
  </si>
  <si>
    <t>Restaurants, Event Planning &amp; Services, Caterers, Cajun/Creole</t>
  </si>
  <si>
    <t>Bite Your Tongue</t>
  </si>
  <si>
    <t>8850 Arbor Creek Dr</t>
  </si>
  <si>
    <t>0E4I4sEa7l89AdnDF-wjLg</t>
  </si>
  <si>
    <t>Bagels, Food, Salad, Breakfast &amp; Brunch, Coffee &amp; Tea, Soup, Sandwiches, Delis, Restaurants</t>
  </si>
  <si>
    <t>601 Providence Rd</t>
  </si>
  <si>
    <t>mC39IrCp36QIVFRZIw9PTQ</t>
  </si>
  <si>
    <t>Barbeque, Restaurants, Chicken Wings, Korean, Asian Fusion</t>
  </si>
  <si>
    <t>Seoul Food Meat Company</t>
  </si>
  <si>
    <t>1400 S Church St, Ste A</t>
  </si>
  <si>
    <t>9mmE-8QES9UHgn9jpUi8oQ</t>
  </si>
  <si>
    <t>Food, Restaurants, Food Trucks, Local Flavor, Yelp Events, Food Stands</t>
  </si>
  <si>
    <t>Smax Flatbread Grill</t>
  </si>
  <si>
    <t>SySedNNHZmfLGwn1GuHghQ</t>
  </si>
  <si>
    <t>Restaurants, Sandwiches, Food, Coffee &amp; Tea</t>
  </si>
  <si>
    <t>Waterbean Coffee</t>
  </si>
  <si>
    <t>1111 Metropolitan Ave, Ste 160</t>
  </si>
  <si>
    <t>wlm9HjyeW20anJ-kVEMY6g</t>
  </si>
  <si>
    <t>Food, Restaurants, Event Planning &amp; Services, Mexican, Party &amp; Event Planning, Food Trucks</t>
  </si>
  <si>
    <t>Plato Pronto</t>
  </si>
  <si>
    <t>5800 A Brookshire Blvd</t>
  </si>
  <si>
    <t>dz3rsj4xhZc8OWTEgcmdhQ</t>
  </si>
  <si>
    <t>Restaurants, Chinese, Dim Sum</t>
  </si>
  <si>
    <t>Dim Sum China Express</t>
  </si>
  <si>
    <t>6003 Albemarle Rd</t>
  </si>
  <si>
    <t>BgYWn8hyPSpLhaS160FELA</t>
  </si>
  <si>
    <t>Seafood, Restaurants</t>
  </si>
  <si>
    <t>New England Seafood</t>
  </si>
  <si>
    <t>7825 Nations Ford Rd</t>
  </si>
  <si>
    <t>Wt3cjmErqMHtxuHV_6PzOA</t>
  </si>
  <si>
    <t>Nightlife, Cocktail Bars, Bars, Latin American, Beer Bar, Social Clubs, Arts &amp; Entertainment, Restaurants, Sports Bars</t>
  </si>
  <si>
    <t>Craft City</t>
  </si>
  <si>
    <t>555 S McDowell St</t>
  </si>
  <si>
    <t>5spYyJ6_evLXf3NBSxd9WQ</t>
  </si>
  <si>
    <t>Restaurants, Mediterranean, Turkish, Greek</t>
  </si>
  <si>
    <t>Troy Mediterranean Grill</t>
  </si>
  <si>
    <t>8170 S Tryon St, Ste G</t>
  </si>
  <si>
    <t>fYuLNG55bRRHyJ7QIMM49Q</t>
  </si>
  <si>
    <t>3220 Wilkinson Blvd</t>
  </si>
  <si>
    <t>dLTuw5TjLmsbDWG2FuK44g</t>
  </si>
  <si>
    <t>Restaurants, Pizza, Fast Food, Chicken Wings, Sandwiches</t>
  </si>
  <si>
    <t>16646 Hawfield Way, Suite 103</t>
  </si>
  <si>
    <t>XgsGLjUpVhfTqvkapVxYHw</t>
  </si>
  <si>
    <t>Restaurants, Chicken Wings, Pizza, Italian</t>
  </si>
  <si>
    <t>3044 Eastway Dr</t>
  </si>
  <si>
    <t>RQDY2f8Bn4RL2TOUzPYYMg</t>
  </si>
  <si>
    <t>Restaurants, Specialty Food, Sandwiches, Delis, Beer, Wine &amp; Spirits, Food, Health Markets, Grocery</t>
  </si>
  <si>
    <t>Compare Foods Supermarket</t>
  </si>
  <si>
    <t>818 E Arrowood Rd</t>
  </si>
  <si>
    <t>XRrcBOUE0DFmuHZgwkvjgQ</t>
  </si>
  <si>
    <t>Cafes, Restaurants, American (New), Breakfast &amp; Brunch</t>
  </si>
  <si>
    <t>@ Dawn</t>
  </si>
  <si>
    <t>2130 Ayrsley Town Blvd, Ste C</t>
  </si>
  <si>
    <t>dj0Pl9-Z6iDweaSOfJC3vQ</t>
  </si>
  <si>
    <t>Desserts, Food, Burgers, American (New), Sandwiches, American (Traditional), Restaurants</t>
  </si>
  <si>
    <t>American Burger Co.</t>
  </si>
  <si>
    <t>440 S Church St</t>
  </si>
  <si>
    <t>cny7n93eJH7MskcnT8nabw</t>
  </si>
  <si>
    <t>Salsa's</t>
  </si>
  <si>
    <t>1640 Sardis Rd N</t>
  </si>
  <si>
    <t>-0QtTRrAMn6DKLZNef3Ojg</t>
  </si>
  <si>
    <t>Ethnic Food, Food, Delis, Specialty Food, Restaurants, Meat Shops, Grocery, Convenience Stores</t>
  </si>
  <si>
    <t>Al-Salam Market &amp; Deli</t>
  </si>
  <si>
    <t>10901 University City Blvd, Ste 104</t>
  </si>
  <si>
    <t>ms8tG7Co_ELSSGhbOL6HBg</t>
  </si>
  <si>
    <t>Vegetarian, Seafood, Japanese, Restaurants</t>
  </si>
  <si>
    <t>Tokyo One Express</t>
  </si>
  <si>
    <t>8834 Camfield St, Ste B</t>
  </si>
  <si>
    <t>pjz3-8fMgKIMYd_4mv8N1A</t>
  </si>
  <si>
    <t>Breakfast &amp; Brunch, Delis, Vegetarian, Kosher, Vegan, Bagels, Food, Restaurants</t>
  </si>
  <si>
    <t>Manhattan Bagel</t>
  </si>
  <si>
    <t>8040 Providence Rd, Ste 200, The Arboretum</t>
  </si>
  <si>
    <t>XeDtnkWNTd3oo75Vij96bQ</t>
  </si>
  <si>
    <t>Breakfast &amp; Brunch, Local Flavor, Restaurants, American (New), Southern</t>
  </si>
  <si>
    <t>Haymaker</t>
  </si>
  <si>
    <t>225 S Poplar St</t>
  </si>
  <si>
    <t>Restaurants, Spanish, Peruvian, Colombian, Latin American</t>
  </si>
  <si>
    <t>Pio Pio</t>
  </si>
  <si>
    <t>1408 E Blvd</t>
  </si>
  <si>
    <t>OQcwCyQ53w0rUDdxJXHJfg</t>
  </si>
  <si>
    <t>Restaurants, Seafood, Breakfast &amp; Brunch, Steakhouses</t>
  </si>
  <si>
    <t>Carolina Prime Restaurant &amp; Steakhouse</t>
  </si>
  <si>
    <t>225 E Woodlawn Rd</t>
  </si>
  <si>
    <t>lnB5UArEobKia0zPJMNk6w</t>
  </si>
  <si>
    <t>Cafes, Restaurants, Soul Food, American (Traditional)</t>
  </si>
  <si>
    <t>Carolinas Dish</t>
  </si>
  <si>
    <t>9624 Monroe Rd</t>
  </si>
  <si>
    <t>u8UfR7vKDfh1q7i81Tacdw</t>
  </si>
  <si>
    <t>Yard Cooked Dishes</t>
  </si>
  <si>
    <t>1610 Ashley Rd, Ste 7</t>
  </si>
  <si>
    <t>gh6RZ1HvVlZDtjOvrRcF3w</t>
  </si>
  <si>
    <t>Soup, Restaurants, Event Planning &amp; Services, Salad, Breakfast &amp; Brunch, Caterers, American (Traditional), Fast Food</t>
  </si>
  <si>
    <t>Famous Toastery</t>
  </si>
  <si>
    <t>8933 Jm Keynes Dr, Ste 2</t>
  </si>
  <si>
    <t>mIwbgnIAuPGpsEqQktZUWg</t>
  </si>
  <si>
    <t>11112-A South Tryon St, Ste A</t>
  </si>
  <si>
    <t>UuSg6Y3438tkXblGAfj0pQ</t>
  </si>
  <si>
    <t>Restaurants, Southern, Mexican, Tacos, Chicken Wings, Burgers</t>
  </si>
  <si>
    <t>The Nappy Chef</t>
  </si>
  <si>
    <t>5933 Albermarle Rd</t>
  </si>
  <si>
    <t>6Pbrq60mA56WQU7SENbG0g</t>
  </si>
  <si>
    <t>Burgers, Sandwiches, Restaurants</t>
  </si>
  <si>
    <t>Brooks Sandwich House</t>
  </si>
  <si>
    <t>2710 N Brevard St</t>
  </si>
  <si>
    <t>DxkT6VkELQquvJfIeJeBZA</t>
  </si>
  <si>
    <t>Restaurants, Caribbean, Puerto Rican, Food, Food Trucks</t>
  </si>
  <si>
    <t>Pinchos El Bori</t>
  </si>
  <si>
    <t>7St And Brevard</t>
  </si>
  <si>
    <t>J3_FTjy9LAtTtoW_cLwPxg</t>
  </si>
  <si>
    <t>Vietnamese, Korean, Asian Fusion, Sushi Bars, Restaurants</t>
  </si>
  <si>
    <t>4201-D Park Rd</t>
  </si>
  <si>
    <t>SzaXTw4F1zk5qD3HVgUcfw</t>
  </si>
  <si>
    <t>Delis, Sandwiches, Food, Grocery, Restaurants</t>
  </si>
  <si>
    <t>2526 Little Rock Rd</t>
  </si>
  <si>
    <t>zFnPRtP7LGvr3sfxvy_dfg</t>
  </si>
  <si>
    <t>Pizza, Nightlife, Italian, Bars, Food, Restaurants</t>
  </si>
  <si>
    <t>Revolution Ale House</t>
  </si>
  <si>
    <t>3228 N Davidson St</t>
  </si>
  <si>
    <t>v-mSePAUWm-UO1ltOuEVYA</t>
  </si>
  <si>
    <t>Fast Food, Restaurants, Greek</t>
  </si>
  <si>
    <t>Showmars Eastway</t>
  </si>
  <si>
    <t>3225 Eastway Dr</t>
  </si>
  <si>
    <t>cCMyypY73m9GJBKI4RvFcw</t>
  </si>
  <si>
    <t>Namaste India</t>
  </si>
  <si>
    <t>xFUZ9dI-h0NHjjJv8P1uFw</t>
  </si>
  <si>
    <t>Nightlife, Bars, Restaurants, Pizza, Vegetarian, Sports Bars</t>
  </si>
  <si>
    <t>Wolfman Pizza - Charlotte</t>
  </si>
  <si>
    <t>8504 Park Rd</t>
  </si>
  <si>
    <t>YyQ8WvwwxvsV6Nh5tlsdfw</t>
  </si>
  <si>
    <t>Ice Cream &amp; Frozen Yogurt, Food, Restaurants</t>
  </si>
  <si>
    <t>Cold Stone Creamery</t>
  </si>
  <si>
    <t>5355 Ballantyne Commons Pkwy</t>
  </si>
  <si>
    <t>AuIiqDeL65kczmiFSkAWrA</t>
  </si>
  <si>
    <t>Nightlife, Restaurants, Bars, Italian</t>
  </si>
  <si>
    <t>Maggiano's Little Italy</t>
  </si>
  <si>
    <t>5Day_lf10DyvKk9tmKqjRA</t>
  </si>
  <si>
    <t>Food, Beer Bar, Pizza, Restaurants, Beer, Wine &amp; Spirits, Wine Bars, Bars, Nightlife</t>
  </si>
  <si>
    <t>Salud Beer Shop</t>
  </si>
  <si>
    <t>3306-B N Davidson St</t>
  </si>
  <si>
    <t>spRvn4UnYH8cck8SXriGkg</t>
  </si>
  <si>
    <t>Blu Basil</t>
  </si>
  <si>
    <t>306 S Sharon Amity Rd</t>
  </si>
  <si>
    <t>fqN7F9syYpM85fr4w3Pjdg</t>
  </si>
  <si>
    <t>Food Trucks, Chicken Wings, Restaurants, Food, Burgers, Southern</t>
  </si>
  <si>
    <t>Kickin Kitchen</t>
  </si>
  <si>
    <t>gwd1W_0Mgzqo3QxgXrt16Q</t>
  </si>
  <si>
    <t>Restaurants, Nightlife, Bars, Cocktail Bars, Tex-Mex, Mexican</t>
  </si>
  <si>
    <t>RuRu's Tacos + Tequila</t>
  </si>
  <si>
    <t>715 Providence Rd</t>
  </si>
  <si>
    <t>c6-5RCj8FtV-m1aHz4wnmQ</t>
  </si>
  <si>
    <t>Restaurants, Vietnamese</t>
  </si>
  <si>
    <t>Saigon Palace</t>
  </si>
  <si>
    <t>5215 South Blvd</t>
  </si>
  <si>
    <t>aLvIH49w9HVoTRg4SwKnZQ</t>
  </si>
  <si>
    <t>Burgers, Food, Restaurants, Event Planning &amp; Services, Caterers, Food Trucks</t>
  </si>
  <si>
    <t>Queen City Sliders</t>
  </si>
  <si>
    <t>2bOEUMiwhQ2VzkdcFhEgMw</t>
  </si>
  <si>
    <t>Food, Restaurants, Coffee &amp; Tea, Fast Food, Burgers</t>
  </si>
  <si>
    <t>9414 Northlake West Dr</t>
  </si>
  <si>
    <t>d0ofu934HpkhzIE-Z1xkQQ</t>
  </si>
  <si>
    <t>Restaurants, Cafes</t>
  </si>
  <si>
    <t>Cafeccino</t>
  </si>
  <si>
    <t>801 W Hill St</t>
  </si>
  <si>
    <t>LPhFORzrfa5_c6o2YXLBUA</t>
  </si>
  <si>
    <t>Brazwell's Premium Pub</t>
  </si>
  <si>
    <t>11318 North Community House Rd</t>
  </si>
  <si>
    <t>wYYAlMWt-mFuJcmYGXKLzA</t>
  </si>
  <si>
    <t>Restaurants, Vegetarian, Specialty Food, Farmers Market, Gluten-Free, Fruits &amp; Veggies, Food</t>
  </si>
  <si>
    <t>Beverly's Gourmet Foods</t>
  </si>
  <si>
    <t>1515 Harding Pl</t>
  </si>
  <si>
    <t>QIcXq4Z3_2lvg9rmmoGF-A</t>
  </si>
  <si>
    <t>American (Traditional), Bars, Nightlife, Restaurants, Burgers, American (New)</t>
  </si>
  <si>
    <t>Ruby Tuesday</t>
  </si>
  <si>
    <t>8905 Red Oak Blvd</t>
  </si>
  <si>
    <t>TYe7fuJ3DO1MZZyZJOjwZg</t>
  </si>
  <si>
    <t>Nightlife, Bars, Restaurants, American (Traditional), Pubs</t>
  </si>
  <si>
    <t>T's Fat Parrot</t>
  </si>
  <si>
    <t>5416 Mount Holly Huntersville Rd</t>
  </si>
  <si>
    <t>mPzzp4wbr-GOMQ5i2B-ugA</t>
  </si>
  <si>
    <t>Roast Beef and Rye Delicatessen</t>
  </si>
  <si>
    <t>4736 W Sharon Rd</t>
  </si>
  <si>
    <t>HVYzoYynIH9lZiwnCaPngQ</t>
  </si>
  <si>
    <t>Shanghai Restaurant</t>
  </si>
  <si>
    <t>8418 Park Rd, Ste B</t>
  </si>
  <si>
    <t>FVC25MtResY1RdLywi_6fw</t>
  </si>
  <si>
    <t>Tapas/Small Plates, American (New), Restaurants, Spanish</t>
  </si>
  <si>
    <t>Bardo</t>
  </si>
  <si>
    <t>1508 S Mint St, Unit B</t>
  </si>
  <si>
    <t>1JtneT5bWWd7JRqv1shMzw</t>
  </si>
  <si>
    <t>Tres Pesos</t>
  </si>
  <si>
    <t>4918 Central Ave</t>
  </si>
  <si>
    <t>6MtzIWnwN6q4Swgf2M8NLQ</t>
  </si>
  <si>
    <t>Empanadas, Latin American, Restaurants, Food, Salad</t>
  </si>
  <si>
    <t>Coaltrane's Char Grill</t>
  </si>
  <si>
    <t>210 E Trade St, B132</t>
  </si>
  <si>
    <t>yhVVzqltGsPxYncQeaq7yQ</t>
  </si>
  <si>
    <t>Pizza, Italian, Fast Food, Chicken Wings, Restaurants, Sandwiches</t>
  </si>
  <si>
    <t>3223 The Plaza Rd</t>
  </si>
  <si>
    <t>TdLKAcHRwAr6OYG8RP7iWg</t>
  </si>
  <si>
    <t>Park Road Soda Shoppe</t>
  </si>
  <si>
    <t>AAekuF59Qr84gAh18o9njg</t>
  </si>
  <si>
    <t>Restaurants, Burgers, American (New), Southern, Soul Food, Comfort Food, American (Traditional)</t>
  </si>
  <si>
    <t>Savor Cafe &amp; Catering</t>
  </si>
  <si>
    <t>1404 W Morehead St</t>
  </si>
  <si>
    <t>XHcuFkQaZltjjZmHRR9b-w</t>
  </si>
  <si>
    <t>Restaurants, Burgers, Fast Food, Hot Dogs</t>
  </si>
  <si>
    <t>Restaurants, Chicken Shop, Breakfast &amp; Brunch, Chicken Wings, Fast Food</t>
  </si>
  <si>
    <t>1101 W Sugar Creek Rd</t>
  </si>
  <si>
    <t>3PsmvwxetLz1Tzb-6mNhgA</t>
  </si>
  <si>
    <t>Asian Fusion, Gluten-Free, Restaurants, Chinese</t>
  </si>
  <si>
    <t>P.F. Chang's</t>
  </si>
  <si>
    <t>10325 Perimeter Pkwy</t>
  </si>
  <si>
    <t>neGkpIfEn5tG9Y1AAMoUUg</t>
  </si>
  <si>
    <t>Makong Authentic Thai Cuisine</t>
  </si>
  <si>
    <t>7030 Smith Corners Blvd, Ste C-D</t>
  </si>
  <si>
    <t>htUK5uwiYlKB4coz8-b1XQ</t>
  </si>
  <si>
    <t>La Frontera</t>
  </si>
  <si>
    <t>1925 Westinghouse Blvd</t>
  </si>
  <si>
    <t>IUv-dRWHyds6ncxqVcxpGQ</t>
  </si>
  <si>
    <t>Tru Taco</t>
  </si>
  <si>
    <t>OmPHtR7w8hg2Z3lf7VALxw</t>
  </si>
  <si>
    <t>Oakhurst Grill</t>
  </si>
  <si>
    <t>4111 Monroe Rd</t>
  </si>
  <si>
    <t>F1odkZWmcXGylij8HjRq6Q</t>
  </si>
  <si>
    <t>Pets, American (New), Beer, Wine &amp; Spirits, German, Food, Beer Gardens, Bars, Nightlife, Pretzels, Arts &amp; Entertainment, Music Venues, Restaurants</t>
  </si>
  <si>
    <t>VBGB Beer Hall and Garden</t>
  </si>
  <si>
    <t>920 Hamilton St</t>
  </si>
  <si>
    <t>y_9Nu0uJ-VgRbGZf_6g49w</t>
  </si>
  <si>
    <t>Active Life, Professional Services, Caterers, Personal Assistants, Party &amp; Event Planning, Event Planning &amp; Services, Restaurants</t>
  </si>
  <si>
    <t>Waiter's Choice Catering</t>
  </si>
  <si>
    <t>8031 Arrowridge Blvd</t>
  </si>
  <si>
    <t>YNut5B1o3FDtcdzwf9F_bw</t>
  </si>
  <si>
    <t>Paradise Biryani Pointe</t>
  </si>
  <si>
    <t>9601 N Tryon St, Ste F</t>
  </si>
  <si>
    <t>CqWAtOvZgwb_oxVq1f0ORQ</t>
  </si>
  <si>
    <t>Food, Coffee &amp; Tea, Indian, Fast Food, Restaurants, Specialty Food, Ethnic Food</t>
  </si>
  <si>
    <t>Adisil</t>
  </si>
  <si>
    <t>2115 E Arbors Dr, Suite 190</t>
  </si>
  <si>
    <t>MNkT4XwIrAEB4qcJd_VrlQ</t>
  </si>
  <si>
    <t>Imported Food, Restaurants, Food, Grocery, Butcher, Latin American, Specialty Food, Bakeries, Ethnic Food</t>
  </si>
  <si>
    <t>La Unica Supercenter Internacional</t>
  </si>
  <si>
    <t>5323 E Independence Blvd, Ste B</t>
  </si>
  <si>
    <t>nzgmxdQWDQnsub2SwZH3aQ</t>
  </si>
  <si>
    <t>American (Traditional), Chicken Wings, Restaurants, Pubs, Nightlife, Sports Bars, Bars</t>
  </si>
  <si>
    <t>Tilted Kilt Pub &amp; Eatery</t>
  </si>
  <si>
    <t>13230 Carowinds Blvd</t>
  </si>
  <si>
    <t>wYSWgZMiMJxfusnxeWKYXg</t>
  </si>
  <si>
    <t>Salvadoran, Latin American, Restaurants, Spanish, Mexican</t>
  </si>
  <si>
    <t>Morazan Restaurant</t>
  </si>
  <si>
    <t>5421 South Blvd</t>
  </si>
  <si>
    <t>El5JZDDP6dI8nbls2g-B4Q</t>
  </si>
  <si>
    <t>Restaurants, Tex-Mex, American (New)</t>
  </si>
  <si>
    <t>Phat Burrito</t>
  </si>
  <si>
    <t>_PSBh1_5sjqd0eOJfCpbwA</t>
  </si>
  <si>
    <t>Sandwiches, Nightlife, Cajun/Creole, Sports Bars, Barbeque, Bars, Pubs, Restaurants</t>
  </si>
  <si>
    <t>Dixie's Tavern</t>
  </si>
  <si>
    <t>301 E 7th St</t>
  </si>
  <si>
    <t>5HGQHjavoTgcKHFa-x7r8A</t>
  </si>
  <si>
    <t>Steakhouses, American (Traditional), Bars, Restaurants, Burgers, American (New), Nightlife</t>
  </si>
  <si>
    <t>Village Tavern</t>
  </si>
  <si>
    <t>4201 Congress St</t>
  </si>
  <si>
    <t>5sZyYGQH4k-WwvVJk_LIvQ</t>
  </si>
  <si>
    <t>Villa Antonio Ristorante</t>
  </si>
  <si>
    <t>4707 South Blvd</t>
  </si>
  <si>
    <t>xPGT0H-TqZXAthvcDhsdew</t>
  </si>
  <si>
    <t>Angie's Diner</t>
  </si>
  <si>
    <t>3658 Beatties Ford Rd</t>
  </si>
  <si>
    <t>6lovZEiwWcRYRhyKd94DRg</t>
  </si>
  <si>
    <t>Restaurants, Food, Burgers</t>
  </si>
  <si>
    <t>Smashburger</t>
  </si>
  <si>
    <t>7804 Rea Rd, Ste B</t>
  </si>
  <si>
    <t>74Ev0iqPnrmh4i7Wj4PMOw</t>
  </si>
  <si>
    <t>Barrington's</t>
  </si>
  <si>
    <t>7822 Fairview Rd</t>
  </si>
  <si>
    <t>8A6MITaFAjo3H8MJo7DWWw</t>
  </si>
  <si>
    <t>Sandwiches, Caterers, Restaurants, Event Planning &amp; Services, Delis</t>
  </si>
  <si>
    <t>1520 South Blvd, Ste 130</t>
  </si>
  <si>
    <t>PdfyzKoGrCoFFhPlnOpqfw</t>
  </si>
  <si>
    <t>Restaurants, Seafood, Vietnamese, Thai</t>
  </si>
  <si>
    <t>Pho Cali Thai</t>
  </si>
  <si>
    <t>9107 S Tryon St, Ste J</t>
  </si>
  <si>
    <t>N30ltPJXOD0eNxaS1D9OGQ</t>
  </si>
  <si>
    <t>Restaurants, Fast Food, Sandwiches</t>
  </si>
  <si>
    <t>9548 Mount Holly Huntersville Rd</t>
  </si>
  <si>
    <t>JTN1qe0UBT3T6zIWYcBtjg</t>
  </si>
  <si>
    <t>Mexican, Tex-Mex, Fast Food, Restaurants</t>
  </si>
  <si>
    <t>8425 Davis Lake Pkwy.</t>
  </si>
  <si>
    <t>DEv1EGuIRLPrSeywbiN4zQ</t>
  </si>
  <si>
    <t>2601 Beatties Ford Rd</t>
  </si>
  <si>
    <t>QUlgewKSpXGoPDVU03BUGg</t>
  </si>
  <si>
    <t>Restaurants, Hot Dogs, American (Traditional), Salad</t>
  </si>
  <si>
    <t>JJ's Red Hots - Uptown</t>
  </si>
  <si>
    <t>400 S Tryon St</t>
  </si>
  <si>
    <t>ijJ6U2_xCJQZZVnkw23m9g</t>
  </si>
  <si>
    <t>Restaurants, Caterers, Food, Fast Food, Event Planning &amp; Services</t>
  </si>
  <si>
    <t>9731 Callabridge Ct</t>
  </si>
  <si>
    <t>qefemI-aUCSZ_mM78EcMaA</t>
  </si>
  <si>
    <t>Restaurants, Salad, Burgers, American (Traditional)</t>
  </si>
  <si>
    <t>4444 Park Rd</t>
  </si>
  <si>
    <t>sJpl9ufYT87UWhtW-5UkmQ</t>
  </si>
  <si>
    <t>Irish, Irish Pub, Beer, Wine &amp; Spirits, Sports Bars, Food, Bars, Nightlife, Pubs, Restaurants</t>
  </si>
  <si>
    <t>Fitzgerald's</t>
  </si>
  <si>
    <t>201 E 5th St</t>
  </si>
  <si>
    <t>KZa_81a6gEvbA_LQSq4IXg</t>
  </si>
  <si>
    <t>7016 E Wt Harris Blvd</t>
  </si>
  <si>
    <t>hOF7pXT0ur15Qbde96stfA</t>
  </si>
  <si>
    <t>Cici's Pizza Buffet</t>
  </si>
  <si>
    <t>10720 S Tryon St, Ste 1</t>
  </si>
  <si>
    <t>Z4y3LZlCjv4xnZ8xOpYf_Q</t>
  </si>
  <si>
    <t>Food, Restaurants, Salad, Soup, Pizza, Sandwiches</t>
  </si>
  <si>
    <t>TRUE Crafted Pizza</t>
  </si>
  <si>
    <t>7828 Rea Rd, Ste F</t>
  </si>
  <si>
    <t>4Z56uLoUGfSKOr7GaoPoRQ</t>
  </si>
  <si>
    <t>Juice Bars &amp; Smoothies, Fruits &amp; Veggies, Health Markets, Restaurants, Food, Acai Bowls, Specialty Food</t>
  </si>
  <si>
    <t>Frutta Bowls</t>
  </si>
  <si>
    <t>1055 Metropolitan Ave, Ste A4</t>
  </si>
  <si>
    <t>2DO-8SvPvx1rACloHiD9Mw</t>
  </si>
  <si>
    <t>Lotus Cafe Chinese Cuisine</t>
  </si>
  <si>
    <t>8610 Camfield St, Ste B</t>
  </si>
  <si>
    <t>Otu3vddHz3Lzw8dpwZ_p8g</t>
  </si>
  <si>
    <t>Bars, Nightlife, Lounges, American (Traditional), Restaurants, Mexican, Sports Bars</t>
  </si>
  <si>
    <t>Flo Bar &amp; Lounge</t>
  </si>
  <si>
    <t>440 E McCullough Dr, Ste 230</t>
  </si>
  <si>
    <t>VWMSLDPCvfqjw5DDHShQkA</t>
  </si>
  <si>
    <t>Nightlife, Wine Bars, Tapas Bars, Arts &amp; Entertainment, Restaurants, Bars</t>
  </si>
  <si>
    <t>The Wine Loft</t>
  </si>
  <si>
    <t>2201 South Blvd</t>
  </si>
  <si>
    <t>-I27yVw2x_-31_OOMSH02w</t>
  </si>
  <si>
    <t>American (Traditional), American (New), Food, Delis, Restaurants, Breakfast &amp; Brunch, Sandwiches, Bakeries</t>
  </si>
  <si>
    <t>Local Loaf</t>
  </si>
  <si>
    <t>uNdSh3tpvbkxWj-xLoEzvQ</t>
  </si>
  <si>
    <t>Specialty Food, Desserts, Chocolatiers &amp; Shops, Restaurants, Breakfast &amp; Brunch, Food</t>
  </si>
  <si>
    <t>Bar Cocoa</t>
  </si>
  <si>
    <t>201 E Trade St</t>
  </si>
  <si>
    <t>tar4yEwxseY25CVcM82hxg</t>
  </si>
  <si>
    <t>Diners, American (Traditional), Restaurants</t>
  </si>
  <si>
    <t>Freedom Family Restaurant</t>
  </si>
  <si>
    <t>1501 Ashley Rd</t>
  </si>
  <si>
    <t>Thien Phu</t>
  </si>
  <si>
    <t>3023 Central Ave, Ste E</t>
  </si>
  <si>
    <t>OFcx6LpxK6c6h8c6FPPXKA</t>
  </si>
  <si>
    <t>11532 Providence Rd, Ste R</t>
  </si>
  <si>
    <t>utlpwpi27nKQ6TyWHdCFMQ</t>
  </si>
  <si>
    <t>Fast Food, Burgers, Restaurants, Hot Dogs</t>
  </si>
  <si>
    <t>1525 E 4th St</t>
  </si>
  <si>
    <t>sT-KHTgJtjX0T5kESFDuUQ</t>
  </si>
  <si>
    <t>Restaurants, Pizza, Sandwiches</t>
  </si>
  <si>
    <t>1707 Sardis Rd N</t>
  </si>
  <si>
    <t>bypuyrtJYtQqS9-SGnSn3w</t>
  </si>
  <si>
    <t>Hot Dogs, Coffee &amp; Tea, Food, Burgers, Fast Food, Restaurants</t>
  </si>
  <si>
    <t>14110 Rivergate Pkwy</t>
  </si>
  <si>
    <t>DXCho3TSX6qKsRoEjGoGJg</t>
  </si>
  <si>
    <t>Zapata's Cantina Mexican Restaurant</t>
  </si>
  <si>
    <t>8927 J M Keynes Dr, Ste 900</t>
  </si>
  <si>
    <t>j8_RW2wEvUTocXwDB0zfVg</t>
  </si>
  <si>
    <t>16631 Lancaster Hwy</t>
  </si>
  <si>
    <t>y3nhGBZagfj3tZe48v0pLA</t>
  </si>
  <si>
    <t>Moe's Southwest Grill</t>
  </si>
  <si>
    <t>14825 Ballantyne Village Way</t>
  </si>
  <si>
    <t>eKWop65yuFRJtnevX7pTCw</t>
  </si>
  <si>
    <t>Arooji's Wineroom Ristorante</t>
  </si>
  <si>
    <t>720 Governor Morrison St</t>
  </si>
  <si>
    <t>csp7yhSDFkjdEKKGG7n6NA</t>
  </si>
  <si>
    <t>Pubs, Scandinavian, Bars, Restaurants, Nightlife, Gastropubs, Breakfast &amp; Brunch</t>
  </si>
  <si>
    <t>Valhalla Pub and Eatery</t>
  </si>
  <si>
    <t>yBzGYfkV3QQaiwMSHoCN3A</t>
  </si>
  <si>
    <t>Restaurants, Indian, Halal, Buffets</t>
  </si>
  <si>
    <t>Tabla Indian Restaurant</t>
  </si>
  <si>
    <t>oEGKELs4uF11-WPljyXmGw</t>
  </si>
  <si>
    <t>Chicks Restaurant</t>
  </si>
  <si>
    <t>320 S Tryon St, Ste 111</t>
  </si>
  <si>
    <t>lvIILZrH5nwVSW8vOOL4LA</t>
  </si>
  <si>
    <t>Restaurants, Burgers, Hot Dogs, Fast Food</t>
  </si>
  <si>
    <t>2933 Eastway Dr</t>
  </si>
  <si>
    <t>QeDkfLmXVguytF3Of9zg-Q</t>
  </si>
  <si>
    <t>Cajun/Creole, Restaurants, Breakfast &amp; Brunch, Caterers, Event Planning &amp; Services</t>
  </si>
  <si>
    <t>Boudreaux's Louisiana Kitchen</t>
  </si>
  <si>
    <t>501 E 36th St</t>
  </si>
  <si>
    <t>tCSlpwJQ4CZsUEMZeH2SFg</t>
  </si>
  <si>
    <t>Bakeries, Restaurants, French, Breakfast &amp; Brunch, Food</t>
  </si>
  <si>
    <t>Cafe Monte</t>
  </si>
  <si>
    <t>6700 Fairview Rd</t>
  </si>
  <si>
    <t>DlPdPKci3UTKsFILr6nuCg</t>
  </si>
  <si>
    <t>Fast Food, Coffee &amp; Tea, Burgers, Restaurants, Food</t>
  </si>
  <si>
    <t>8038 S Tryon St</t>
  </si>
  <si>
    <t>1FlIbmN4aNJuXsGK0shnfQ</t>
  </si>
  <si>
    <t>Southern, Sandwiches, Soul Food, Restaurants, American (New)</t>
  </si>
  <si>
    <t>Leroy Fox Cotswold</t>
  </si>
  <si>
    <t>KIyjEZTeoXOa77ph3KmjgQ</t>
  </si>
  <si>
    <t>1055 Metropolitan Ave, Ste 140</t>
  </si>
  <si>
    <t>u5nSHE6QdZLkpC0Qlx1b1w</t>
  </si>
  <si>
    <t>Seafood, Food, American (New), Restaurants, Halal</t>
  </si>
  <si>
    <t>JJ Fish &amp; Chicken</t>
  </si>
  <si>
    <t>6404 Albemarle Rd</t>
  </si>
  <si>
    <t>3BFNu93y2aegJPbVD2tTMg</t>
  </si>
  <si>
    <t>Restaurants, Barbeque</t>
  </si>
  <si>
    <t>Bodrick's Bar-B-Q Rib Tips</t>
  </si>
  <si>
    <t>3701 Statesville Ave</t>
  </si>
  <si>
    <t>cBzbKdDE1MyiKvOiece3FQ</t>
  </si>
  <si>
    <t>Mediterranean, Restaurants, Pizza, Middle Eastern</t>
  </si>
  <si>
    <t>Salam Pizza</t>
  </si>
  <si>
    <t>8142 Mount Holly-Huntersville Rd</t>
  </si>
  <si>
    <t>dezihetKVmcQwmmlSF1Wyw</t>
  </si>
  <si>
    <t>Steak 'n Hoagie Shop</t>
  </si>
  <si>
    <t>2620 N Sharon Amity Rd</t>
  </si>
  <si>
    <t>mRTpSiQ1Qbz_8rWaXIQmgA</t>
  </si>
  <si>
    <t>Pho Plus</t>
  </si>
  <si>
    <t>4520 N Tryon St, Ste 1</t>
  </si>
  <si>
    <t>NtxAeiptaZ8KWL5Pg2ZYzQ</t>
  </si>
  <si>
    <t>Hot Dogs, Food, Fast Food, Specialty Food, Restaurants, Desserts</t>
  </si>
  <si>
    <t>Big City Dogs</t>
  </si>
  <si>
    <t>440 E McCullough Dr, Ste A-116</t>
  </si>
  <si>
    <t>Vft6eNg9Lgv6gGrLadb3gw</t>
  </si>
  <si>
    <t>Charleys Restaurant</t>
  </si>
  <si>
    <t>274 S Sharon Amity Rd</t>
  </si>
  <si>
    <t>qaJ-HewyVAQCQ8C_KveZ4g</t>
  </si>
  <si>
    <t>China Cafe</t>
  </si>
  <si>
    <t>10230 Berkeley Place Dr, Ste 150</t>
  </si>
  <si>
    <t>2gCvukOcIHW4ehqpwoNlcA</t>
  </si>
  <si>
    <t>Bill Spoon's Barbecue</t>
  </si>
  <si>
    <t>5524 S Blvd</t>
  </si>
  <si>
    <t>j3lG-ZqQXUQl-ImNcWHbVQ</t>
  </si>
  <si>
    <t>Lin's Buffet</t>
  </si>
  <si>
    <t>v75YA674Ioi4IwQ06T6XmQ</t>
  </si>
  <si>
    <t>Sub Station II</t>
  </si>
  <si>
    <t>4115-C Rose Lake Dr</t>
  </si>
  <si>
    <t>OwzqgrpKs9nojICU65hhzg</t>
  </si>
  <si>
    <t>Sandwiches, Restaurants, Pizza, Italian</t>
  </si>
  <si>
    <t>Pizzeria Sapienza CLT</t>
  </si>
  <si>
    <t>620 N Church St</t>
  </si>
  <si>
    <t>QHmEacOnCyn7VaK1S5V4lQ</t>
  </si>
  <si>
    <t>Cafes, Restaurants</t>
  </si>
  <si>
    <t>Cafe At 6100</t>
  </si>
  <si>
    <t>6100 Fairview Rd, Ste 110</t>
  </si>
  <si>
    <t>z6ZPIpO_1Rx69k9y2DQ7Bw</t>
  </si>
  <si>
    <t>Food, French, Breakfast &amp; Brunch, Restaurants, Bakeries</t>
  </si>
  <si>
    <t>La Madeleine Country French Cafe</t>
  </si>
  <si>
    <t>R07INx4j5GakCqwp9_QujQ</t>
  </si>
  <si>
    <t>Nightlife, American (Traditional), Sports Bars, Bars, Restaurants</t>
  </si>
  <si>
    <t>STATS Restaurant &amp; Bar</t>
  </si>
  <si>
    <t>3425 David Cox Rd</t>
  </si>
  <si>
    <t>chBeDQdaZgrb8iOzqgeCDA</t>
  </si>
  <si>
    <t>China Palace</t>
  </si>
  <si>
    <t>9211 N Tryon St, Ste 11</t>
  </si>
  <si>
    <t>WpswWSp1zHdxrZC4TftFJg</t>
  </si>
  <si>
    <t>3401 - C South Blvd</t>
  </si>
  <si>
    <t>mpEHqp7sbqylm6_GHdhlDg</t>
  </si>
  <si>
    <t>Burger Company</t>
  </si>
  <si>
    <t>200 A W Woodlawn Rd</t>
  </si>
  <si>
    <t>pDwKOuqjQ4gtoX-aaQPJ_g</t>
  </si>
  <si>
    <t>Sushi Bars, Asian Fusion, Taiwanese, Restaurants</t>
  </si>
  <si>
    <t>My Bento Asian Diner</t>
  </si>
  <si>
    <t>8640 University City Blvd, Ste A-1</t>
  </si>
  <si>
    <t>0Q5hLTlQr1HfyfLZc9Ozsw</t>
  </si>
  <si>
    <t>Romano's Macaroni Grill</t>
  </si>
  <si>
    <t>8620 Research Dr</t>
  </si>
  <si>
    <t>GHBLPfbssjupzlhBfCoF3A</t>
  </si>
  <si>
    <t>Restaurants, Mexican, Bars, Nightlife</t>
  </si>
  <si>
    <t>37 SOL Southwest Kitchen and Tequila Bar</t>
  </si>
  <si>
    <t>8724 Outlets Blvd</t>
  </si>
  <si>
    <t>dPRw4jc1gjO0mg3IGXfF_A</t>
  </si>
  <si>
    <t>Diners, Restaurants</t>
  </si>
  <si>
    <t>Aggie's Ice Cream &amp; Grill</t>
  </si>
  <si>
    <t>7209 E Wt Harris Blvd, Ste B</t>
  </si>
  <si>
    <t>LxuOTKrXDfZrne_CwZEamg</t>
  </si>
  <si>
    <t>American (Traditional), Breakfast &amp; Brunch, Restaurants</t>
  </si>
  <si>
    <t>Eddie's Place</t>
  </si>
  <si>
    <t>12239 Toringdon Way</t>
  </si>
  <si>
    <t>8Kj8djbAZHEDImwjlmvOJQ</t>
  </si>
  <si>
    <t>Sports Bars, Karaoke, American (New), Restaurants, Nightlife, Bars</t>
  </si>
  <si>
    <t>Lucky Lou's Tavern</t>
  </si>
  <si>
    <t>5124 Park Rd</t>
  </si>
  <si>
    <t>SzxOy1hNMGeZPnhzbhMSog</t>
  </si>
  <si>
    <t>Restaurants, Bars, Wine Bars, Nightlife</t>
  </si>
  <si>
    <t>Press Wine / Food</t>
  </si>
  <si>
    <t>Ih5ZJpVIrX4emwzYiJ_TqQ</t>
  </si>
  <si>
    <t>Restaurants, Food, Salad, Sandwiches, Juice Bars &amp; Smoothies</t>
  </si>
  <si>
    <t>Energy Cafe</t>
  </si>
  <si>
    <t>550 S Tryon St, Ste 120, Duke Energy Center</t>
  </si>
  <si>
    <t>mN4DdfHu2Ztjl8s3yl7bWA</t>
  </si>
  <si>
    <t>Hoan Doan</t>
  </si>
  <si>
    <t>4900 Central Ave</t>
  </si>
  <si>
    <t>DBvqfZYULrMYamnvC8c_Cg</t>
  </si>
  <si>
    <t>San Remo Restaurant</t>
  </si>
  <si>
    <t>4439 Central Ave</t>
  </si>
  <si>
    <t>EoGCJ6Ff8VwF0hPg6zaOcA</t>
  </si>
  <si>
    <t>Irish, Nightlife, Restaurants, Food, Irish Pub, Bars</t>
  </si>
  <si>
    <t>P.J. O'Reilly's</t>
  </si>
  <si>
    <t>16640 Hawfield Way Dr</t>
  </si>
  <si>
    <t>_JA3TLF5JJ95mthVwEdFuw</t>
  </si>
  <si>
    <t>Burgers, Restaurants, American (New), Fast Food, Breakfast &amp; Brunch, Diners, American (Traditional)</t>
  </si>
  <si>
    <t>1926 Sardis Rd N</t>
  </si>
  <si>
    <t>TxF5VebzYK0a1Nl_YUXwyQ</t>
  </si>
  <si>
    <t>Tex-Mex, Restaurants</t>
  </si>
  <si>
    <t>KO Food Truck</t>
  </si>
  <si>
    <t>ZBq7AD95c2kPei76KVewQQ</t>
  </si>
  <si>
    <t>Arts &amp; Entertainment, Tex-Mex, Restaurants, Music Venues, Mexican, Bars, Nightlife</t>
  </si>
  <si>
    <t>Texicali Taco &amp; Tequila Bar</t>
  </si>
  <si>
    <t>900 NC Music Factory</t>
  </si>
  <si>
    <t>98gLNkYYJCg4f_uJ7o2wBg</t>
  </si>
  <si>
    <t>Hong Kong Restaurant</t>
  </si>
  <si>
    <t>1713 Central Ave</t>
  </si>
  <si>
    <t>CbsOgBLjr9x8Y282vt2OoQ</t>
  </si>
  <si>
    <t>Mexican, Tex-Mex, Restaurants</t>
  </si>
  <si>
    <t>Pure Burrito</t>
  </si>
  <si>
    <t>3130 Driwood Ct</t>
  </si>
  <si>
    <t>LhIpo0MrEqgDj5Ba_G9BcQ</t>
  </si>
  <si>
    <t>Uptown Bar And Kitchen</t>
  </si>
  <si>
    <t>537-599 S Mcdowell St</t>
  </si>
  <si>
    <t>su6PPlJWHlDv1r_fu4f5ZQ</t>
  </si>
  <si>
    <t>Seafood, American (New), Vegetarian, Restaurants, Gluten-Free</t>
  </si>
  <si>
    <t>Burtons Grill &amp; Bar of Charlotte</t>
  </si>
  <si>
    <t>1601 East Woodlawn Rd</t>
  </si>
  <si>
    <t>ME6D5nLlfG0xZCtICOYDuw</t>
  </si>
  <si>
    <t>Restaurants, French, Beer, Wine &amp; Spirits, American (New), Brasseries, Food</t>
  </si>
  <si>
    <t>Georges Brasserie</t>
  </si>
  <si>
    <t>4620 Piedmont Row Dr</t>
  </si>
  <si>
    <t>3bYHVaEMAS35PAinUdnDdw</t>
  </si>
  <si>
    <t>Salad, Pizza, Restaurants, Italian</t>
  </si>
  <si>
    <t>Sbarro</t>
  </si>
  <si>
    <t>QWRiJfGyHnmJxPD_CfKetQ</t>
  </si>
  <si>
    <t>Mexican, Tex-Mex, Nightlife, Bars, Vegetarian, Restaurants</t>
  </si>
  <si>
    <t>The Tipsy Burro Saloon &amp; Cantina</t>
  </si>
  <si>
    <t>2711 Monroe Rd</t>
  </si>
  <si>
    <t>nYSNN8v4up1rxIG_xKkl5Q</t>
  </si>
  <si>
    <t>Caterers, Event Planning &amp; Services, American (Traditional), Fast Food, Restaurants</t>
  </si>
  <si>
    <t>101 S Tryon St, 2 Bank of America Plaza, 2 Bank of America Plz</t>
  </si>
  <si>
    <t>kG5CwZvQ00U4T_3Nhq97fA</t>
  </si>
  <si>
    <t>Cafes, Restaurants, American (Traditional)</t>
  </si>
  <si>
    <t>A Cafeteria By Morrison Farms</t>
  </si>
  <si>
    <t>6555 Morrison Blvd</t>
  </si>
  <si>
    <t>XNboW0mRBApLxIzoXvhHNA</t>
  </si>
  <si>
    <t>Seafood, Restaurants, Cajun/Creole</t>
  </si>
  <si>
    <t>Wu's Cajun Sea Food</t>
  </si>
  <si>
    <t>yXLUfT8rdz_XiPRxE8AU-g</t>
  </si>
  <si>
    <t>Restaurants, Burgers, Fast Food, Sandwiches</t>
  </si>
  <si>
    <t>Cook Out</t>
  </si>
  <si>
    <t>9705 N Tryon St</t>
  </si>
  <si>
    <t>3CYPaTvDIWA1CRquU3Uoyw</t>
  </si>
  <si>
    <t>Caribbean, Food, Restaurants, Mexican, Specialty Food, Meat Shops, Convenience Stores</t>
  </si>
  <si>
    <t>Los Reyes 2</t>
  </si>
  <si>
    <t>7308 E Independence Blvd</t>
  </si>
  <si>
    <t>KMptXD2fDMcqCmkpkpRVQQ</t>
  </si>
  <si>
    <t>Restaurants, Beer, Wine &amp; Spirits, Chinese, American (Traditional), Food, American (New)</t>
  </si>
  <si>
    <t>Cottage</t>
  </si>
  <si>
    <t>6701 N Tryon St, Ste D</t>
  </si>
  <si>
    <t>RDEghtiHqKsNd0Un80s78g</t>
  </si>
  <si>
    <t>Sandwiches, Seafood, Chicken Shop, Restaurants</t>
  </si>
  <si>
    <t>Rosie's Kitchen</t>
  </si>
  <si>
    <t>10210 Couloak Dr, Ste F</t>
  </si>
  <si>
    <t>Y84fM25GsIWfS7E0dMIKDQ</t>
  </si>
  <si>
    <t>Nightlife, Arts &amp; Entertainment, Restaurants, Bars, American (Traditional)</t>
  </si>
  <si>
    <t>Cedar Street Tavern</t>
  </si>
  <si>
    <t>120 N Cedar St, Ste 755</t>
  </si>
  <si>
    <t>WKntGwdAr_vuSx02VFvQgw</t>
  </si>
  <si>
    <t>Sandwiches, Grocery, Delis, Restaurants, Food</t>
  </si>
  <si>
    <t>7400 The Plz</t>
  </si>
  <si>
    <t>ls1g-v9xzt9K0rBMEZLV_Q</t>
  </si>
  <si>
    <t>Fast Food, Sandwiches, Hot Dogs, Burgers, Restaurants</t>
  </si>
  <si>
    <t>1301 W Sugar Creek Rd</t>
  </si>
  <si>
    <t>fDjKnECeU7s9lDnY23ntFw</t>
  </si>
  <si>
    <t>American (New), Restaurants, Pubs, Bars, Nightlife</t>
  </si>
  <si>
    <t>The Red Lion</t>
  </si>
  <si>
    <t>VCqlP9aEIFe7vfgXWpZs3g</t>
  </si>
  <si>
    <t>Cottage 2</t>
  </si>
  <si>
    <t>1610 Ashley Rd</t>
  </si>
  <si>
    <t>h0vd1MPzqq2TCXmwx_a0rw</t>
  </si>
  <si>
    <t>Sweet T's Diner</t>
  </si>
  <si>
    <t>8430 Rea Rd, Ste 100</t>
  </si>
  <si>
    <t>cV-mgaEpAWY7w95fRZi8SQ</t>
  </si>
  <si>
    <t>Restaurants, Sandwiches, Fast Food</t>
  </si>
  <si>
    <t>335 S Kings Dr</t>
  </si>
  <si>
    <t>e0kSnKyN5d5nJ4nwnkX3YQ</t>
  </si>
  <si>
    <t>Mr Charles Chicken &amp; Fish</t>
  </si>
  <si>
    <t>3100 Statesville Ave</t>
  </si>
  <si>
    <t>ISdhY_4cB9FXo5TVVm0iAA</t>
  </si>
  <si>
    <t>4833 - C Berewick Town Center Dr</t>
  </si>
  <si>
    <t>dfITlzqahc5PFXlZNi3alQ</t>
  </si>
  <si>
    <t>Restaurants, Breakfast &amp; Brunch, Bakeries, Food</t>
  </si>
  <si>
    <t>1515 S Blvd</t>
  </si>
  <si>
    <t>MSO0kskuBuLeWZmxMem_Aw</t>
  </si>
  <si>
    <t>8948 J M Keynes Dr, Ste 420</t>
  </si>
  <si>
    <t>ytGKbV7hRC6RkExo1NItEA</t>
  </si>
  <si>
    <t>Cafes, Coffee &amp; Tea, Nightlife, Bars, Food, Breakfast &amp; Brunch, Restaurants</t>
  </si>
  <si>
    <t>Not Just Coffee - Dilworth</t>
  </si>
  <si>
    <t>2230 Park Rd</t>
  </si>
  <si>
    <t>VbyTDmFOChklMV48kfAlWg</t>
  </si>
  <si>
    <t>Nightlife, Japanese, Restaurants, Bars, Sushi Bars</t>
  </si>
  <si>
    <t>Nikko Japanese Restaurant</t>
  </si>
  <si>
    <t>325 A Arlington Ave, Ste 108</t>
  </si>
  <si>
    <t>TenNB5TtwPxJ5EoZQ4WjaA</t>
  </si>
  <si>
    <t>Restaurants, Middle Eastern, Mediterranean</t>
  </si>
  <si>
    <t>Yafo Kitchen</t>
  </si>
  <si>
    <t>1331 Central Ave, Ste 101</t>
  </si>
  <si>
    <t>mLwM-h2YhXl2NCgdS84_Bw</t>
  </si>
  <si>
    <t>Soul Food, Convenience Stores, Restaurants, Food</t>
  </si>
  <si>
    <t>South Florida Style Chicken &amp; Ribs</t>
  </si>
  <si>
    <t>2824 Milton Rd</t>
  </si>
  <si>
    <t>521I-PdxTrIzbEuIJnVrtA</t>
  </si>
  <si>
    <t>Seafood, Japanese, Restaurants</t>
  </si>
  <si>
    <t>Little Tokyo Japanese Restaurant</t>
  </si>
  <si>
    <t>5301 E Independence</t>
  </si>
  <si>
    <t>SHC5B8k-F-LSaf5X8kpmEw</t>
  </si>
  <si>
    <t>Shopping, American (Traditional), Restaurants, American (New), Toy Stores, Active Life, Kids Activities</t>
  </si>
  <si>
    <t>American Girl Charlotte</t>
  </si>
  <si>
    <t>pek0x2EZ6QOtS69z3ErCVg</t>
  </si>
  <si>
    <t>15 North Roadside Kitchen</t>
  </si>
  <si>
    <t>1513 Montford Dr</t>
  </si>
  <si>
    <t>Ss16iNw5LVb5cy3oJYoRhA</t>
  </si>
  <si>
    <t>Real Estate, Home Services, Apartments, Local Flavor, Restaurants</t>
  </si>
  <si>
    <t>Mosaic Village</t>
  </si>
  <si>
    <t>1635 W Trade St</t>
  </si>
  <si>
    <t>tgpRHhuggdqXyeMBZX3Ngw</t>
  </si>
  <si>
    <t>Breakfast &amp; Brunch, Diners, American (Traditional), Waffles, Restaurants</t>
  </si>
  <si>
    <t>501 Westinghouse Blvd</t>
  </si>
  <si>
    <t>Event Planning &amp; Services, Caterers, Restaurants, Fast Food, Mexican, Tex-Mex</t>
  </si>
  <si>
    <t>1530 Overland Park Ln, Ste 1-100</t>
  </si>
  <si>
    <t>GjBsbgZG2pILKNYOfs86nA</t>
  </si>
  <si>
    <t>Restaurants, Caterers, Event Planning &amp; Services</t>
  </si>
  <si>
    <t>The Andersons</t>
  </si>
  <si>
    <t>1617 Elizabeth Ave</t>
  </si>
  <si>
    <t>vDcAGfBmpNz4xc_6qeKWpQ</t>
  </si>
  <si>
    <t>Breakfast &amp; Brunch, American (Traditional), Restaurants</t>
  </si>
  <si>
    <t>Shuffletown Drive-In</t>
  </si>
  <si>
    <t>10220 Rozzelles Ferry Rd</t>
  </si>
  <si>
    <t>iH1cLLngvM0_m0lBMESkvg</t>
  </si>
  <si>
    <t>Latin American, Seafood, Spanish, Restaurants, Mexican, Salvadoran</t>
  </si>
  <si>
    <t>Cuzcatlan Restaurant</t>
  </si>
  <si>
    <t>4800 Central Ave</t>
  </si>
  <si>
    <t>FilQdqNDa5wc49zznGJ3bA</t>
  </si>
  <si>
    <t>Latin American, Restaurants, Salvadoran, Mexican</t>
  </si>
  <si>
    <t>Lempira Restaurant</t>
  </si>
  <si>
    <t>140 Eastway Dr</t>
  </si>
  <si>
    <t>fldWVI12ksde1drzdI9V4Q</t>
  </si>
  <si>
    <t>Fast Food, Restaurants, Sandwiches</t>
  </si>
  <si>
    <t>3211 Eastway Dr, Ste 14</t>
  </si>
  <si>
    <t>QFqtVX-lyZQgVHQrG-dhlg</t>
  </si>
  <si>
    <t>Diners, American (New), Restaurants, Southern</t>
  </si>
  <si>
    <t>Diamond Restaurant</t>
  </si>
  <si>
    <t>1901 Commonwealth Ave</t>
  </si>
  <si>
    <t>x3LoVFuzVIPK_J-kDZORdg</t>
  </si>
  <si>
    <t>La Unica</t>
  </si>
  <si>
    <t>1101 Central Ave</t>
  </si>
  <si>
    <t>iAD5r5vNOzc1AP6UA5yFiQ</t>
  </si>
  <si>
    <t>Cafes, Food, Ice Cream &amp; Frozen Yogurt, Hawaiian, Gelato, Restaurants, American (New), Italian, Mediterranean</t>
  </si>
  <si>
    <t>Bella Fresco</t>
  </si>
  <si>
    <t>8200 Providence Rd</t>
  </si>
  <si>
    <t>wcBxjK5CdOuVOQCRMfd6Hw</t>
  </si>
  <si>
    <t>Restaurants, Food, Cheesesteaks</t>
  </si>
  <si>
    <t>A Taste of Philly</t>
  </si>
  <si>
    <t>9015-5B JM Keynes Dr</t>
  </si>
  <si>
    <t>fxVIjaDZxUDCZeP9Ow1ezQ</t>
  </si>
  <si>
    <t>Barbeque, Restaurants, Food Trucks, Food, Caterers, Event Planning &amp; Services, Sandwiches</t>
  </si>
  <si>
    <t>Potbelly BBQ</t>
  </si>
  <si>
    <t>64ZPMllrqdrVNXMEQIvXhw</t>
  </si>
  <si>
    <t>Barbeque, Seafood, Ethnic Food, Chinese, Restaurants, Food, Specialty Food, Soup</t>
  </si>
  <si>
    <t>Cherry Blossom Chinese Restaurant</t>
  </si>
  <si>
    <t>8206 Providence Rd, Ste 1500</t>
  </si>
  <si>
    <t>GmhtN4s5elpIpt6r0m26ug</t>
  </si>
  <si>
    <t>Restaurants, Sandwiches, Salad, Kebab, Mediterranean, Greek</t>
  </si>
  <si>
    <t>Zoes Kitchen</t>
  </si>
  <si>
    <t>7631 Pineville Matthews Road</t>
  </si>
  <si>
    <t>jvlQJc4aldq-qWNoZVVyDQ</t>
  </si>
  <si>
    <t>The Cafe at Sara's YMCA</t>
  </si>
  <si>
    <t>15940 Brixham Hill Ave</t>
  </si>
  <si>
    <t>FTbNkCQyXjRqK0zJM70pmA</t>
  </si>
  <si>
    <t>Steakhouses, Food, Restaurants</t>
  </si>
  <si>
    <t>Charley's Philly Steaks</t>
  </si>
  <si>
    <t>5404 New Fashion Way, Ste 618</t>
  </si>
  <si>
    <t>hsbtcqamJjmL6ASCAWnQVw</t>
  </si>
  <si>
    <t>Karaoke, Bars, Pizza, Restaurants, Nightlife</t>
  </si>
  <si>
    <t>Carmellas Pizza Grill</t>
  </si>
  <si>
    <t>MV9fUwgI2AQa4uZArynRlA</t>
  </si>
  <si>
    <t>Monterrey</t>
  </si>
  <si>
    <t>10707 Park Rd, Ste A</t>
  </si>
  <si>
    <t>MSTOwBudS6bQNBz5zP1aeA</t>
  </si>
  <si>
    <t>Mango's Caribbean Restaurant</t>
  </si>
  <si>
    <t>3112 N Davidson St</t>
  </si>
  <si>
    <t>dHUb949NckE2GqtlSVlWQg</t>
  </si>
  <si>
    <t>Soul Food, Restaurants, Street Vendors, Personal Chefs, Event Planning &amp; Services, Food Trucks, Food</t>
  </si>
  <si>
    <t>Roaming Fork</t>
  </si>
  <si>
    <t>79L6mkSIhTdBqooWwc0Wrw</t>
  </si>
  <si>
    <t>Restaurants, Nightlife, Tex-Mex, American (Traditional), Bars</t>
  </si>
  <si>
    <t>9730 Rea Rd</t>
  </si>
  <si>
    <t>c6reG5RSvFNGBlJDWmjwEA</t>
  </si>
  <si>
    <t>Breakfast &amp; Brunch, Diners, American (Traditional), Restaurants</t>
  </si>
  <si>
    <t>Carolina Family Restaurant</t>
  </si>
  <si>
    <t>4600 Wilkinson Blvd</t>
  </si>
  <si>
    <t>t-rivl_ISXvrh829BkRFKg</t>
  </si>
  <si>
    <t>Qdoba Mexican Grill</t>
  </si>
  <si>
    <t>7800 Rea Rd, Unit F6</t>
  </si>
  <si>
    <t>_OtUeybIKTx2jhLVYV66wA</t>
  </si>
  <si>
    <t>10125 Perimeter Pkwy, Ste C</t>
  </si>
  <si>
    <t>lDW17ZfA17a-5yg1vCK3wg</t>
  </si>
  <si>
    <t>Bars, Venues &amp; Event Spaces, Arts &amp; Entertainment, Event Planning &amp; Services, Music Venues, Festivals, American (New), Restaurants, Nightlife</t>
  </si>
  <si>
    <t>Rooftop 210</t>
  </si>
  <si>
    <t>210 E Trade, Ste B-320, Epicentre</t>
  </si>
  <si>
    <t>a3gVxyKKpYHPuUaKEDNjjg</t>
  </si>
  <si>
    <t>Arts &amp; Entertainment, Wineries, American (New), Beer, Wine &amp; Spirits, Food, Tea Rooms, Restaurants</t>
  </si>
  <si>
    <t>Foxcroft Wine Co - Southpark</t>
  </si>
  <si>
    <t>7824 Fairview Rd</t>
  </si>
  <si>
    <t>X02YNLa3Iofzwv5Le6QeYQ</t>
  </si>
  <si>
    <t>8640 University City Blvd</t>
  </si>
  <si>
    <t>Z072pEHdos2Gjj3nMdR6uA</t>
  </si>
  <si>
    <t>Luce Restaurant &amp; Bar</t>
  </si>
  <si>
    <t>214 N Tryon St, Ste J</t>
  </si>
  <si>
    <t>MtzjOi57BkQrqF8wqNOyHg</t>
  </si>
  <si>
    <t>Soul Food, Food, Specialty Food, Ethnic Food, Restaurants</t>
  </si>
  <si>
    <t>Nana's Soul Food Kitchen</t>
  </si>
  <si>
    <t>2908 Oak Lake Blvd, Ste 106</t>
  </si>
  <si>
    <t>TeAHqoCOdktjA4q4eOVD7Q</t>
  </si>
  <si>
    <t>Southern, Restaurants</t>
  </si>
  <si>
    <t>Greystone Restaurant Tap Room</t>
  </si>
  <si>
    <t>3039 South Blvd</t>
  </si>
  <si>
    <t>X3r0CTHKc_KychP5_D8lgA</t>
  </si>
  <si>
    <t>Restaurants, Greek, Breakfast &amp; Brunch</t>
  </si>
  <si>
    <t>Showmars - Hearst Tower</t>
  </si>
  <si>
    <t>214 N Tryon St</t>
  </si>
  <si>
    <t>3jQxp12LlxMxG3H62hKsuw</t>
  </si>
  <si>
    <t>Restaurants, Fast Food, Chicken Wings, American (Traditional)</t>
  </si>
  <si>
    <t>Popeyes Louisiana Kitchen</t>
  </si>
  <si>
    <t>3318 Wilkinson Blvd</t>
  </si>
  <si>
    <t>3Y179Pj78cKep6o8YVAzyA</t>
  </si>
  <si>
    <t>Las Meras Tortas</t>
  </si>
  <si>
    <t>5661 Farm Pond Ln</t>
  </si>
  <si>
    <t>GXLkdn9_4wJvAeaibgvDCg</t>
  </si>
  <si>
    <t>Sandwiches, Delis, Restaurants, Salad</t>
  </si>
  <si>
    <t>15201 John J Delaney Dr</t>
  </si>
  <si>
    <t>6jooRp-nqdVufPSwiZGxRg</t>
  </si>
  <si>
    <t>Grocery, Delis, Restaurants, Ice Cream &amp; Frozen Yogurt, Food</t>
  </si>
  <si>
    <t>Cafe Fiesta</t>
  </si>
  <si>
    <t>7904 Nation Ford Rd</t>
  </si>
  <si>
    <t>TccP2CT2WONOsEMxn2VWyQ</t>
  </si>
  <si>
    <t>Fast Food, Seafood, Restaurants, Southern</t>
  </si>
  <si>
    <t>Fish &amp; Chicken Corner</t>
  </si>
  <si>
    <t>3500 N Tryon St</t>
  </si>
  <si>
    <t>-5XuRAfrjEiMN77J4gMQZQ</t>
  </si>
  <si>
    <t>Building Supplies, Specialty Food, Farmers Market, Sandwiches, Shopping, Vegetarian, Grocery, Home Services, Health Markets, Food, Juice Bars &amp; Smoothies, Restaurants, Home &amp; Garden</t>
  </si>
  <si>
    <t>Berrybrook Farm Natural Foods</t>
  </si>
  <si>
    <t>1257 E Blvd</t>
  </si>
  <si>
    <t>xLWRgmfLFWG3sYfCcYg3cw</t>
  </si>
  <si>
    <t>Restaurants, Korean</t>
  </si>
  <si>
    <t>Inter Korea</t>
  </si>
  <si>
    <t>7323 E Independence Blvd</t>
  </si>
  <si>
    <t>LgYC6Y9WPlmLROJuFPaqmA</t>
  </si>
  <si>
    <t>Food Delivery Services, Barbeque, Food, Restaurants, Event Planning &amp; Services, Caterers, American (New)</t>
  </si>
  <si>
    <t>Sage Garden BBQ &amp; Catering</t>
  </si>
  <si>
    <t>4113 Monroe Rd, Ste A</t>
  </si>
  <si>
    <t>ImpLykh7PV5I5Oabe3_NSw</t>
  </si>
  <si>
    <t>Lai Lai Express</t>
  </si>
  <si>
    <t>1607 Montford Dr, Ste E</t>
  </si>
  <si>
    <t>iyFS4twFjCKfaKl7kUl3sg</t>
  </si>
  <si>
    <t>American (Traditional), Tapas/Small Plates, Bars, Pubs, Tapas Bars, Gastropubs, Burgers, Restaurants, Breakfast &amp; Brunch, Steakhouses, Nightlife, American (New), Cocktail Bars</t>
  </si>
  <si>
    <t>Harry's Grille &amp; Tavern</t>
  </si>
  <si>
    <t>2127 Ayrsley Town Blvd, Ste 103</t>
  </si>
  <si>
    <t>B1sevFEjgsKPvkTz10ESJw</t>
  </si>
  <si>
    <t>2215 Ayrsley Town Blvd</t>
  </si>
  <si>
    <t>qJgrpTFe3Y3l8pjlurwokg</t>
  </si>
  <si>
    <t>Sandwiches, Breakfast &amp; Brunch, Comfort Food, Restaurants, Southern, American (Traditional)</t>
  </si>
  <si>
    <t>John's Country Kitchen</t>
  </si>
  <si>
    <t>1518 Central Ave</t>
  </si>
  <si>
    <t>ex3tvSrU1KYq8hL7PTQseg</t>
  </si>
  <si>
    <t>Restaurants, Sandwiches, Pizza, Italian, Chicken Wings, Fast Food</t>
  </si>
  <si>
    <t>9107 South Tryon St, Suite A</t>
  </si>
  <si>
    <t>LjOBNcNNpuewBqSPxYYTJQ</t>
  </si>
  <si>
    <t>Restaurants, Cafes, French, Bakeries, Food, Patisserie/Cake Shop</t>
  </si>
  <si>
    <t>9PAD90ZJZ8ZxssuS9hgmjA</t>
  </si>
  <si>
    <t>Steakhouses, Sandwiches, Restaurants, Salad</t>
  </si>
  <si>
    <t>Charleys Philly Steak</t>
  </si>
  <si>
    <t>6301 Northlake Mall Dr, Ste FC207</t>
  </si>
  <si>
    <t>OImusoPlOpwIB_AL2HlvuQ</t>
  </si>
  <si>
    <t>Haitian, Caribbean, Puerto Rican, Dominican, Restaurants</t>
  </si>
  <si>
    <t>Tropical Delights</t>
  </si>
  <si>
    <t>9211 N Tryon St, Ste 1</t>
  </si>
  <si>
    <t>K0VNhFhaOrO3CypCqofjwA</t>
  </si>
  <si>
    <t>Restaurants, Chinese, Vegetarian, Vegan</t>
  </si>
  <si>
    <t>Ma Ma Wok</t>
  </si>
  <si>
    <t>11914 Elm Ln, Ste 100</t>
  </si>
  <si>
    <t>c7X2SdKxVJMaOnFROO8WEg</t>
  </si>
  <si>
    <t>Caribbean, Pizza, Internet Cafes, Food, Restaurants</t>
  </si>
  <si>
    <t>Finga Lickin' Caribbean Eatery</t>
  </si>
  <si>
    <t>2838 The Plz</t>
  </si>
  <si>
    <t>4RL5ydKIIFpU8bevsOKRdA</t>
  </si>
  <si>
    <t>Pizza, Salad, Italian, Restaurants</t>
  </si>
  <si>
    <t>210 E Trade St, Ste D-164</t>
  </si>
  <si>
    <t>_2O4E4qEnfSKWGnopxRxtQ</t>
  </si>
  <si>
    <t>Nino's Pizza &amp; Pasta</t>
  </si>
  <si>
    <t>EzUZU_y0ooTGbboxFck1Pg</t>
  </si>
  <si>
    <t>Fast Food, Restaurants, Pizza, Sandwiches, Chicken Wings</t>
  </si>
  <si>
    <t>1801 S Blvd</t>
  </si>
  <si>
    <t>uhyp-BsjUon96BZvUHspSg</t>
  </si>
  <si>
    <t>Fish &amp; Chips, Fast Food, American (Traditional), Seafood, Restaurants</t>
  </si>
  <si>
    <t>101 E Woodlawn Rd</t>
  </si>
  <si>
    <t>xMtURwzH6qNLXUHVNqSb-g</t>
  </si>
  <si>
    <t>7026 Albemarle Rd</t>
  </si>
  <si>
    <t>n-n2l3VyENfM6nr8IXAObw</t>
  </si>
  <si>
    <t>Specialty Food, Ethnic Food, Beer, Wine &amp; Spirits, Mexican, Desserts, Restaurants, Food</t>
  </si>
  <si>
    <t>Taqueria</t>
  </si>
  <si>
    <t>8652 Pineville Matthews Rd, Ste 1000</t>
  </si>
  <si>
    <t>8nmjvYX4N67cxOsGfbEgjg</t>
  </si>
  <si>
    <t>American (New), Nightlife, Bars, Cinema, Arts &amp; Entertainment, Restaurants, American (Traditional)</t>
  </si>
  <si>
    <t>Studio Movie Grill - Epicenter</t>
  </si>
  <si>
    <t>210 E Trade St, Ste D-290</t>
  </si>
  <si>
    <t>pWLt6ID1HiMOp9QLNeuvIQ</t>
  </si>
  <si>
    <t>American (New), Nightlife, Bakeries, American (Traditional), Cafes, Southern, Steakhouses, Bars, Restaurants, Wine Bars, Food</t>
  </si>
  <si>
    <t>Red Rocks Cafe- Charlotte</t>
  </si>
  <si>
    <t>4223-8 Providence Rd</t>
  </si>
  <si>
    <t>NvOdaJ7uIrBuofR8_Q7g2Q</t>
  </si>
  <si>
    <t>Restaurants, Sandwiches, Pizza</t>
  </si>
  <si>
    <t>Newk's Express Cafe</t>
  </si>
  <si>
    <t>GL0B4Ro8oDGZCL54QseUmA</t>
  </si>
  <si>
    <t>Breweries, Pop-Up Restaurants, Food, Restaurants, Coffee &amp; Tea</t>
  </si>
  <si>
    <t>Hyde Brewing</t>
  </si>
  <si>
    <t>2911 Griffith St, Ste B, The Suffolk Punch</t>
  </si>
  <si>
    <t>wPVEI29NxwH70IjNXJiNrg</t>
  </si>
  <si>
    <t>8180 S Tryon St</t>
  </si>
  <si>
    <t>Qsg-2Coum0ccbXuJWDwZqA</t>
  </si>
  <si>
    <t>Southern, American (New), Restaurants</t>
  </si>
  <si>
    <t>Dogwood Southern Table &amp; Bar</t>
  </si>
  <si>
    <t>4905 Ashley Park Ln, Ste D</t>
  </si>
  <si>
    <t>4B_nRR2pEPqx-F-9y6oqnw</t>
  </si>
  <si>
    <t>Tex-Mex, Sports Bars, Restaurants, Bars, Nightlife</t>
  </si>
  <si>
    <t>Longboards Tap &amp; Taco</t>
  </si>
  <si>
    <t>1301 E Blvd</t>
  </si>
  <si>
    <t>kONNUpwvIsgpooLoYVtfCw</t>
  </si>
  <si>
    <t>Diners, Salad, Pizza, Restaurants, Food, Desserts, American (New), Sandwiches</t>
  </si>
  <si>
    <t>At 7th Restaurant</t>
  </si>
  <si>
    <t>MLGug8sDqdwtZOdhpNYiEg</t>
  </si>
  <si>
    <t>Nightlife, Restaurants, American (New), Sports Bars, Bars</t>
  </si>
  <si>
    <t>The Hub Bar And Grill</t>
  </si>
  <si>
    <t>2707 Little Rock Rd</t>
  </si>
  <si>
    <t>s2B_ZeSGTlQ3qbm0dOY5rg</t>
  </si>
  <si>
    <t>Ice Cream &amp; Frozen Yogurt, Restaurants, Burgers, American (Traditional), Food, Fast Food</t>
  </si>
  <si>
    <t>Hwy 55 Burgers Shakes &amp; Fries</t>
  </si>
  <si>
    <t>4847 Shopton Rd</t>
  </si>
  <si>
    <t>vofsKB4Y8MKyytL4dS556w</t>
  </si>
  <si>
    <t>Chicken Wings, American (New), Restaurants, Comfort Food, Food, Fast Food</t>
  </si>
  <si>
    <t>9211 N Tryon St</t>
  </si>
  <si>
    <t>f0-CkQFgRPjAW3ilQ_mCwA</t>
  </si>
  <si>
    <t>Restaurants, Japanese</t>
  </si>
  <si>
    <t>Yotto Japanese Restaurant</t>
  </si>
  <si>
    <t>7731 Colony Rd</t>
  </si>
  <si>
    <t>gNjDBm7WY5jF2sTIjQ8xPQ</t>
  </si>
  <si>
    <t>Food, Meat Shops, Steakhouses, Restaurants, Butcher, Shopping, Specialty Food</t>
  </si>
  <si>
    <t>Omaha Steaks</t>
  </si>
  <si>
    <t>9831 Rea Rd., Suite F</t>
  </si>
  <si>
    <t>Eqd5QGaW7_C-qHNGzs1uUg</t>
  </si>
  <si>
    <t>6426 W Sugar Creek Rd, Unit A</t>
  </si>
  <si>
    <t>hJ3GEL6TJVfh7UI9luTQ0g</t>
  </si>
  <si>
    <t>Caterers, Comfort Food, American (Traditional), Event Planning &amp; Services, Restaurants</t>
  </si>
  <si>
    <t>Boston Market</t>
  </si>
  <si>
    <t>1001 Chancellor Park Dr</t>
  </si>
  <si>
    <t>YVjJtgHSiovqeQRYqRvYQQ</t>
  </si>
  <si>
    <t>Barbeque, Restaurants, Event Planning &amp; Services, Caterers</t>
  </si>
  <si>
    <t>Original Chicken &amp; Ribs</t>
  </si>
  <si>
    <t>1100 Beatties Ford Rd</t>
  </si>
  <si>
    <t>xkiYAerQQXL25legNhVsSw</t>
  </si>
  <si>
    <t>Pizza, Italian, Restaurants, Food</t>
  </si>
  <si>
    <t>Wolfgang Puck Pizza Bar</t>
  </si>
  <si>
    <t>6706-C Philips Pl Ct</t>
  </si>
  <si>
    <t>DWZ0-MtRSJJjHe9VV7yl5A</t>
  </si>
  <si>
    <t>Las Lupitas</t>
  </si>
  <si>
    <t>5210 N Tryon St</t>
  </si>
  <si>
    <t>PdB5NfTZnHWKXtbPvuprIA</t>
  </si>
  <si>
    <t>American (New), Southern, Restaurants</t>
  </si>
  <si>
    <t>Circle G Restaurant</t>
  </si>
  <si>
    <t>4818 Rozzelles Ferry Rd</t>
  </si>
  <si>
    <t>K3iw26MkmSBPAM7BzHkIYQ</t>
  </si>
  <si>
    <t>Restaurants, Asian Fusion, Japanese, Sushi Bars</t>
  </si>
  <si>
    <t>Yama Asian Fusion</t>
  </si>
  <si>
    <t>720 Governor Morrison St, Ste 130</t>
  </si>
  <si>
    <t>FUaW8NqoL9QoVkDO8dWlpA</t>
  </si>
  <si>
    <t>Odalys Bakery</t>
  </si>
  <si>
    <t>4404 E Independence Blvd</t>
  </si>
  <si>
    <t>O5AjarihqW1V8RlJnoef9A</t>
  </si>
  <si>
    <t>Matt's Chicago Dog</t>
  </si>
  <si>
    <t>435 S Tryon St, Ste 140</t>
  </si>
  <si>
    <t>81loWEXEVVPq01Vwff-6uw</t>
  </si>
  <si>
    <t>Tamarind</t>
  </si>
  <si>
    <t>6420 Carmel Rd</t>
  </si>
  <si>
    <t>mfZrIReRZWhBESg525pY8w</t>
  </si>
  <si>
    <t>Mediterranean, Restaurants, Greek, Food Stands, Halal, Afghan</t>
  </si>
  <si>
    <t>The GyroMan</t>
  </si>
  <si>
    <t>bzbNGyrTwWHAgg1CqkSgeg</t>
  </si>
  <si>
    <t>Comfort Food, Breakfast &amp; Brunch, American (Traditional), Cafes, Food, American (New), Desserts, Irish, Southern, French, Restaurants</t>
  </si>
  <si>
    <t>Terrace Restaurants</t>
  </si>
  <si>
    <t>4625 Piedmont Row Dr, Ste 105</t>
  </si>
  <si>
    <t>5Ua5a941Wf5pTmUNz_MSsQ</t>
  </si>
  <si>
    <t>Persis Biryani Indian Grill</t>
  </si>
  <si>
    <t>bcCBj67idzZMrjqbsyjEyQ</t>
  </si>
  <si>
    <t>American (New), Speakeasies, Restaurants, Nightlife, Social Clubs, Cocktail Bars, Lounges, Bars, Tapas Bars, Arts &amp; Entertainment</t>
  </si>
  <si>
    <t>Dot Dot Dot</t>
  </si>
  <si>
    <t>4237 Park Rd, Unit B</t>
  </si>
  <si>
    <t>QzXxXyfCRAWYNJX8KuJUXw</t>
  </si>
  <si>
    <t>Food, Bakeries, Restaurants, Desserts</t>
  </si>
  <si>
    <t>Tizzerts</t>
  </si>
  <si>
    <t>4245 Park Rd</t>
  </si>
  <si>
    <t>KFOUXAwq_Z5vp9zlLTZL2g</t>
  </si>
  <si>
    <t>Nightlife, Bars, Sandwiches, Lounges, Restaurants, American (New), Tapas Bars</t>
  </si>
  <si>
    <t>Therapy Marketplace and Cafe</t>
  </si>
  <si>
    <t>7DaZWpnx0Af73akl-wwxJg</t>
  </si>
  <si>
    <t>Fast Food, Restaurants, Burgers, Sandwiches</t>
  </si>
  <si>
    <t>1326 Central Ave</t>
  </si>
  <si>
    <t>uqRQ9CGtpmm3HlAtWjJoyw</t>
  </si>
  <si>
    <t>8020 Providence Rd</t>
  </si>
  <si>
    <t>CZbr0_fMctWlOXL3iRbhEA</t>
  </si>
  <si>
    <t>Tapas/Small Plates, Restaurants, Salad, Nightlife, Lounges, Bars</t>
  </si>
  <si>
    <t>Bubble</t>
  </si>
  <si>
    <t>_GxLAJO1TgU7UKY9cMad9Q</t>
  </si>
  <si>
    <t>Bars, Nightlife, Chicken Wings, Sports Bars, Seafood, Food, Restaurants</t>
  </si>
  <si>
    <t>NC Tavern</t>
  </si>
  <si>
    <t>8225 University City Blvd</t>
  </si>
  <si>
    <t>R7wN3A5DTjZUiwI1uBp48g</t>
  </si>
  <si>
    <t>Sushi Bars, Restaurants, Japanese, Food Court</t>
  </si>
  <si>
    <t>Sushi Queen</t>
  </si>
  <si>
    <t>11524 N Tryon St, Ste 5</t>
  </si>
  <si>
    <t>eysNyNBip4vj23h-QjdA5Q</t>
  </si>
  <si>
    <t>Restaurants, American (Traditional), Bakeries, Breakfast &amp; Brunch, Food, Cheesesteaks, American (New), Sandwiches</t>
  </si>
  <si>
    <t>Menus Restaurant</t>
  </si>
  <si>
    <t>5445 77 Center Dr</t>
  </si>
  <si>
    <t>VPD964F1uXEDjoh8pM2BJw</t>
  </si>
  <si>
    <t>Bonsai Fusion</t>
  </si>
  <si>
    <t>225 E 6th St</t>
  </si>
  <si>
    <t>MawnO1mWfWM2pTTyRUdwlA</t>
  </si>
  <si>
    <t>Nightlife, Restaurants, Arts &amp; Entertainment, Bars, Arcades</t>
  </si>
  <si>
    <t>Jillian's</t>
  </si>
  <si>
    <t>kN9MQJzWErsPyXzfxgx2_Q</t>
  </si>
  <si>
    <t>Comfort Food, Diners, Breakfast &amp; Brunch, American (Traditional), Restaurants</t>
  </si>
  <si>
    <t>Stockyard Restaurant</t>
  </si>
  <si>
    <t>4925 Rozzelles Ferry Rd</t>
  </si>
  <si>
    <t>n_rEQNgsCOLNfMzGqFhn1g</t>
  </si>
  <si>
    <t>Asian Fusion, Chinese, Restaurants, Seafood, Buffets, Event Planning &amp; Services, Cocktail Bars, Nightlife, Bars, Caterers</t>
  </si>
  <si>
    <t>Great Wall Of China South</t>
  </si>
  <si>
    <t>6666 Carmel Rd</t>
  </si>
  <si>
    <t>Oz90Z2HDQOTrAHdFhFUZ_g</t>
  </si>
  <si>
    <t>Breakfast &amp; Brunch, Sandwiches, Nightlife, Coffee &amp; Tea, Food, Restaurants, Beer Bar, Bars</t>
  </si>
  <si>
    <t>Queen City Grounds</t>
  </si>
  <si>
    <t>644 N Church St</t>
  </si>
  <si>
    <t>9VHUX0dDUTZbKPCMSjdqNQ</t>
  </si>
  <si>
    <t>Restaurants, Delis, Bars, Food, Wine Bars, Tapas/Small Plates, Specialty Food, Sandwiches, Nightlife</t>
  </si>
  <si>
    <t>Rooney's Market</t>
  </si>
  <si>
    <t>2127 Ayrsley Town Blvd, Ste 101-A</t>
  </si>
  <si>
    <t>e9sB72njxz87r5TL6kG-Fw</t>
  </si>
  <si>
    <t>Whiskey Bars, Bars, Restaurants, Burgers, Nightlife</t>
  </si>
  <si>
    <t>Cowbell Burger &amp; Whiskey Bar</t>
  </si>
  <si>
    <t>201 N Tryon St, Ste 1010</t>
  </si>
  <si>
    <t>QvxBnMcBPP1z_NAIYCqqdA</t>
  </si>
  <si>
    <t>Restaurants, Cocktail Bars, Nightlife, Southern, Bars, Salad, Breakfast &amp; Brunch</t>
  </si>
  <si>
    <t>Haberdish</t>
  </si>
  <si>
    <t>3106 N Davidson St</t>
  </si>
  <si>
    <t>p3mKiOzfE2SyhggP8MBUQQ</t>
  </si>
  <si>
    <t>Music Venues, Bars, Food, Nightlife, Wineries, Wine Bars, Restaurants, Arts &amp; Entertainment, American (New)</t>
  </si>
  <si>
    <t>D'Vine Wine Cafe</t>
  </si>
  <si>
    <t>14815 Ballantyne Village Way, Ste 240, 2nd Fl</t>
  </si>
  <si>
    <t>1AAdKv94vJNpQGGUpldOpA</t>
  </si>
  <si>
    <t>American (Traditional), Fast Food, Restaurants, Fish &amp; Chips, Seafood</t>
  </si>
  <si>
    <t>5316 Sunset Rd</t>
  </si>
  <si>
    <t>tI9k0Vqdx0EgNohUdSJCeg</t>
  </si>
  <si>
    <t>Sports Bars, Nightlife, American (New), American (Traditional), Bars, Chicken Wings, Restaurants</t>
  </si>
  <si>
    <t>11504 Providence Rd</t>
  </si>
  <si>
    <t>h9pl164llZwUv9bylqx2Xw</t>
  </si>
  <si>
    <t>American (Traditional), Restaurants, Breakfast &amp; Brunch, Diners</t>
  </si>
  <si>
    <t>8635 Hankins Rd</t>
  </si>
  <si>
    <t>k4rCUTxZrDkRy2a9Bvpcww</t>
  </si>
  <si>
    <t>Restaurants, Greek</t>
  </si>
  <si>
    <t>Shiraz Grill</t>
  </si>
  <si>
    <t>1212 Charlottetowne Ave</t>
  </si>
  <si>
    <t>Csa0t9l6CvM2oeZLgFC6Iw</t>
  </si>
  <si>
    <t>Restaurants, Sushi Bars, Japanese, Asian Fusion, Steakhouses</t>
  </si>
  <si>
    <t>Nakato</t>
  </si>
  <si>
    <t>8500 Pineville Matthews Rd</t>
  </si>
  <si>
    <t>2hI0AiNic3cH7HgeOA15lQ</t>
  </si>
  <si>
    <t>Restaurants, Food Trucks, Food, Seafood</t>
  </si>
  <si>
    <t>Baltimore Crab Cake Company</t>
  </si>
  <si>
    <t>4102 Pima Cotton Dr</t>
  </si>
  <si>
    <t>y8KKRLLRrpBTt1NwTECDtg</t>
  </si>
  <si>
    <t>Mueller's Neighborhood Grill</t>
  </si>
  <si>
    <t>119 Huntley Pl</t>
  </si>
  <si>
    <t>cpoymNVg8jDEv8azrAg5gQ</t>
  </si>
  <si>
    <t>Olives Mediterranean Grill</t>
  </si>
  <si>
    <t>2215 Ayersley Town Blvd</t>
  </si>
  <si>
    <t>j3SHAiF8OIlY3kUPnAAlKw</t>
  </si>
  <si>
    <t>House Of Leng - Mallard Creek</t>
  </si>
  <si>
    <t>2712 W Mallard Creek Church Rd, Ste 430</t>
  </si>
  <si>
    <t>hgVXwdk_qmRp2QwrzxkZ5A</t>
  </si>
  <si>
    <t>American (Traditional), American (New), Restaurants, Burgers</t>
  </si>
  <si>
    <t>7401 East Independence Blvd</t>
  </si>
  <si>
    <t>WdBWhGe4Siqg3IYTc4_K4A</t>
  </si>
  <si>
    <t>Burgers, Restaurants, Sandwiches, Chicken Wings</t>
  </si>
  <si>
    <t>Macado's</t>
  </si>
  <si>
    <t>8650 University City Blvd</t>
  </si>
  <si>
    <t>BJwBqOe8poLbpaC3gyj6yQ</t>
  </si>
  <si>
    <t>Sandwiches, Restaurants, Pizza</t>
  </si>
  <si>
    <t>500 S College St</t>
  </si>
  <si>
    <t>m3XOBJyAJIWEJJUpngVLLw</t>
  </si>
  <si>
    <t>Ice Cream &amp; Frozen Yogurt, Vegetarian, Desserts, Restaurants, Food</t>
  </si>
  <si>
    <t>Two Scoops Creamery</t>
  </si>
  <si>
    <t>913 Central Ave</t>
  </si>
  <si>
    <t>vOfqIfvugPpcaEa9SbkPow</t>
  </si>
  <si>
    <t>Food, Delis, Grocery, Restaurants</t>
  </si>
  <si>
    <t>9323 N Tryon St</t>
  </si>
  <si>
    <t>V4OyQ33zfLSHIMaAX4GwrQ</t>
  </si>
  <si>
    <t>Restaurants, Food, Sandwiches, Coffee &amp; Tea</t>
  </si>
  <si>
    <t>Cluck 'N Cup</t>
  </si>
  <si>
    <t>6QpC_1BM11WWrGT07JBAMw</t>
  </si>
  <si>
    <t>Food, Caterers, Food Trucks, Greek, Event Planning &amp; Services, Restaurants</t>
  </si>
  <si>
    <t>Gyro Twins</t>
  </si>
  <si>
    <t>B1imfnKRvcotaYacPGUrLQ</t>
  </si>
  <si>
    <t>American (New), Nightlife, Vegetarian, Bars, American (Traditional), Lounges, Event Planning &amp; Services, Venues &amp; Event Spaces, Caterers, Restaurants</t>
  </si>
  <si>
    <t>Carpe Diem Restaurant &amp; Caterers</t>
  </si>
  <si>
    <t>1535 Elizabeth Ave</t>
  </si>
  <si>
    <t>FgzKgbSHnWER6tcx78VowQ</t>
  </si>
  <si>
    <t>La Preferida Mexican Restaurant</t>
  </si>
  <si>
    <t>6625 South Blvd</t>
  </si>
  <si>
    <t>ReMphHWsSUYyGBpUWDhpgA</t>
  </si>
  <si>
    <t>Restaurants, Shopping, Shopping Centers</t>
  </si>
  <si>
    <t>Ballantyne Village</t>
  </si>
  <si>
    <t>eE02dkQuSdlPu6OA83iLqg</t>
  </si>
  <si>
    <t>Delis, Salad, Sandwiches, Restaurants</t>
  </si>
  <si>
    <t>8046-D Providence Rd</t>
  </si>
  <si>
    <t>VraSwdw04w1LASF1xRBkdw</t>
  </si>
  <si>
    <t>Chicken Wings, Restaurants, Italian, Pizza, Sandwiches</t>
  </si>
  <si>
    <t>Kenna Coal Fired Kitchen</t>
  </si>
  <si>
    <t>5361 Ballantyne Commons Pkwy, Ste 200</t>
  </si>
  <si>
    <t>9oazldZAs3CkkhcGri1Isg</t>
  </si>
  <si>
    <t>Cafes, Soup, Salad, Restaurants, American (New), Sandwiches</t>
  </si>
  <si>
    <t>3207 Pineville Mathews Rd</t>
  </si>
  <si>
    <t>WWUKyGck3vJde6bPJmQ3wA</t>
  </si>
  <si>
    <t>Izakaya, Japanese, Ramen, Restaurants, Tapas/Small Plates, Sushi Bars</t>
  </si>
  <si>
    <t>Yume</t>
  </si>
  <si>
    <t>1508 S Mint St, Ste A</t>
  </si>
  <si>
    <t>T9A87gaqDM2w66KOMEUO_w</t>
  </si>
  <si>
    <t>The Sandwich Club</t>
  </si>
  <si>
    <t>525 N Tryon St</t>
  </si>
  <si>
    <t>6R3YPIg3xTHqHAK5qk_KnQ</t>
  </si>
  <si>
    <t>Sandwich Sam</t>
  </si>
  <si>
    <t>1601 South Blvd</t>
  </si>
  <si>
    <t>y2BAJiVr3K7Y39tuaEWW5Q</t>
  </si>
  <si>
    <t>Fast Food, Delis, Sandwiches, Restaurants</t>
  </si>
  <si>
    <t>Firehouse Subs</t>
  </si>
  <si>
    <t>7211 Waverly Walk Ave, Ste B-1</t>
  </si>
  <si>
    <t>Ac52FTELfKifOWT4WOafpQ</t>
  </si>
  <si>
    <t>Greek, Bars, Wine Bars, American (New), Nightlife, Jazz &amp; Blues, Restaurants, Arts &amp; Entertainment, Mediterranean</t>
  </si>
  <si>
    <t>Blue Restaurant &amp; Bar</t>
  </si>
  <si>
    <t>206 N College St</t>
  </si>
  <si>
    <t>wNgzPOtnHE1prmh3bzWR1g</t>
  </si>
  <si>
    <t>The Golden Coast II</t>
  </si>
  <si>
    <t>trAd97ig2agtkZl2cimOMQ</t>
  </si>
  <si>
    <t>Event Planning &amp; Services, Bakeries, Cafes, Food, Sandwiches, Caterers, American (New), Specialty Food, Restaurants</t>
  </si>
  <si>
    <t>Something Classic Cafe</t>
  </si>
  <si>
    <t>220 N Tryon St</t>
  </si>
  <si>
    <t>NxHLCT3PuylmuEDOsZfxWg</t>
  </si>
  <si>
    <t>Pan China Cafe</t>
  </si>
  <si>
    <t>2130 Ayrsley Town Blvd</t>
  </si>
  <si>
    <t>PHhZy5zYULNF-oz-2Jz9KA</t>
  </si>
  <si>
    <t>Restaurants, Nightlife, Pizza, Gluten-Free, Bars, Sandwiches</t>
  </si>
  <si>
    <t>Mellow Mushroom</t>
  </si>
  <si>
    <t>2V-3ZFt2tLzU_OV6ZI183w</t>
  </si>
  <si>
    <t>Grocery, Food, Restaurants, Delis</t>
  </si>
  <si>
    <t>931 N Wendover Rd</t>
  </si>
  <si>
    <t>HVpTl8LrT5btvNRQwkvKVw</t>
  </si>
  <si>
    <t>Breakfast &amp; Brunch, American (Traditional), Restaurants, Diners</t>
  </si>
  <si>
    <t>Denny's</t>
  </si>
  <si>
    <t>516 Tyvola Rd</t>
  </si>
  <si>
    <t>umYyXD1zcTbRHQW4etg0hA</t>
  </si>
  <si>
    <t>Sushi Bars, Vegan, American (New), Juice Bars &amp; Smoothies, Restaurants, Nightlife, Vegetarian, Bars, Wine Bars, Food</t>
  </si>
  <si>
    <t>Namastay Kitchen and Hangout</t>
  </si>
  <si>
    <t>PzLdqoFnSGqj1sOH2T3Cqg</t>
  </si>
  <si>
    <t>10110 Johnson Creek Rd</t>
  </si>
  <si>
    <t>nHJkBQ1o-hWDK9k_9ylf_A</t>
  </si>
  <si>
    <t>Restaurants, Barbeque, American (New), Event Planning &amp; Services, Caterers</t>
  </si>
  <si>
    <t>440 Tyvola Road</t>
  </si>
  <si>
    <t>0RMl1Or0qogBga5lCZMxpA</t>
  </si>
  <si>
    <t>Buffets, Southern, Restaurants</t>
  </si>
  <si>
    <t>Green Tomato Buffet</t>
  </si>
  <si>
    <t>uTBm1BXwhdUcLJy2-IIQTA</t>
  </si>
  <si>
    <t>Pizza, Italian, Restaurants</t>
  </si>
  <si>
    <t>Angela's</t>
  </si>
  <si>
    <t>9705 Mintworth Ave</t>
  </si>
  <si>
    <t>Ha83c9FSnVxUj7DA_1m53w</t>
  </si>
  <si>
    <t>Delis, Restaurants, Caterers, Event Planning &amp; Services</t>
  </si>
  <si>
    <t>Phil's Deli</t>
  </si>
  <si>
    <t>4223 Providence Rd</t>
  </si>
  <si>
    <t>ebwM2pckHieHvK6h1scuBw</t>
  </si>
  <si>
    <t>Restaurants, Bars, Cocktail Bars, Mediterranean, Halal, Nightlife, Middle Eastern</t>
  </si>
  <si>
    <t>Lazeez Mediterranean Grill</t>
  </si>
  <si>
    <t>9311 Jw Clay Blvd</t>
  </si>
  <si>
    <t>NxzrO9KaQezZEzSpRqCxwA</t>
  </si>
  <si>
    <t>Fast Food, American (New), Burgers, Restaurants</t>
  </si>
  <si>
    <t>14021 Conlan Cir</t>
  </si>
  <si>
    <t>nHdsHdq35JflGzliWVqG-Q</t>
  </si>
  <si>
    <t>Johnny Burrito</t>
  </si>
  <si>
    <t>301 S Tryon St, Ste 55</t>
  </si>
  <si>
    <t>CaQj2sgb49cII1mJ1tedbg</t>
  </si>
  <si>
    <t>Fast Food, Breakfast &amp; Brunch, Chicken Wings, Restaurants, Food, Chicken Shop, American (Traditional)</t>
  </si>
  <si>
    <t>3301 Wilkinson Blvd</t>
  </si>
  <si>
    <t>7uOy_Tw_2w2Gf75d-Tyx9Q</t>
  </si>
  <si>
    <t>Beauty &amp; Spas, Restaurants, Halal, Health &amp; Medical, Massage, Massage Therapy</t>
  </si>
  <si>
    <t>Just Because Massage Therapy</t>
  </si>
  <si>
    <t>7316 Wallace Rd, Ste A</t>
  </si>
  <si>
    <t>QJ8nA9dgfJagX66238Ne5A</t>
  </si>
  <si>
    <t>City Tavern</t>
  </si>
  <si>
    <t>ufc8tJd6X5mkaUk5L-78zQ</t>
  </si>
  <si>
    <t>Truc Vietnamese Cuisine</t>
  </si>
  <si>
    <t>4520 N Tryon, Ste 17</t>
  </si>
  <si>
    <t>0srmdU8Gd3fWA6uJ2ASl8Q</t>
  </si>
  <si>
    <t>Chicken Wings, Restaurants, Chicken Shop, Fast Food</t>
  </si>
  <si>
    <t>5032 Sunset Rd</t>
  </si>
  <si>
    <t>CV05rBOr5DdDGvxUZkRFmg</t>
  </si>
  <si>
    <t>Salad, Nightlife, Cocktail Bars, Bars, Restaurants, Pizza, Italian</t>
  </si>
  <si>
    <t>Angeline's</t>
  </si>
  <si>
    <t>300 S Tryon St</t>
  </si>
  <si>
    <t>ZNF0WjOC7sNhQSYLtO89xQ</t>
  </si>
  <si>
    <t>Food, Comfort Food, Restaurants, Bakeries, Desserts</t>
  </si>
  <si>
    <t>Midwood Pies</t>
  </si>
  <si>
    <t>hVLFDDA31wYm3Jjz3w74GA</t>
  </si>
  <si>
    <t>Bars, American (Traditional), Beer, Wine &amp; Spirits, Nightlife, Sports Bars, Restaurants, Beer Gardens, Chicken Wings, Cheesesteaks, Food</t>
  </si>
  <si>
    <t>14015 Conlan Cir</t>
  </si>
  <si>
    <t>DMwU0igEs9K7XuI3utsr6g</t>
  </si>
  <si>
    <t>Mexican, Ethnic Food, Specialty Food, Restaurants, American (Traditional), Food</t>
  </si>
  <si>
    <t>Tequileria</t>
  </si>
  <si>
    <t>5501 Airport Dr</t>
  </si>
  <si>
    <t>DjNdyATYYyHexZuUy54g2A</t>
  </si>
  <si>
    <t>Nightlife, Sports Bars, Chicken Wings, Restaurants, Bars, American (Traditional), Sandwiches, American (New)</t>
  </si>
  <si>
    <t>Buffalo Wings &amp; Rings</t>
  </si>
  <si>
    <t>16715 Orchard Stone Run</t>
  </si>
  <si>
    <t>Xl7HZudoYM6GTOdadlVCHg</t>
  </si>
  <si>
    <t>Restaurants, Latin American, Mexican</t>
  </si>
  <si>
    <t>Delicias Restaurante Latino</t>
  </si>
  <si>
    <t>6341 Albemarle Rd</t>
  </si>
  <si>
    <t>_-NY8_8Jv6rwCGG405Br5g</t>
  </si>
  <si>
    <t>Buffets, Restaurants, Sushi Bars</t>
  </si>
  <si>
    <t>Times Buffet</t>
  </si>
  <si>
    <t>MTDLV4bSPSWAbaJIgvcXpA</t>
  </si>
  <si>
    <t>Food, Fast Food, Restaurants, Burgers</t>
  </si>
  <si>
    <t>715 Charlottetowne Ave</t>
  </si>
  <si>
    <t>ki9Ol-lDwdwB2o2Rz7Xpow</t>
  </si>
  <si>
    <t>Cafes, Cafeteria, Restaurants</t>
  </si>
  <si>
    <t>K &amp; W Cafeteria</t>
  </si>
  <si>
    <t>7316 E Independence Blvd</t>
  </si>
  <si>
    <t>ge_6H0CdKEKEdnbWwrqzWQ</t>
  </si>
  <si>
    <t>Middle Eastern, Chicken Shop, Food, Food Trucks, Restaurants, Lebanese, Mediterranean, Falafel</t>
  </si>
  <si>
    <t>Zaroob Food Truck</t>
  </si>
  <si>
    <t>bXoK-PPaIXiqS75c09bfQg</t>
  </si>
  <si>
    <t>Restaurants, Mediterranean, Sandwiches, Salad, Kebab, Greek</t>
  </si>
  <si>
    <t>14145 Rivergate Pkwy, Suite 200</t>
  </si>
  <si>
    <t>Y_WNd6vSY55dti7mJoqvBA</t>
  </si>
  <si>
    <t>American (Traditional), Restaurants, Bars, Nightlife, Sports Bars</t>
  </si>
  <si>
    <t>Locker Room Sports Bar &amp; Grill</t>
  </si>
  <si>
    <t>4809 S Tryon St</t>
  </si>
  <si>
    <t>y52rX6iyCjLTWxDjZq405g</t>
  </si>
  <si>
    <t>China Garden</t>
  </si>
  <si>
    <t>8016 Cambridge Commons Dr</t>
  </si>
  <si>
    <t>NOI7IsSVLz2nlLkUwZ4tEQ</t>
  </si>
  <si>
    <t>Soul Food, Restaurants, Southern</t>
  </si>
  <si>
    <t>Chicken Box Cafe</t>
  </si>
  <si>
    <t>VeFqptSzekFAc3FZOpi81Q</t>
  </si>
  <si>
    <t>Nightlife, Cajun/Creole, Sports Bars, Pubs, Bars, Local Flavor, Restaurants, American (Traditional), Comfort Food</t>
  </si>
  <si>
    <t>Alexander Michael's</t>
  </si>
  <si>
    <t>401 W 9th St</t>
  </si>
  <si>
    <t>GaA2yuytF13P41DpmbLwoQ</t>
  </si>
  <si>
    <t>Breakfast &amp; Brunch, Coffee &amp; Tea, Food, Restaurants</t>
  </si>
  <si>
    <t>Undercurrent Coffee</t>
  </si>
  <si>
    <t>2012 Commonwealth Ave</t>
  </si>
  <si>
    <t>RwPbu8c44vCim5a1b9bSXA</t>
  </si>
  <si>
    <t>Chicken Shop, American (Traditional), Restaurants, Fast Food, Breakfast &amp; Brunch</t>
  </si>
  <si>
    <t>1402 W Trade St</t>
  </si>
  <si>
    <t>wc0tCEgg6LlLPlBErWExdQ</t>
  </si>
  <si>
    <t>Zinicola</t>
  </si>
  <si>
    <t>14835 Ballantyne Village Way, Ste 140</t>
  </si>
  <si>
    <t>922y7PvrE88aqhaErJek6A</t>
  </si>
  <si>
    <t>Breakfast &amp; Brunch, Food Trucks, Restaurants, Food</t>
  </si>
  <si>
    <t>Scratch kitchen CLT</t>
  </si>
  <si>
    <t>j7MAcrMGsiRCrFLLQH-XEQ</t>
  </si>
  <si>
    <t>Restaurants, Juice Bars &amp; Smoothies, Food, Hot Dogs, Cheesesteaks, American (Traditional), Ice Cream &amp; Frozen Yogurt, Burgers</t>
  </si>
  <si>
    <t>8451 Davis Lake Pkwy, Ste B1</t>
  </si>
  <si>
    <t>PYRjVUmJgctHVRnBVXpBEw</t>
  </si>
  <si>
    <t>Seafood, Mexican, Restaurants</t>
  </si>
  <si>
    <t>La Riviera Marisqueria</t>
  </si>
  <si>
    <t>6023 Albemarle Rd</t>
  </si>
  <si>
    <t>Restaurants, Latin American</t>
  </si>
  <si>
    <t>LC 21 Latin Fusion Bar &amp; Bistro</t>
  </si>
  <si>
    <t>1920 Sardis Rd N</t>
  </si>
  <si>
    <t>zb6RpofFD-rmpXqHVdXZbQ</t>
  </si>
  <si>
    <t>4820 South Blvd</t>
  </si>
  <si>
    <t>gZByUgIJsYIcZCGs--4Zhw</t>
  </si>
  <si>
    <t>Pie in the Sky Pizza</t>
  </si>
  <si>
    <t>LTXEYyUfTWG_eVNjXRh5WQ</t>
  </si>
  <si>
    <t>Firenza Pizza</t>
  </si>
  <si>
    <t>6925 University City Blvd</t>
  </si>
  <si>
    <t>VPqod6TW20VRw7n8zKtP5g</t>
  </si>
  <si>
    <t>Charlotte Cafe</t>
  </si>
  <si>
    <t>8200 Providence Rd, Ste 700</t>
  </si>
  <si>
    <t>tg2RojY_ADGI04IJcJbtaw</t>
  </si>
  <si>
    <t>1300 East Blvd</t>
  </si>
  <si>
    <t>c2FlKmdvLZqISzMwNg4bgQ</t>
  </si>
  <si>
    <t>Burgers, Fast Food, Restaurants, Food, Coffee &amp; Tea</t>
  </si>
  <si>
    <t>zrqeLHgpWke31dQZReit7w</t>
  </si>
  <si>
    <t>Patou French Bistro</t>
  </si>
  <si>
    <t>1315 East Blvd</t>
  </si>
  <si>
    <t>J9-xa5p7q1KltIoZPoWiFA</t>
  </si>
  <si>
    <t>Mexican, Fast Food, Restaurants, Tex-Mex</t>
  </si>
  <si>
    <t>gaNl3EDG7negmasL30Mg6A</t>
  </si>
  <si>
    <t>Yoshi's Grill</t>
  </si>
  <si>
    <t>9000 Ken Hoffman Dr</t>
  </si>
  <si>
    <t>uIJbO2SzdOVLTYzwpMm67w</t>
  </si>
  <si>
    <t>Food, American (Traditional), Health Markets, Breakfast &amp; Brunch, Restaurants, Specialty Food</t>
  </si>
  <si>
    <t>Get Fit Foods</t>
  </si>
  <si>
    <t>14825 Ballantyne Village Way, Ste 175</t>
  </si>
  <si>
    <t>zCbE30HpvUtVliqP5ycX9g</t>
  </si>
  <si>
    <t>Bars, Nightlife, Hookah Bars, Libraries, Coffee &amp; Tea, Food, Restaurants, Public Services &amp; Government, Shopping, Cafes, Books, Mags, Music &amp; Video, Bakeries, Bookstores</t>
  </si>
  <si>
    <t>Red@28th</t>
  </si>
  <si>
    <t>9539 Pinnacle Dr, Ste 203</t>
  </si>
  <si>
    <t>Burgers, Restaurants, Salad, Sandwiches, American (Traditional)</t>
  </si>
  <si>
    <t>Sandwich Corner</t>
  </si>
  <si>
    <t>12007 Sam Roper Rd Ste B, Ste B</t>
  </si>
  <si>
    <t>PdCxX1QJnlBkvnG9fFjWYg</t>
  </si>
  <si>
    <t>Food, Cafes, Bakeries, Coffee &amp; Tea, Restaurants, Sandwiches</t>
  </si>
  <si>
    <t>qC9ivAdl47BcZdlbW7ffLg</t>
  </si>
  <si>
    <t>Sushi Bars, Asian Fusion, Restaurants</t>
  </si>
  <si>
    <t>18 Asian and Sushi Bar</t>
  </si>
  <si>
    <t>9935 Rea Rd</t>
  </si>
  <si>
    <t>a_ZTzmEgdKiSgujroKe9cg</t>
  </si>
  <si>
    <t>9831-G Rea Rd</t>
  </si>
  <si>
    <t>cWZgqO5H-qYuCz-BjDUB7Q</t>
  </si>
  <si>
    <t>Burgers, Sports Bars, American (Traditional), Sandwiches, American (New), Pubs, Food, Nightlife, Bars, Restaurants, Beer, Wine &amp; Spirits</t>
  </si>
  <si>
    <t>Bad Dog American Pub</t>
  </si>
  <si>
    <t>8933 JM Keynes Dr, Ste 2</t>
  </si>
  <si>
    <t>wPe9XUIN2vavKk_CtqVtEQ</t>
  </si>
  <si>
    <t>Restaurants, Cafes, Food, Japanese, Sushi Bars</t>
  </si>
  <si>
    <t>Kyo Cafe</t>
  </si>
  <si>
    <t>9335 Center Lake Dr, Ste 230</t>
  </si>
  <si>
    <t>SPWYMQHjSTffpQhI837SdQ</t>
  </si>
  <si>
    <t>Cupcakes, Custom Cakes, Restaurants, American (Traditional), Food</t>
  </si>
  <si>
    <t>Curio City Kitchen</t>
  </si>
  <si>
    <t>301 N Tryon St</t>
  </si>
  <si>
    <t>IqH-J1D0HIP9wyJs2q_uGQ</t>
  </si>
  <si>
    <t>1600 E Woodlawn Rd</t>
  </si>
  <si>
    <t>dkn-moJIpc43tXn9_i690w</t>
  </si>
  <si>
    <t>Mediterranean, Sandwiches, Fast Food, Restaurants</t>
  </si>
  <si>
    <t>Pita Pit</t>
  </si>
  <si>
    <t>255 North College St</t>
  </si>
  <si>
    <t>G1QTSa0T7uVPMyLtN4a23w</t>
  </si>
  <si>
    <t>Restaurants, African</t>
  </si>
  <si>
    <t>Smell, No Taste!</t>
  </si>
  <si>
    <t>1200 E 36th St</t>
  </si>
  <si>
    <t>8XjnEhDTUtsJOUWPfbxDQA</t>
  </si>
  <si>
    <t>Bars, Convenience Stores, Hookah Bars, Delis, Nightlife, Food, Restaurants</t>
  </si>
  <si>
    <t>Quarterside Deli and Market</t>
  </si>
  <si>
    <t>820 E 7th St</t>
  </si>
  <si>
    <t>e3dbqeMI4k1Jl2VBCq9rNw</t>
  </si>
  <si>
    <t>Luigi's Pizza</t>
  </si>
  <si>
    <t>1225 E Blvd, Ste A</t>
  </si>
  <si>
    <t>8N1fEkTUN73oqDPz37uHnA</t>
  </si>
  <si>
    <t>Hotels, Hotels &amp; Travel, Event Planning &amp; Services, American (Traditional), Restaurants</t>
  </si>
  <si>
    <t>DoubleTree Suites by Hilton Hotel Charlotte - SouthPark</t>
  </si>
  <si>
    <t>33Z7_ZfUWM3MlFEdnamKgA</t>
  </si>
  <si>
    <t>Nightlife, Bars, Tapas/Small Plates, Restaurants, Cajun/Creole, Cocktail Bars</t>
  </si>
  <si>
    <t>The Queen and Glass</t>
  </si>
  <si>
    <t>1315 East Blvd, Ste 115</t>
  </si>
  <si>
    <t>NBxRduFCGvZnydOsbkqmiQ</t>
  </si>
  <si>
    <t>Food, Restaurants, Fast Food, Coffee &amp; Tea, Burgers</t>
  </si>
  <si>
    <t>1620 Sardis Rd</t>
  </si>
  <si>
    <t>H9NhLNwB9diQtZbi8K4GQw</t>
  </si>
  <si>
    <t>Toyama Express</t>
  </si>
  <si>
    <t>6DgxZcznfcvOTTiKnRzdAg</t>
  </si>
  <si>
    <t>Irish, Restaurants</t>
  </si>
  <si>
    <t>O'Shea's Irish Pub</t>
  </si>
  <si>
    <t>3715 Ardrey Kell Rd</t>
  </si>
  <si>
    <t>YzTafk0tQ-nAu1oICuuNFw</t>
  </si>
  <si>
    <t>Restaurants, Sushi Bars, Live/Raw Food, Japanese</t>
  </si>
  <si>
    <t>Sushi 101</t>
  </si>
  <si>
    <t>ZjXwoLeep7P_PTMwiExZuQ</t>
  </si>
  <si>
    <t>Asian Fusion, Specialty Food, Soup, Noodles, Food, Salad, Restaurants, Pasta Shops, Thai, Italian, American (New)</t>
  </si>
  <si>
    <t>Noodles &amp; Company</t>
  </si>
  <si>
    <t>QAHqplESgDUGgih45W9J-g</t>
  </si>
  <si>
    <t>American (New), Restaurants, Seafood, Steakhouses, Wine Bars, Nightlife, Bars</t>
  </si>
  <si>
    <t>Dressler's - Charlotte</t>
  </si>
  <si>
    <t>1100-E Metropolitan Ave, Ste 125-E</t>
  </si>
  <si>
    <t>vsGoYMRvBYss3x9fn-jDzQ</t>
  </si>
  <si>
    <t>Restaurants, Nightlife, Beer, Wine &amp; Spirits, American (New), Bars, Sports Bars, Food, American (Traditional)</t>
  </si>
  <si>
    <t>0XodaZxxFLObE4uUTQCYng</t>
  </si>
  <si>
    <t>Fast Food, Burgers, Restaurants, American (New)</t>
  </si>
  <si>
    <t>1605 Galleria Blvd, Ste 100</t>
  </si>
  <si>
    <t>fEBOArBqyFRy_cxpic_Epg</t>
  </si>
  <si>
    <t>Fast Food, Tex-Mex, Restaurants, Mexican</t>
  </si>
  <si>
    <t>3612 N Sharon Amity Rd.</t>
  </si>
  <si>
    <t>G2hTYYzvlg75BisWSHarLQ</t>
  </si>
  <si>
    <t>Enricos</t>
  </si>
  <si>
    <t>4815 Berewick Town Center Dr</t>
  </si>
  <si>
    <t>y14TQfHRL5Gkk-CorcR6bg</t>
  </si>
  <si>
    <t>American (New), Turkish, Modern European, American (Traditional), Restaurants, Mediterranean</t>
  </si>
  <si>
    <t>Euro Grill &amp; Cafe</t>
  </si>
  <si>
    <t>2719 Central Ave</t>
  </si>
  <si>
    <t>vtKpzwZ79DInAG4nyhChkQ</t>
  </si>
  <si>
    <t>Rigas Diner</t>
  </si>
  <si>
    <t>10020 Monroe Rd</t>
  </si>
  <si>
    <t>MYnD-mEnOXNqrfIT2GeZqA</t>
  </si>
  <si>
    <t>Pubs, Wraps, American (Traditional), Restaurants, Bars, Nightlife</t>
  </si>
  <si>
    <t>Mortimer's Cafe and Pub</t>
  </si>
  <si>
    <t>210 E Trade St, Ste 148-C</t>
  </si>
  <si>
    <t>dczaqb-9F-Rx17RZVGrg5w</t>
  </si>
  <si>
    <t>American (Traditional), Pubs, Bars, Nightlife, Restaurants, Sports Bars</t>
  </si>
  <si>
    <t>Dillinger's Tap Room</t>
  </si>
  <si>
    <t>214 N Church St</t>
  </si>
  <si>
    <t>Yc5_nA9NqqxOp8WCugF-Ng</t>
  </si>
  <si>
    <t>500 Degrees Pizzeria</t>
  </si>
  <si>
    <t>6037 South Blvd</t>
  </si>
  <si>
    <t>vG3RwJc_iK8EFIOyoYkgQg</t>
  </si>
  <si>
    <t>Salad, Sandwiches, Fast Food, Restaurants</t>
  </si>
  <si>
    <t>11420 Beaver Farms Rd</t>
  </si>
  <si>
    <t>7d7pZlKji6NozhHP1SrVqw</t>
  </si>
  <si>
    <t>Restaurants, Mediterranean, Vegan, Comfort Food, Food, Juice Bars &amp; Smoothies, Gluten-Free, Sandwiches</t>
  </si>
  <si>
    <t>Siggy's Good Food</t>
  </si>
  <si>
    <t>1001 Belmont Ave</t>
  </si>
  <si>
    <t>hRciQgMwGNx_QKVj5_kJwg</t>
  </si>
  <si>
    <t>Bluprint</t>
  </si>
  <si>
    <t>227 W Trade St, Ste 100</t>
  </si>
  <si>
    <t>TZlDTHjp7SqtwQKQhzrmbQ</t>
  </si>
  <si>
    <t>Convenience Stores, Restaurants, Delis, Breakfast &amp; Brunch, Food, American (Traditional)</t>
  </si>
  <si>
    <t>Blanchard's Deli</t>
  </si>
  <si>
    <t>5721 Carmel Rd</t>
  </si>
  <si>
    <t>O2opXFPnTG-Pxa_u-3w66A</t>
  </si>
  <si>
    <t>El Taco Veloz</t>
  </si>
  <si>
    <t>6701 N Tryon St</t>
  </si>
  <si>
    <t>M7xAYOvx8XQCn6y15rC9vg</t>
  </si>
  <si>
    <t>Chicken Wings, Restaurants</t>
  </si>
  <si>
    <t>Hubee D's</t>
  </si>
  <si>
    <t>14126 Rivergate Pkwy, Ste 500</t>
  </si>
  <si>
    <t>vs99Jj_kVyuRtDl7rxXH2Q</t>
  </si>
  <si>
    <t>Greek, Restaurants, Mediterranean</t>
  </si>
  <si>
    <t>Greek Isles</t>
  </si>
  <si>
    <t>Vogx8EtS5zlmkcFIzscBYg</t>
  </si>
  <si>
    <t>Bars, Restaurants, Nightlife, American (Traditional), Sports Bars</t>
  </si>
  <si>
    <t>Black Bear Saloon</t>
  </si>
  <si>
    <t>900 Seaboard St</t>
  </si>
  <si>
    <t>OEI3uF6JqHJa9LvdB6QJSw</t>
  </si>
  <si>
    <t>Steele Creek Cafe</t>
  </si>
  <si>
    <t>2420 Westinghouse Blvd</t>
  </si>
  <si>
    <t>9_A_ka0LR0xr0EDb_nc-gg</t>
  </si>
  <si>
    <t>1605 Galleria Blvd</t>
  </si>
  <si>
    <t>1mb44krcyBOylDiyx_3ORg</t>
  </si>
  <si>
    <t>Restaurants, Fast Food, Sandwiches, Delis</t>
  </si>
  <si>
    <t>4732 South Blvd</t>
  </si>
  <si>
    <t>0vkRt9v0gIodsRtunw9wgQ</t>
  </si>
  <si>
    <t>Restaurants, Pizza, Chicken Wings</t>
  </si>
  <si>
    <t>Teddy's Pizza</t>
  </si>
  <si>
    <t>5820 E Wt Harris Blvd</t>
  </si>
  <si>
    <t>L8DX7Jxt5r6lS68AOG43hg</t>
  </si>
  <si>
    <t>Fast Food, Restaurants, Chinese</t>
  </si>
  <si>
    <t>Panda Express</t>
  </si>
  <si>
    <t>101 Seneca Pl</t>
  </si>
  <si>
    <t>lWARz1KEamNU_P0T5tet8w</t>
  </si>
  <si>
    <t>Maki of Japan</t>
  </si>
  <si>
    <t>6801 Northlake Mall Dr, Ste Fc204</t>
  </si>
  <si>
    <t>kKCJvvktaKxZ5iFKv3lxuA</t>
  </si>
  <si>
    <t>Asian Fusion, Gluten-Free, Restaurants, Chinese, Fast Food</t>
  </si>
  <si>
    <t>Pei Wei</t>
  </si>
  <si>
    <t>13855 Conlan Cir, Ste J</t>
  </si>
  <si>
    <t>TyDN-YHYkVVAO804f5fX2Q</t>
  </si>
  <si>
    <t>Salad, Restaurants, Burgers, Chicken Wings, Hot Dogs, Greek, Seafood</t>
  </si>
  <si>
    <t>3222 Rozzelles Ferry Rd</t>
  </si>
  <si>
    <t>KbPB9h5kvqzNa2ys0NrvrA</t>
  </si>
  <si>
    <t>Restaurants, American (New), Bars, Nightlife, Salad</t>
  </si>
  <si>
    <t>Passion8</t>
  </si>
  <si>
    <t>Z72kvXsHfQgJNIwsfSOrbQ</t>
  </si>
  <si>
    <t>Hotels &amp; Travel, Event Planning &amp; Services, Restaurants, Hotels</t>
  </si>
  <si>
    <t>Hilton Charlotte University</t>
  </si>
  <si>
    <t>8629 Jm Keynes Dr</t>
  </si>
  <si>
    <t>fhx1yUZlC1QwovIjdYeGiw</t>
  </si>
  <si>
    <t>Tavolo</t>
  </si>
  <si>
    <t>300 N College St, Ste 101</t>
  </si>
  <si>
    <t>UpNnjV6p5GVPX6r_itOGUg</t>
  </si>
  <si>
    <t>Asian Fusion, Thai, Sushi Bars, Restaurants</t>
  </si>
  <si>
    <t>Rai Lay</t>
  </si>
  <si>
    <t>jYqOPpSmtKbKzf0Z_g-Oyg</t>
  </si>
  <si>
    <t>Breakfast &amp; Brunch, Southern, Soul Food, Vegetarian, Restaurants</t>
  </si>
  <si>
    <t>Flying Biscuit Cafe- Charlotte</t>
  </si>
  <si>
    <t>hcjnOtiW7Bdym3-7PaLUzA</t>
  </si>
  <si>
    <t>Sandwiches, Halal, Mediterranean, Restaurants, Middle Eastern</t>
  </si>
  <si>
    <t>Le Kebab Grill</t>
  </si>
  <si>
    <t>350 E Mccullough Dr</t>
  </si>
  <si>
    <t>Uk4JwxmREGgC7ofIW2fhuA</t>
  </si>
  <si>
    <t>1816 Galleria Blvd, Ste B</t>
  </si>
  <si>
    <t>XPma1KatL8CYQ-Ym4TWvsg</t>
  </si>
  <si>
    <t>Nightlife, American (Traditional), Sandwiches, Bars, Restaurants, American (New), Seafood</t>
  </si>
  <si>
    <t>TGI Fridays</t>
  </si>
  <si>
    <t>12811 S Tryon St</t>
  </si>
  <si>
    <t>FSB3Jb4t11KkMyEi_7-s6Q</t>
  </si>
  <si>
    <t>Nightlife, Sports Bars, American (Traditional), Burgers, Chicken Wings, Bars, Barbeque, Restaurants</t>
  </si>
  <si>
    <t>Mac's Speed Shop - Southend</t>
  </si>
  <si>
    <t>2511 S Blvd</t>
  </si>
  <si>
    <t>Qh8EERpaVfgYRCnvxCtk7g</t>
  </si>
  <si>
    <t>American (New), Restaurants, Wine Bars, Nightlife, Bars</t>
  </si>
  <si>
    <t>FireWater</t>
  </si>
  <si>
    <t>8708 Jw Clay Blvd</t>
  </si>
  <si>
    <t>bXLaGCKzkQcA2hLT-JZQ1w</t>
  </si>
  <si>
    <t>Shopping, Wine Bars, American (New), Bars, Nightlife, Restaurants, Arts &amp; Entertainment, Art Galleries</t>
  </si>
  <si>
    <t>J. Sams Wine Bar</t>
  </si>
  <si>
    <t>4625 Piedmont Row Dr</t>
  </si>
  <si>
    <t>Qr9rof7s2llPR92t9gvy1w</t>
  </si>
  <si>
    <t>Harmony Hall - Carowinds Dining</t>
  </si>
  <si>
    <t>14523 Carowinds Blvd</t>
  </si>
  <si>
    <t>qe1cIDQ0ofi7c0PFp7gPvw</t>
  </si>
  <si>
    <t>Bars, Chicken Wings, Nightlife, Dive Bars, Restaurants, Seafood</t>
  </si>
  <si>
    <t>Tavern 51</t>
  </si>
  <si>
    <t>8700 Pineville-Matthews Rd</t>
  </si>
  <si>
    <t>l-HychX9Up6YNIDNxzdgFw</t>
  </si>
  <si>
    <t>Restaurants, Delis, Fast Food, Sandwiches</t>
  </si>
  <si>
    <t>16049-K Johnston Rd</t>
  </si>
  <si>
    <t>JzwewXUzR3c5ggTtEE5uMg</t>
  </si>
  <si>
    <t>Extreme Pita</t>
  </si>
  <si>
    <t>fepCIbejv-Kxs6SE6u-_uA</t>
  </si>
  <si>
    <t>American (Traditional), Steakhouses, Seafood, Nightlife, Bars, Restaurants</t>
  </si>
  <si>
    <t>Morton's The Steakhouse</t>
  </si>
  <si>
    <t>227 W Trade St, Ste 150</t>
  </si>
  <si>
    <t>lbvlltOemKzyoFOZMvoruw</t>
  </si>
  <si>
    <t>Bakeries, Mexican, Food, Restaurants, Desserts, Cupcakes</t>
  </si>
  <si>
    <t>Manolo's Bakery</t>
  </si>
  <si>
    <t>4405 Central Ave, Ste D</t>
  </si>
  <si>
    <t>Q7ddmwSCUVBMGvVOegz9vA</t>
  </si>
  <si>
    <t>Teriyaki Grill Express</t>
  </si>
  <si>
    <t>7008 E Wt Harris Blvd, Ste 24</t>
  </si>
  <si>
    <t>RP3MFwBjZV7SLFKvh4Ipeg</t>
  </si>
  <si>
    <t>China Saute</t>
  </si>
  <si>
    <t>9252 Albemerne Rd</t>
  </si>
  <si>
    <t>vm32IZRNM_u9ZkQ8btHtFA</t>
  </si>
  <si>
    <t>Restaurants, Sandwiches, Chicken Wings</t>
  </si>
  <si>
    <t>815 Providence Rd</t>
  </si>
  <si>
    <t>gJttMZnv0Gy9OlLhNzPbQQ</t>
  </si>
  <si>
    <t>Breakfast &amp; Brunch, Restaurants, Sandwiches, American (New)</t>
  </si>
  <si>
    <t>LittleSpoon</t>
  </si>
  <si>
    <t>2820 Selwyn Ave, Ste 180</t>
  </si>
  <si>
    <t>HcM2hRB5RNc2YxjtWM0kJA</t>
  </si>
  <si>
    <t>Salad Creations</t>
  </si>
  <si>
    <t>-2pmn-oTJeybmDrL-ojwrw</t>
  </si>
  <si>
    <t>Food Trucks, Wraps, Food, Street Vendors, Restaurants</t>
  </si>
  <si>
    <t>New Wrap Order</t>
  </si>
  <si>
    <t>38LootZ9dawR1KpVHCNLeA</t>
  </si>
  <si>
    <t>Restaurants, Sandwiches, Beer, Wine &amp; Spirits, Coffee &amp; Tea, Delis, Food</t>
  </si>
  <si>
    <t>Deli st</t>
  </si>
  <si>
    <t>2801 Central Ave</t>
  </si>
  <si>
    <t>1BNWWBwUVxQYUK-IKXRdxA</t>
  </si>
  <si>
    <t>Fast Food, Sandwiches, Delis, Restaurants</t>
  </si>
  <si>
    <t>2908 Oak Lake Blvd, Ste 101</t>
  </si>
  <si>
    <t>p0guvoqR0OEMKqYEQiXjWg</t>
  </si>
  <si>
    <t>Restaurants, Vegan</t>
  </si>
  <si>
    <t>EBN's Vegan Cuisine</t>
  </si>
  <si>
    <t>1224 Commercial Ave</t>
  </si>
  <si>
    <t>ewSh93zoRx0DIWRKU-fFwQ</t>
  </si>
  <si>
    <t>Fenwick's</t>
  </si>
  <si>
    <t>511 Providence Rd</t>
  </si>
  <si>
    <t>jBdPXcAkbrlJ5JG6N-9x9Q</t>
  </si>
  <si>
    <t>Restaurants, Food Stands, Food, Street Vendors</t>
  </si>
  <si>
    <t>Taqueria El Tri</t>
  </si>
  <si>
    <t>4300 N Tryon St</t>
  </si>
  <si>
    <t>Us7Oe7hwI3J9rJ2TZs8gSw</t>
  </si>
  <si>
    <t>Chicken Shop, Restaurants, Breakfast &amp; Brunch, Fast Food, Chicken Wings</t>
  </si>
  <si>
    <t>3510 Mt Holly Huntersville Rd</t>
  </si>
  <si>
    <t>2Ok4s1al1XRqFTyEWB4i0g</t>
  </si>
  <si>
    <t>American (New), Salad, American (Traditional), Restaurants, Pizza</t>
  </si>
  <si>
    <t>California Pizza Kitchen at Southpark Mall</t>
  </si>
  <si>
    <t>4400 Sharon Rd, Spc G23D</t>
  </si>
  <si>
    <t>99j5vhhtFJIefXDLsmA29Q</t>
  </si>
  <si>
    <t>Food, Restaurants, Salad, Gelato, Italian, Pizza</t>
  </si>
  <si>
    <t>Inizio Pizza Napoletana</t>
  </si>
  <si>
    <t>10620 Providence Rd, Ste A</t>
  </si>
  <si>
    <t>qWSwDbtJRBvKTiMpH3rNLQ</t>
  </si>
  <si>
    <t>Asian Fusion, Sushi Bars, Restaurants, Thai</t>
  </si>
  <si>
    <t>Deejai Thai</t>
  </si>
  <si>
    <t>613 Providence Rd</t>
  </si>
  <si>
    <t>FY71JKLl44HVLjO1xJl9dA</t>
  </si>
  <si>
    <t>Buffets, Chinese, Restaurants</t>
  </si>
  <si>
    <t>Royal Buffet</t>
  </si>
  <si>
    <t>JBzuQWTPFjUV-Q70fRBrUQ</t>
  </si>
  <si>
    <t>Restaurants, Burgers, American (Traditional)</t>
  </si>
  <si>
    <t>Hot Rods Cafe</t>
  </si>
  <si>
    <t>10102 Albemarle Rd</t>
  </si>
  <si>
    <t>nNYYONMgYJtuk1klY7Zs8g</t>
  </si>
  <si>
    <t>Restaurants, Food, Pizza, Food Delivery Services</t>
  </si>
  <si>
    <t>6201 S Blvd</t>
  </si>
  <si>
    <t>SWXd8ncyslR-42T8_cTGkQ</t>
  </si>
  <si>
    <t>Fast Food, Chicken Shop, Restaurants, Breakfast &amp; Brunch</t>
  </si>
  <si>
    <t>4435 The Plz</t>
  </si>
  <si>
    <t>S986oVvGdCmgVd9gf_fjhw</t>
  </si>
  <si>
    <t>Restaurants, Latin American, Food, Bakeries, Colombian</t>
  </si>
  <si>
    <t>Las Americas</t>
  </si>
  <si>
    <t>8652 Pineville Matthews Rd</t>
  </si>
  <si>
    <t>jeJbLKuVSbPuAwvgOoP5hA</t>
  </si>
  <si>
    <t>Specialty Food, Halal, American (New), Restaurants, Food, Italian</t>
  </si>
  <si>
    <t>US Fried Chicken</t>
  </si>
  <si>
    <t>4419 Tuckaseegee Rd</t>
  </si>
  <si>
    <t>EbgUkmDxPUa2fr0rc8EFJQ</t>
  </si>
  <si>
    <t>Asian Fusion, Chinese, Restaurants, Gluten-Free</t>
  </si>
  <si>
    <t>6809-F Phillips Place Ct</t>
  </si>
  <si>
    <t>f0obcNDp4s8yyhPDUbTVfQ</t>
  </si>
  <si>
    <t>Restaurants, American (New), Fast Food, Burgers</t>
  </si>
  <si>
    <t>Ul93EfDgIlL3Vm7pBt9Y7A</t>
  </si>
  <si>
    <t>Restaurants, American (Traditional), Chicken Wings</t>
  </si>
  <si>
    <t>Buffalo's Southwest Cafe</t>
  </si>
  <si>
    <t>14015 Conlan Cir.</t>
  </si>
  <si>
    <t>nxlKAOnNJzyPOjFCPX2_Bw</t>
  </si>
  <si>
    <t>Beantown Tavern</t>
  </si>
  <si>
    <t>8155 Ardrey Kell Rd, Ste 104</t>
  </si>
  <si>
    <t>USleI8g1UVN9-9jm-b4uIg</t>
  </si>
  <si>
    <t>American (New), French, Restaurants, Italian</t>
  </si>
  <si>
    <t>The Fig Tree Restaurant</t>
  </si>
  <si>
    <t>1601 East 7th St</t>
  </si>
  <si>
    <t>TLWZK8NIpn4zI4_yut-q6Q</t>
  </si>
  <si>
    <t>Local Flavor, Vegetarian, Live/Raw Food, Vegan, Restaurants</t>
  </si>
  <si>
    <t>Luna's Living Kitchen</t>
  </si>
  <si>
    <t>2102 S Blvd, Ste 150</t>
  </si>
  <si>
    <t>BzXhD2JpiDNAzPGYocP4hw</t>
  </si>
  <si>
    <t>Sandwiches, Delis, Restaurants, Fast Food</t>
  </si>
  <si>
    <t>9020 Albemarle Rd, Unit A1</t>
  </si>
  <si>
    <t>GTB4esadYFFyLTJX9OqNdw</t>
  </si>
  <si>
    <t>Dragon Court</t>
  </si>
  <si>
    <t>4520 N Tryon St, Ste 40</t>
  </si>
  <si>
    <t>1_pgCgtK2kiM7SyXWbznYQ</t>
  </si>
  <si>
    <t>Salad, Latin American, Restaurants, Colombian, Chicken Shop</t>
  </si>
  <si>
    <t>Hello Chicken</t>
  </si>
  <si>
    <t>9-yw7Dh6fMl-Wgnq0vD9sQ</t>
  </si>
  <si>
    <t>5361 Ballantyne Commons Pkwy, 100</t>
  </si>
  <si>
    <t>-7VzJ1aG5yuWB9LT42yhlw</t>
  </si>
  <si>
    <t>Soul Food, Restaurants</t>
  </si>
  <si>
    <t>Nana's Uptown Restaurant &amp; Bar</t>
  </si>
  <si>
    <t>710 W Trade St</t>
  </si>
  <si>
    <t>a2aIe4d-d7wUtkWsnIiEVQ</t>
  </si>
  <si>
    <t>Italian, Restaurants, Pizza</t>
  </si>
  <si>
    <t>Antonio's Pizza</t>
  </si>
  <si>
    <t>9605 North Tryon St, Ste Z</t>
  </si>
  <si>
    <t>bXbCGFk3ZjLcTdQQB-xPyQ</t>
  </si>
  <si>
    <t>Luciano's Ristorante Italiano</t>
  </si>
  <si>
    <t>1910 South Blvd</t>
  </si>
  <si>
    <t>fHCu2seSfCZRxbBGzTRf8A</t>
  </si>
  <si>
    <t>Tacos, Chicken Shop, Mexican, Restaurants</t>
  </si>
  <si>
    <t>El Rey Del Pollo</t>
  </si>
  <si>
    <t>5111 Central Ave</t>
  </si>
  <si>
    <t>3Mh-M4JlIEGTv5TRaXbUDA</t>
  </si>
  <si>
    <t>Coffee &amp; Tea, Restaurants, Food, American (New)</t>
  </si>
  <si>
    <t>Cluck N Cup</t>
  </si>
  <si>
    <t>9401 Statesville Rd</t>
  </si>
  <si>
    <t>22MYhTXwSXaS4rW2VOrR-w</t>
  </si>
  <si>
    <t>Middle Eastern, Halal, Mediterranean, Restaurants</t>
  </si>
  <si>
    <t>Jasmine Grill</t>
  </si>
  <si>
    <t>Y24q_yO23zqY_y-QWOX-XA</t>
  </si>
  <si>
    <t>Seafood, Food, American (New), Greek, Diners, Restaurants, Chinese</t>
  </si>
  <si>
    <t>Showmars - Northlake Mall</t>
  </si>
  <si>
    <t>6801 Northlake Mall Dr, Ste 206</t>
  </si>
  <si>
    <t>NNiKmCGL1USfihxT7uAcjw</t>
  </si>
  <si>
    <t>Food, Coffee &amp; Tea, Restaurants</t>
  </si>
  <si>
    <t>Jackson's Java</t>
  </si>
  <si>
    <t>401 S Tryon St</t>
  </si>
  <si>
    <t>Uyt5epG2rWOhOvgnZJwXoA</t>
  </si>
  <si>
    <t>Sandwiches, Wraps, Restaurants, Salad, Delis</t>
  </si>
  <si>
    <t>Crown Town Subs</t>
  </si>
  <si>
    <t>Jo1t0_Tl27ejGQO9g3GDQA</t>
  </si>
  <si>
    <t>Festivals, Arts &amp; Entertainment, American (New), Restaurants</t>
  </si>
  <si>
    <t>Competition Dining: Fire in the City</t>
  </si>
  <si>
    <t>jQ7uVW2g5vZkuIg_hRs2SQ</t>
  </si>
  <si>
    <t>Food Court, Fast Food, Restaurants</t>
  </si>
  <si>
    <t>Charlotte Douglas Airport Food Court</t>
  </si>
  <si>
    <t>KdczpWW4AxTbBKH6ZnTGYg</t>
  </si>
  <si>
    <t>Juice Bars &amp; Smoothies, Southern, Restaurants, Food, Breakfast &amp; Brunch, American (Traditional)</t>
  </si>
  <si>
    <t>Just Fresh Bakery Cafe</t>
  </si>
  <si>
    <t>1231 E Blvd</t>
  </si>
  <si>
    <t>pYXLiLIbCeLIeJhucyyyyQ</t>
  </si>
  <si>
    <t>Delis, Fast Food, Restaurants, Sandwiches</t>
  </si>
  <si>
    <t>9130 Harris Corners Pkwy</t>
  </si>
  <si>
    <t>zxsktAMsVBKj2PvvCV11UQ</t>
  </si>
  <si>
    <t>Steakhouses, American (Traditional), Mediterranean, Restaurants, Food, Breakfast &amp; Brunch, Coffee &amp; Tea, Lounges, Bars, Italian, Nightlife</t>
  </si>
  <si>
    <t>Caffe Siena</t>
  </si>
  <si>
    <t>230 N College St</t>
  </si>
  <si>
    <t>ki5qgWUCuTpb9si0eJL1fQ</t>
  </si>
  <si>
    <t>Fast Food, Restaurants, Mexican, Tex-Mex</t>
  </si>
  <si>
    <t>8661 Jw Clay Blvd</t>
  </si>
  <si>
    <t>xuEoEyxJ5nwoTzBgxbMYfg</t>
  </si>
  <si>
    <t>Salad, Restaurants, Sandwiches, Greek, Hot Dogs, Cheesesteaks, Fast Food, Caribbean</t>
  </si>
  <si>
    <t>Subs N Such</t>
  </si>
  <si>
    <t>7340 Smith Corners Blvd, Ste 100</t>
  </si>
  <si>
    <t>1czIVv2iyOHc3WMgtUWXCQ</t>
  </si>
  <si>
    <t>Vietnamese, Persian/Iranian, Bars, Food, Asian Fusion, Chinese, Thai, Nightlife, Wine Bars, Restaurants, Beer, Wine &amp; Spirits</t>
  </si>
  <si>
    <t>Persuasian Restaurant</t>
  </si>
  <si>
    <t>2214 Park Rd</t>
  </si>
  <si>
    <t>IdJw-ZVnIXmWRboBIVADBQ</t>
  </si>
  <si>
    <t>Vegetarian, Restaurants, Delis, Sandwiches</t>
  </si>
  <si>
    <t>Roly Poly</t>
  </si>
  <si>
    <t>SaCZIOra8E5C9QMjzDsuNQ</t>
  </si>
  <si>
    <t>Stoney's Woodfired Pizza</t>
  </si>
  <si>
    <t>2215 Arysley Town Blvd</t>
  </si>
  <si>
    <t>5-kKBLxNF3kYcDVgZyRTmQ</t>
  </si>
  <si>
    <t>Arts &amp; Entertainment, Music Venues, Nightlife, Dive Bars, Karaoke, Bars, Restaurants</t>
  </si>
  <si>
    <t>Jeff's Bucket Shop</t>
  </si>
  <si>
    <t>1601 Montford Dr</t>
  </si>
  <si>
    <t>AEdlEpcUni8peDLAm1K_ZA</t>
  </si>
  <si>
    <t>Restaurants, Bars, Nightlife</t>
  </si>
  <si>
    <t>food for thought, Crowne Plaza</t>
  </si>
  <si>
    <t>Tyvola Rd</t>
  </si>
  <si>
    <t>2g4jkEMwQxIwRqIEXiX0tg</t>
  </si>
  <si>
    <t>The Seafarer</t>
  </si>
  <si>
    <t>9306 Albemarle Rd</t>
  </si>
  <si>
    <t>1_jvFRQjcRVfd9LdOLvI8A</t>
  </si>
  <si>
    <t>Nightlife, Irish Pub, Fish &amp; Chips, Breakfast &amp; Brunch, Arts &amp; Entertainment, Bars, Irish, Restaurants, Music Venues, Pubs, Sandwiches</t>
  </si>
  <si>
    <t>RÃƒÂ­ RÃƒÂ¡</t>
  </si>
  <si>
    <t>208 N Tryon St</t>
  </si>
  <si>
    <t>N3Y7EipiFIvUqN9ufL5Ghg</t>
  </si>
  <si>
    <t>Restaurants, American (Traditional), Arts &amp; Entertainment, Nightlife, Music Venues, Lounges, Bars</t>
  </si>
  <si>
    <t>The Tavern</t>
  </si>
  <si>
    <t>300 E Morehead St</t>
  </si>
  <si>
    <t>acH1pdr45EQqkJ8UQS0oJw</t>
  </si>
  <si>
    <t>Sandwiches, Delis, Restaurants, American (New)</t>
  </si>
  <si>
    <t>Lennys Subs</t>
  </si>
  <si>
    <t>8517 Davis Lake Pkwy, Ste D-1</t>
  </si>
  <si>
    <t>5Da9dUZUaqR3NiTE07-9Kg</t>
  </si>
  <si>
    <t>Restaurants, Desserts, Pizza, Food</t>
  </si>
  <si>
    <t>Wolfman Pizza</t>
  </si>
  <si>
    <t>106 S Sharon Amity Rd</t>
  </si>
  <si>
    <t>XKEmksue_KTU6-L9VSwVvQ</t>
  </si>
  <si>
    <t>4131 Statesville Rd</t>
  </si>
  <si>
    <t>GrJ74hxJsXXwcqS7zcfFhw</t>
  </si>
  <si>
    <t>Seafood, Steakhouses, Restaurants</t>
  </si>
  <si>
    <t>Ruth's Chris Steak House</t>
  </si>
  <si>
    <t>6000 Fairview Rd</t>
  </si>
  <si>
    <t>JbvIL0cshfHbiwOEIZsnwg</t>
  </si>
  <si>
    <t>Coffee &amp; Tea, Burgers, Restaurants, Fast Food, Food</t>
  </si>
  <si>
    <t>6225 W Sugar Creek Rd</t>
  </si>
  <si>
    <t>_MNNGWXqkXCPiKQxCHsiuQ</t>
  </si>
  <si>
    <t>Barbeque, Restaurants, Delis</t>
  </si>
  <si>
    <t>Art's Barbecue &amp; Deli</t>
  </si>
  <si>
    <t>900 E Morehead St</t>
  </si>
  <si>
    <t>L5nUCYaZ1UGRp58tH6BQgA</t>
  </si>
  <si>
    <t>7008 E Wt Harris Blvd, Ste 22</t>
  </si>
  <si>
    <t>2fE1irzYRjuP99P0Kxxnrg</t>
  </si>
  <si>
    <t>Nix Burger &amp; Brew</t>
  </si>
  <si>
    <t>210 N Tryon St, Ste 1010</t>
  </si>
  <si>
    <t>Uyw1pJ03kt-I1B_tkA3aFg</t>
  </si>
  <si>
    <t>Restaurants, Himalayan/Nepalese, Indian, Vegan, Kebab, Vegetarian, Pakistani, Halal</t>
  </si>
  <si>
    <t>Royal Biryani</t>
  </si>
  <si>
    <t>06bsH_3Utd5GM8Iat3Ltow</t>
  </si>
  <si>
    <t>Domenico's Cucina Italiana</t>
  </si>
  <si>
    <t>8410 Rea Rd</t>
  </si>
  <si>
    <t>Las Margaritas</t>
  </si>
  <si>
    <t>4426 E Independence Blvd</t>
  </si>
  <si>
    <t>CR4fW7p_6bpTkul1SdpRsg</t>
  </si>
  <si>
    <t>Latin American, Mexican, Fast Food, Spanish, Restaurants, Tex-Mex</t>
  </si>
  <si>
    <t>4724 Sharon Rd, Ste H</t>
  </si>
  <si>
    <t>61Gcb01LdGskyOidVSAmWg</t>
  </si>
  <si>
    <t>LaVecchia's Seafood Grille</t>
  </si>
  <si>
    <t>wEhtqcfrhVbg4--3DNUSZw</t>
  </si>
  <si>
    <t>American (Traditional), Nightlife, Sports Bars, Beer, Wine &amp; Spirits, Chicken Wings, Restaurants, Fast Food, Bars, Food</t>
  </si>
  <si>
    <t>Buffalo Wild Wings</t>
  </si>
  <si>
    <t>9402 Northlake W Dr, Ste 103</t>
  </si>
  <si>
    <t>n5wZxYrle8ROuK-Saq-yyw</t>
  </si>
  <si>
    <t>Luisa's Brick Oven</t>
  </si>
  <si>
    <t>1730 Abbey Pl</t>
  </si>
  <si>
    <t>zX--4nk6LshQ3D79HPACxw</t>
  </si>
  <si>
    <t>Bars, American (New), Nightlife, Restaurants, Cocktail Bars, Lounges</t>
  </si>
  <si>
    <t>Merchant &amp; Trade</t>
  </si>
  <si>
    <t>303 S Church St</t>
  </si>
  <si>
    <t>4GEDMStjXvSg-s4wacGRrw</t>
  </si>
  <si>
    <t>Salad, Pizza, Gluten-Free, Restaurants</t>
  </si>
  <si>
    <t>Gusto Farm to Street</t>
  </si>
  <si>
    <t>K09jQZzbx8JBrhBohJwEvA</t>
  </si>
  <si>
    <t>Bigger Bite</t>
  </si>
  <si>
    <t>9311 JW Clay Blvd</t>
  </si>
  <si>
    <t>byX9dKMcLA1CDdf3UeHDFg</t>
  </si>
  <si>
    <t>American (New), American (Traditional), Restaurants, Breakfast &amp; Brunch, Southern</t>
  </si>
  <si>
    <t>The Asbury</t>
  </si>
  <si>
    <t>235 N Tryon St</t>
  </si>
  <si>
    <t>UbMtPSMcyWbrceQK9OjDQw</t>
  </si>
  <si>
    <t>Sushi Bars, Korean, Food, Asian Fusion, Restaurants</t>
  </si>
  <si>
    <t>Miyagi's NoDa</t>
  </si>
  <si>
    <t>9JCoZV4eKH1HtzavRJy03g</t>
  </si>
  <si>
    <t>Saigon Bistro</t>
  </si>
  <si>
    <t>t41Tcnx3Rn0QnIvit-IgvQ</t>
  </si>
  <si>
    <t>Burgers, Fast Food, Restaurants</t>
  </si>
  <si>
    <t>11640 Providence Rd</t>
  </si>
  <si>
    <t>9L3xyxvt6v6v1ZSjrDP8yw</t>
  </si>
  <si>
    <t>OneWay Smokehouse &amp; Grill</t>
  </si>
  <si>
    <t>901 C E 4th St</t>
  </si>
  <si>
    <t>6vIEUYQe93wzMamS4UD9gA</t>
  </si>
  <si>
    <t>Restaurants, Fast Food, Chinese</t>
  </si>
  <si>
    <t>sN4x4DszRsD4LkV3HEm44g</t>
  </si>
  <si>
    <t>Restaurants, Nightlife, Cocktail Bars, Italian, Gluten-Free, Bars</t>
  </si>
  <si>
    <t>BRAVO! Cucina Italiana</t>
  </si>
  <si>
    <t>6851 North Lake Mall Dr</t>
  </si>
  <si>
    <t>qVVjbYR0LIfJuIIzgPMTuw</t>
  </si>
  <si>
    <t>American (Traditional), Seafood, Bars, Wine Bars, Steakhouses, Nightlife, Restaurants</t>
  </si>
  <si>
    <t>6801 Northlake Mall Dr</t>
  </si>
  <si>
    <t>ryCpLx4jaTkkkaGXg5jvBQ</t>
  </si>
  <si>
    <t>Cherry House II</t>
  </si>
  <si>
    <t>7631 Sharon Lakes Rd</t>
  </si>
  <si>
    <t>JQWIZ8MT-VGZzO5W5XCB5Q</t>
  </si>
  <si>
    <t>88 China Bistro</t>
  </si>
  <si>
    <t>1620 E 4th St</t>
  </si>
  <si>
    <t>hwD7C7suAPXJviSv7XBoSg</t>
  </si>
  <si>
    <t>Japanese, Sushi Bars, Restaurants</t>
  </si>
  <si>
    <t>Nori Japan</t>
  </si>
  <si>
    <t>4400 Sharon Rd, Ste 7, Food Court</t>
  </si>
  <si>
    <t>pUtD4kl7YvuoD6U1jRla2w</t>
  </si>
  <si>
    <t>Soup, Mexican, Restaurants, Salad</t>
  </si>
  <si>
    <t>Comalapa Family Restaurant</t>
  </si>
  <si>
    <t>6117 South Blvd</t>
  </si>
  <si>
    <t>IUffC7UMj76uy-H7C9MnMw</t>
  </si>
  <si>
    <t>Indian, Vegan, Vegetarian, Restaurants</t>
  </si>
  <si>
    <t>Tandur Indian Kitchen</t>
  </si>
  <si>
    <t>721 Governor Morrison St, Unit F-150</t>
  </si>
  <si>
    <t>ap58HeA23IDv9KYk8evFXA</t>
  </si>
  <si>
    <t>Restaurants, American (New), Tex-Mex, Nightlife, Bars, American (Traditional)</t>
  </si>
  <si>
    <t>8164 S Tryon St</t>
  </si>
  <si>
    <t>zN03eQ1ru3JhVFC-aVYxkA</t>
  </si>
  <si>
    <t>Sandwiches, Restaurants, Breakfast &amp; Brunch, Diners</t>
  </si>
  <si>
    <t>Brigs of Ballantyne</t>
  </si>
  <si>
    <t>12239 N Community House Rd</t>
  </si>
  <si>
    <t>WvC9K0ZEOTbR7fh-LNe5_A</t>
  </si>
  <si>
    <t>Breakfast &amp; Brunch, American (Traditional), Caterers, Coffee &amp; Tea, Event Planning &amp; Services, Restaurants, Food</t>
  </si>
  <si>
    <t>2400 Park Rd</t>
  </si>
  <si>
    <t>x36lkmEp4rs8CZocUn_xTw</t>
  </si>
  <si>
    <t>7615 Nations Ford Rd</t>
  </si>
  <si>
    <t>GSIvngjQnhTWbvgVgjBkHQ</t>
  </si>
  <si>
    <t>Salad, Restaurants, Burgers, Chicken Wings, Sandwiches, American (Traditional)</t>
  </si>
  <si>
    <t>14130 Rivergate Pkwy</t>
  </si>
  <si>
    <t>xYrZuRgqQLxZaUFgGrGNBA</t>
  </si>
  <si>
    <t>Food Trucks, American (Traditional), Greek, Food, Restaurants</t>
  </si>
  <si>
    <t>Niko's Grill</t>
  </si>
  <si>
    <t>4948 Airport Center Pkwy</t>
  </si>
  <si>
    <t>o2ddliVoWpPzRvXMqoshUA</t>
  </si>
  <si>
    <t>American (Traditional), American (New), Nightlife, Restaurants, Bars</t>
  </si>
  <si>
    <t>The Chef</t>
  </si>
  <si>
    <t>PGr18rKxQ41vLkqL5WT8vw</t>
  </si>
  <si>
    <t>Salad, Greek, Restaurants, Mediterranean</t>
  </si>
  <si>
    <t>7107 Waverly Walk Ave, Ste 5</t>
  </si>
  <si>
    <t>ByyMZI6YHeBuYlAeQ7DaEw</t>
  </si>
  <si>
    <t>Restaurants, Ethiopian, Grocery, Food</t>
  </si>
  <si>
    <t>Nile Ethiopian Restaurant &amp; Grocery</t>
  </si>
  <si>
    <t>3113 N Sharon Amity Rd</t>
  </si>
  <si>
    <t>Ls-DK3JjBChL1gZEavL7oQ</t>
  </si>
  <si>
    <t>Irish, Nightlife, Gastropubs, Sports Bars, Irish Pub, Breakfast &amp; Brunch, Bars, American (New), Restaurants, Food, Desserts</t>
  </si>
  <si>
    <t>The Rogue Irish Pub and Kitchen</t>
  </si>
  <si>
    <t>6O-pm7Mh80ia_rs2unGvjQ</t>
  </si>
  <si>
    <t>624 Tyvola Rd</t>
  </si>
  <si>
    <t>1fBTo2l-TqRgpV_WDi5fkw</t>
  </si>
  <si>
    <t>Shopping, Restaurants, Shopping Centers</t>
  </si>
  <si>
    <t>Latta Arcade</t>
  </si>
  <si>
    <t>srpU4CLSxzZcNdAUBfiiRg</t>
  </si>
  <si>
    <t>South 21 Drive In</t>
  </si>
  <si>
    <t>3101 E Independence Blvd</t>
  </si>
  <si>
    <t>zd8dDaVh-BQHDieaIu-rVA</t>
  </si>
  <si>
    <t>Barbeque, Burgers, Restaurants</t>
  </si>
  <si>
    <t>Frankie Boys</t>
  </si>
  <si>
    <t>8624 Camfield St</t>
  </si>
  <si>
    <t>6CcXCWwwnp_NYQm5ya3wAw</t>
  </si>
  <si>
    <t>Desserts, Pizza, Food, Caterers, Restaurants, Sandwiches, Event Planning &amp; Services, Soup</t>
  </si>
  <si>
    <t>Newk's Eatery- Blakeney</t>
  </si>
  <si>
    <t>9815 Rea Rd</t>
  </si>
  <si>
    <t>_a8vCw5cxt1vhN-HbgNGuw</t>
  </si>
  <si>
    <t>Restaurants, Breakfast &amp; Brunch, Seafood, American (Traditional), Nightlife, Bars, Cocktail Bars</t>
  </si>
  <si>
    <t>ROCKSALT - Charlotte</t>
  </si>
  <si>
    <t>512 Brandywine Rd, Ste 500</t>
  </si>
  <si>
    <t>4Uq54XTH-rAPgN8k267maQ</t>
  </si>
  <si>
    <t>Mexican, Food, Meat Shops, Specialty Food, Restaurants, Grocery</t>
  </si>
  <si>
    <t>Supermercado El Rey</t>
  </si>
  <si>
    <t>6300 S Blvd, Ste 200B</t>
  </si>
  <si>
    <t>1_ECZYuJkLFoQzNgHdp_8Q</t>
  </si>
  <si>
    <t>Food, Restaurants, Asian Fusion, Sushi Bars, Poke, Hawaiian</t>
  </si>
  <si>
    <t>PokÃƒÂ© Bar</t>
  </si>
  <si>
    <t>9816 Rea Rd, Ste A</t>
  </si>
  <si>
    <t>ovAZCKULbgEE6BgGlAQp7g</t>
  </si>
  <si>
    <t>1531 East Blvd</t>
  </si>
  <si>
    <t>BaHMCHFuuVpVUV_wOInnOA</t>
  </si>
  <si>
    <t>Bamboo 7 Asian Cuisine</t>
  </si>
  <si>
    <t>yesClkCZlpLGTYZROkx4SA</t>
  </si>
  <si>
    <t>Asian Fusion, Seafood, Breakfast &amp; Brunch, Restaurants, Vegetarian</t>
  </si>
  <si>
    <t>Krazy Fish</t>
  </si>
  <si>
    <t>2501 Central Ave</t>
  </si>
  <si>
    <t>rR8V4T5Px9ICnYLEJF225A</t>
  </si>
  <si>
    <t>Fast Food, Restaurants, Salad, Sandwiches</t>
  </si>
  <si>
    <t>5825 Highland Shoppes Dr</t>
  </si>
  <si>
    <t>ChO3-jkbfBP3sDbep4Kl9g</t>
  </si>
  <si>
    <t>Food, Gluten-Free, Cupcakes, Restaurants, Bakeries, Desserts</t>
  </si>
  <si>
    <t>The Blushing Bakeshop</t>
  </si>
  <si>
    <t>10720 S Tryon St, Ste F</t>
  </si>
  <si>
    <t>QUixlABDRhQrmPy1807Ecw</t>
  </si>
  <si>
    <t>Tatsis Restaurant</t>
  </si>
  <si>
    <t>2328 N Graham St</t>
  </si>
  <si>
    <t>American (Traditional), Sports Bars, Chicken Wings, Bars, Nightlife, Restaurants, American (New)</t>
  </si>
  <si>
    <t>Hooters</t>
  </si>
  <si>
    <t>123 W Trade St</t>
  </si>
  <si>
    <t>ui8KERxCwlx8B5vWvpXxqg</t>
  </si>
  <si>
    <t>Sports Bars, Pizza, Bars, Italian, Restaurants, Nightlife</t>
  </si>
  <si>
    <t>4100 Carmel Rd, Ste A</t>
  </si>
  <si>
    <t>RCSuvvhuPO-hozONvzC_4A</t>
  </si>
  <si>
    <t>Don Pedro Mexican Restaurant</t>
  </si>
  <si>
    <t>5317 E Independence Blvd</t>
  </si>
  <si>
    <t>u2NsBZp8Se_65rs6ydI0NQ</t>
  </si>
  <si>
    <t>Pubs, Restaurants, Nightlife, Bars, Food, Beer, Wine &amp; Spirits, Pizza</t>
  </si>
  <si>
    <t>The Rusty Onion</t>
  </si>
  <si>
    <t>6654 Carmel Rd</t>
  </si>
  <si>
    <t>sVGvJitbv14CrHbCSkNTTg</t>
  </si>
  <si>
    <t>Restaurants, Food, Fast Food, Beer, Wine &amp; Spirits, Pizza, Salad</t>
  </si>
  <si>
    <t>Your Pie</t>
  </si>
  <si>
    <t>2400 S Blvd, Ste 100</t>
  </si>
  <si>
    <t>gruMxeJ3jUjJRN6-HDmhRg</t>
  </si>
  <si>
    <t>Morrison Farms Cafeteria</t>
  </si>
  <si>
    <t>the19uDwR-41n8x861F7Hg</t>
  </si>
  <si>
    <t>Noodles, Chinese, Japanese, Tapas Bars, Vietnamese, Asian Fusion, Restaurants, Thai</t>
  </si>
  <si>
    <t>Zen Asian Fusion</t>
  </si>
  <si>
    <t>1716 Kenilworth Ave</t>
  </si>
  <si>
    <t>CXsnrd0x-cobsI2KpeW4HA</t>
  </si>
  <si>
    <t>Salad, Restaurants, Vegetarian</t>
  </si>
  <si>
    <t>9844 Rea Rd</t>
  </si>
  <si>
    <t>0DaSqjKtm8JJEv2nmL4cgw</t>
  </si>
  <si>
    <t>Specialty Food, Ethnic Food, Sushi Bars, Restaurants, Japanese, Bars, Seafood, Nightlife, Food, Imported Food</t>
  </si>
  <si>
    <t>Hissho Sushi At First In Flight Bar</t>
  </si>
  <si>
    <t>Atrium</t>
  </si>
  <si>
    <t>tiHikiOlWAm6RqGnRBc9SA</t>
  </si>
  <si>
    <t>8552 University City Blvd</t>
  </si>
  <si>
    <t>LP_ILeGy0GPVZeuNI-V06g</t>
  </si>
  <si>
    <t>Restaurants, Breweries, Food Trucks, Food, Pizza</t>
  </si>
  <si>
    <t>Passport Dough &amp; Co</t>
  </si>
  <si>
    <t>1327 S Mint St</t>
  </si>
  <si>
    <t>X-CeVwKcIwR013h5NkbD2g</t>
  </si>
  <si>
    <t>Mexican, Salad, American (New), Caterers, Restaurants, Breakfast &amp; Brunch, Fast Food, Food, Event Planning &amp; Services</t>
  </si>
  <si>
    <t>QDOBA Mexican Eats</t>
  </si>
  <si>
    <t>127 N Tryon St, Ste 2</t>
  </si>
  <si>
    <t>gUrYm7z0g5a5_jdSXzi-HA</t>
  </si>
  <si>
    <t>Restaurants, Mediterranean, Salad</t>
  </si>
  <si>
    <t>8936 Jm Keynes Blvd</t>
  </si>
  <si>
    <t>9FuAdp2UiFyaWPlAmT7C1A</t>
  </si>
  <si>
    <t>Poke, Sushi Bars, Japanese, Food, Restaurants, Fast Food, Asian Fusion, Hawaiian</t>
  </si>
  <si>
    <t>PokÃƒÂ© Cafe</t>
  </si>
  <si>
    <t>11318 N Community House Rd, Ste 203</t>
  </si>
  <si>
    <t>ZtQ4u53NHWTg-hQZhED88Q</t>
  </si>
  <si>
    <t>Restaurants, Modern European, Russian</t>
  </si>
  <si>
    <t>Babushka's Pierogi</t>
  </si>
  <si>
    <t>8700 Pineville-Matthews Rd, Ste 570</t>
  </si>
  <si>
    <t>so5zDDBvYTMjqpd0Tb8yqw</t>
  </si>
  <si>
    <t>Restaurants, Thai, Chinese</t>
  </si>
  <si>
    <t>Amazing Wok</t>
  </si>
  <si>
    <t>16049 Johnston Rd</t>
  </si>
  <si>
    <t>lPZ6RQ_jj9xlhvLEB3c4Wg</t>
  </si>
  <si>
    <t>Pizza, Nightlife, Bars, Restaurants</t>
  </si>
  <si>
    <t>Hawthornes New York Pizza &amp; Bar</t>
  </si>
  <si>
    <t>XCZQdoMRFnjmmB6xPvx1qw</t>
  </si>
  <si>
    <t>Senor Tequila Cantina Grill</t>
  </si>
  <si>
    <t>R7Qf7l2_sFohGi51a5F79A</t>
  </si>
  <si>
    <t>Restaurants, Sandwiches, Delis</t>
  </si>
  <si>
    <t>7004 E Wt Harris Blvd</t>
  </si>
  <si>
    <t>tIiiq23utFKTs1At2bVD6w</t>
  </si>
  <si>
    <t>Oggi</t>
  </si>
  <si>
    <t>16646 Hawfield Way Dr</t>
  </si>
  <si>
    <t>0Bwuk3390Kvhbup08nNbcQ</t>
  </si>
  <si>
    <t>Restaurants, Fast Food, Food, Burgers</t>
  </si>
  <si>
    <t>BW5OcvP9w8fqur_J8yDvow</t>
  </si>
  <si>
    <t>Mexican, Restaurants, Tex-Mex, Fast Food</t>
  </si>
  <si>
    <t>1500 East Blvd</t>
  </si>
  <si>
    <t>1Geg7R5ACFL0oassVziNiQ</t>
  </si>
  <si>
    <t>Food, Restaurants, Breakfast &amp; Brunch, Bakeries, Creperies, Cafes</t>
  </si>
  <si>
    <t>Crispy Crepe</t>
  </si>
  <si>
    <t>1436 South Blvd</t>
  </si>
  <si>
    <t>pxXeQc8zDVFL49o1KjLPZQ</t>
  </si>
  <si>
    <t>Sandwiches, Restaurants, Salad, Soup</t>
  </si>
  <si>
    <t>gNmJnjwgj0h21-mlarhXBg</t>
  </si>
  <si>
    <t>Food, Food Trucks, Street Vendors, Food Stands, American (New), Restaurants</t>
  </si>
  <si>
    <t>The Herban Legend</t>
  </si>
  <si>
    <t>V_jIfMz9Z7a5mthleRq0_w</t>
  </si>
  <si>
    <t>Nirvana II</t>
  </si>
  <si>
    <t>Q94ivaOTq5dJLq2GsRjg1Q</t>
  </si>
  <si>
    <t>Delis, Restaurants, Caterers, Sandwiches, Breakfast &amp; Brunch, Event Planning &amp; Services, Burgers</t>
  </si>
  <si>
    <t>Adams 7th Street Market</t>
  </si>
  <si>
    <t>401 Hawthorne Ln, Ste 100</t>
  </si>
  <si>
    <t>TjFaXuTx0PDrp-F4XPwA3g</t>
  </si>
  <si>
    <t>3232 Freedom Dr</t>
  </si>
  <si>
    <t>UNH0LrYQSo9K46_ojMqv0Q</t>
  </si>
  <si>
    <t>Chicken Wings, Pizza, Restaurants</t>
  </si>
  <si>
    <t>Fuel Pizza Cafe</t>
  </si>
  <si>
    <t>UiRHhHhDaXzkkoJCf8LcTg</t>
  </si>
  <si>
    <t>Greek, Restaurants</t>
  </si>
  <si>
    <t>Showmars - Independence Center</t>
  </si>
  <si>
    <t>Tacos La Hidalguense</t>
  </si>
  <si>
    <t>2635 Little Rock Rd</t>
  </si>
  <si>
    <t>6c9e9qH_AdBYQnm7dyiDAQ</t>
  </si>
  <si>
    <t>Vegetarian, Thai, Restaurants</t>
  </si>
  <si>
    <t>Monsoon</t>
  </si>
  <si>
    <t>2801 South Blvd</t>
  </si>
  <si>
    <t>er56AAp9r8mEJBAhaG02Xg</t>
  </si>
  <si>
    <t>Caribbean, Nightlife, Lounges, Bars, Cajun/Creole, Restaurants, American (New)</t>
  </si>
  <si>
    <t>Island Hub Restaurant &amp; Lounge</t>
  </si>
  <si>
    <t>3723 Monroe Rd</t>
  </si>
  <si>
    <t>C03ntpeOXOpuNz7ET9sxjw</t>
  </si>
  <si>
    <t>Bars, Restaurants, Breakfast &amp; Brunch, American (Traditional), Burgers, Nightlife, Southern</t>
  </si>
  <si>
    <t>8140 S Tryon St</t>
  </si>
  <si>
    <t>BekII0EuOp_zYNMS-Upu7w</t>
  </si>
  <si>
    <t>Mediterranean, Gluten-Free, Greek, Sandwiches, Southern, Vegan, Kebab, Restaurants</t>
  </si>
  <si>
    <t>6100 Fairview Rd, Suite 100</t>
  </si>
  <si>
    <t>DBxS04vNEd42NquQcAIMXA</t>
  </si>
  <si>
    <t>Restaurants, Indian, Bars, Himalayan/Nepalese, Diners, Nightlife</t>
  </si>
  <si>
    <t>King of Spicy</t>
  </si>
  <si>
    <t>8829 E W.T Harris Blvd</t>
  </si>
  <si>
    <t>R2gNwPARX31w68wjhuJ0zw</t>
  </si>
  <si>
    <t>Salad, Bars, Sports Bars, American (Traditional), Food, Chicken Wings, Nightlife, Restaurants</t>
  </si>
  <si>
    <t>1100 Metropolitan Ave, Ste 170</t>
  </si>
  <si>
    <t>6J89kFOcOOX1tuphLc93DA</t>
  </si>
  <si>
    <t>Three Amigos Mexican Grill &amp; Cantina</t>
  </si>
  <si>
    <t>0ol96MXnGGSON0DhOWaz9g</t>
  </si>
  <si>
    <t>201 Archdale Dr</t>
  </si>
  <si>
    <t>YtL8KEZFrfIsH8tVD1SwCg</t>
  </si>
  <si>
    <t>Bars, Seafood, Restaurants, Italian, Nightlife, Steakhouses, Cocktail Bars, Wine Bars</t>
  </si>
  <si>
    <t>Primo Prime</t>
  </si>
  <si>
    <t>116 Middleton Dr</t>
  </si>
  <si>
    <t>hFZX4EKI77iLYRjMb4kN7g</t>
  </si>
  <si>
    <t>Kien Giang Food 2 Go</t>
  </si>
  <si>
    <t>_V4CzzA7Z9h4qyLIdG-KUg</t>
  </si>
  <si>
    <t>5214 Sunset Rd</t>
  </si>
  <si>
    <t>ZICX0zom1rky89kdOQ-U_g</t>
  </si>
  <si>
    <t>American (Traditional), Restaurants, Salad, Breakfast &amp; Brunch</t>
  </si>
  <si>
    <t>6518 Fairview Rd</t>
  </si>
  <si>
    <t>TH_hGGgVIEBtexcpffZXgQ</t>
  </si>
  <si>
    <t>Food, Sushi Bars, Grocery, Shopping, Flowers &amp; Gifts, Drugstores, Restaurants, Beer, Wine &amp; Spirits</t>
  </si>
  <si>
    <t>Harris Teeter</t>
  </si>
  <si>
    <t>325 W 6th St</t>
  </si>
  <si>
    <t>0jMWCioUATOJgMpsPTyC7g</t>
  </si>
  <si>
    <t>American (Traditional), Restaurants, Nightlife, Cocktail Bars, American (New), Adult Entertainment, Bars</t>
  </si>
  <si>
    <t>The Men's Club of Charlotte</t>
  </si>
  <si>
    <t>444 Tyvola Rd</t>
  </si>
  <si>
    <t>hj_Cn3d8q_6nslXqs-5c2g</t>
  </si>
  <si>
    <t>Cocktail Bars, Pizza, American (New), Sushi Bars, Music Venues, Barbeque, Food, Bars, Nightlife, Restaurants, Sports Bars, Arts &amp; Entertainment, Sandwiches, Karaoke, Breweries, Pubs</t>
  </si>
  <si>
    <t>Helles &amp; Dunkel</t>
  </si>
  <si>
    <t>222 E Bland St</t>
  </si>
  <si>
    <t>0WOyGLDrh8wwiHCLVTw0zg</t>
  </si>
  <si>
    <t>Sandwiches, Burgers, Fast Food, Coffee &amp; Tea, Food, Restaurants</t>
  </si>
  <si>
    <t>6428 Fairview Rd</t>
  </si>
  <si>
    <t>rzCAfQtV6JLcEWBiRzx3wA</t>
  </si>
  <si>
    <t>Chicken Wings, Greek, Salad, Restaurants</t>
  </si>
  <si>
    <t>Mr Gus</t>
  </si>
  <si>
    <t>2910 Mount Holly-Huntersville Rd</t>
  </si>
  <si>
    <t>WiEXcZkO0dYfEjesN9SRsQ</t>
  </si>
  <si>
    <t>Restaurants, Seafood, Steakhouses</t>
  </si>
  <si>
    <t>Riverbleu Steak &amp; Fish</t>
  </si>
  <si>
    <t>14142 Rivergate Pkwy</t>
  </si>
  <si>
    <t>kSBsGa6sUd9sBf1WPFHn-A</t>
  </si>
  <si>
    <t>African, Restaurants</t>
  </si>
  <si>
    <t>The Cooking Pot</t>
  </si>
  <si>
    <t>5622 E Independence Blvd, Ste 129</t>
  </si>
  <si>
    <t>HEf18-z7MyGPlb_ezY9_4w</t>
  </si>
  <si>
    <t>Caribbean, Food Trucks, Puerto Rican, Food, Restaurants</t>
  </si>
  <si>
    <t>My Boricua Kitchen</t>
  </si>
  <si>
    <t>9545 Pinnacle Dr</t>
  </si>
  <si>
    <t>zN6WBP_qr3NZp0CbBb128g</t>
  </si>
  <si>
    <t>Asian Fusion, Hawaiian, Sushi Bars, Food, Restaurants, Poke</t>
  </si>
  <si>
    <t>Poke Bar</t>
  </si>
  <si>
    <t>601 South Kings Dr, Ste K</t>
  </si>
  <si>
    <t>iZyfmGeCF0KRdwq4YH5KrA</t>
  </si>
  <si>
    <t>Latin American, Mexican, Restaurants</t>
  </si>
  <si>
    <t>La Cabana Mexican Grill &amp; Bar</t>
  </si>
  <si>
    <t>91VUQhU9fyV-usA7aeN6mA</t>
  </si>
  <si>
    <t>Salad, Food, Juice Bars &amp; Smoothies, Restaurants, Sandwiches</t>
  </si>
  <si>
    <t>101 S Tryon St, Ste 1, Bank Of America Plaza Building</t>
  </si>
  <si>
    <t>xxJMwfmcRFdQXbJJetntlw</t>
  </si>
  <si>
    <t>816 E Arrowood Rd, Ste A</t>
  </si>
  <si>
    <t>BCBLDV5sxvOebPRswPFFgA</t>
  </si>
  <si>
    <t>Restaurants, Hot Dogs, Fast Food, Burgers</t>
  </si>
  <si>
    <t>3300 Freedom Dr</t>
  </si>
  <si>
    <t>GphWJgfK5nrLuBdOljrqKw</t>
  </si>
  <si>
    <t>Soup, Noodles, Sushi Bars, Asian Fusion, Restaurants</t>
  </si>
  <si>
    <t>Fujo</t>
  </si>
  <si>
    <t>301 S College St, Ste 100</t>
  </si>
  <si>
    <t>GmSomk7UiPR64MFUs0rp2Q</t>
  </si>
  <si>
    <t>210 E Trade St, Ste B-120</t>
  </si>
  <si>
    <t>zki75FDORLkeFQvf2vmF8w</t>
  </si>
  <si>
    <t>Caterers, Fast Food, Event Planning &amp; Services, Restaurants</t>
  </si>
  <si>
    <t>cHJm3UKQS8Fs858ZCn8wyg</t>
  </si>
  <si>
    <t>Tacos, Event Planning &amp; Services, Mexican, Restaurants, Caterers</t>
  </si>
  <si>
    <t>Tacos El PotosinO</t>
  </si>
  <si>
    <t>4328 Central Ave</t>
  </si>
  <si>
    <t>KPRLniINbopLURCd6nl4cQ</t>
  </si>
  <si>
    <t>bw0ZpeUwuLSgaCsQlksQsg</t>
  </si>
  <si>
    <t>Food, Restaurants, Fast Food, Burgers</t>
  </si>
  <si>
    <t>7712 Rea Rd</t>
  </si>
  <si>
    <t>QnCWy07Vlp3F0rTruTTlfg</t>
  </si>
  <si>
    <t>Local Flavor, Grocery, Cheese Shops, Restaurants, Southern, Food, Butcher, Specialty Food, Sandwiches</t>
  </si>
  <si>
    <t>Reid's Fine Food</t>
  </si>
  <si>
    <t>9762 Charlotte Hwy</t>
  </si>
  <si>
    <t>1CVebd7I8pNxskAf6Uvt3g</t>
  </si>
  <si>
    <t>Clove Indian Cuisine</t>
  </si>
  <si>
    <t>230 East Wt Harris Blvd, Ste C-6</t>
  </si>
  <si>
    <t>6_I3WEiwzx4ZyPZ3vlEUsg</t>
  </si>
  <si>
    <t>Gelato, Food, Restaurants, Italian, Pizza</t>
  </si>
  <si>
    <t>2230 Park Rd, Ste 101</t>
  </si>
  <si>
    <t>ki32AcAoV8-iSb5zHsYpPQ</t>
  </si>
  <si>
    <t>Bars, Nightlife, Wedding Planning, Event Planning &amp; Services, Fondue, Restaurants, Italian</t>
  </si>
  <si>
    <t>Primo Tuscan Grille</t>
  </si>
  <si>
    <t>yC1Pb48k43_EjoF7t1TWcw</t>
  </si>
  <si>
    <t>Cafe Really</t>
  </si>
  <si>
    <t>8430 Rea Rd</t>
  </si>
  <si>
    <t>hO2C3mGpK2lqZ2c2JltQSA</t>
  </si>
  <si>
    <t>7340 Smith Corners Blvd, Ste 800</t>
  </si>
  <si>
    <t>0mzi5dmNvdeufSzXRzrvQw</t>
  </si>
  <si>
    <t>Food, Specialty Food, Cafes, Event Planning &amp; Services, Sandwiches, Delis, Meat Shops, Caterers, Restaurants</t>
  </si>
  <si>
    <t>5700 University Pointe Blvd, Suite 115</t>
  </si>
  <si>
    <t>kmF3VYuF52KUIo6jqnGoaQ</t>
  </si>
  <si>
    <t>Fast Food, Restaurants, Sandwiches, American (New)</t>
  </si>
  <si>
    <t>Arby's</t>
  </si>
  <si>
    <t>7008 W Wt Harris Blvd</t>
  </si>
  <si>
    <t>LpxBWoPK3aP3Sjhbm7-lhw</t>
  </si>
  <si>
    <t>Restaurants, American (New), Wraps, Breakfast &amp; Brunch, Fast Food, Juice Bars &amp; Smoothies, Salad, Food</t>
  </si>
  <si>
    <t>Freshii</t>
  </si>
  <si>
    <t>200 S College, Ste 312</t>
  </si>
  <si>
    <t>9JNqGnvTjP_tb9KnswHpGg</t>
  </si>
  <si>
    <t>Sushi Bars, Vegan, Food, Restaurants</t>
  </si>
  <si>
    <t>How Do You Roll</t>
  </si>
  <si>
    <t>200 S College St, Ste 312</t>
  </si>
  <si>
    <t>F-CAWS51aEumbBqObwogqQ</t>
  </si>
  <si>
    <t>Burgers, Seafood, American (New), Restaurants</t>
  </si>
  <si>
    <t>Tavern on Park</t>
  </si>
  <si>
    <t>1600 Woodlawn Rd, Suite 250</t>
  </si>
  <si>
    <t>tkQyffM9YCGBTnyl7Rxo5A</t>
  </si>
  <si>
    <t>The Italian Pie</t>
  </si>
  <si>
    <t>Yecau5RHd7hjMlsZFBccFQ</t>
  </si>
  <si>
    <t>Restaurants, American (New), Chinese</t>
  </si>
  <si>
    <t>Cottage Express</t>
  </si>
  <si>
    <t>1704 Harris Houston Rd, Ste 4</t>
  </si>
  <si>
    <t>kM4nKAk3-_o4FonerKSgQA</t>
  </si>
  <si>
    <t>8136 S Tryon St</t>
  </si>
  <si>
    <t>G1u5Smf_IWMb4oOjqUD2Tw</t>
  </si>
  <si>
    <t>Restaurants, Gluten-Free</t>
  </si>
  <si>
    <t>Green Flute Cafe</t>
  </si>
  <si>
    <t>5821 Fairview Rd, Ste G-11</t>
  </si>
  <si>
    <t>9Q0qx2NbjpHYAQm_dBnL9A</t>
  </si>
  <si>
    <t>Nightlife, Beer Gardens, Restaurants, Cafes, Beer, Wine &amp; Spirits, Breakfast &amp; Brunch, Bars, Creperies, Food, Wine Bars, Coffee &amp; Tea</t>
  </si>
  <si>
    <t>U8c5AcNhWq1koQwNyzMqkw</t>
  </si>
  <si>
    <t>American (Traditional), Caterers, Event Planning &amp; Services, Breakfast &amp; Brunch, Restaurants</t>
  </si>
  <si>
    <t>Famous Toastery Ballantyne</t>
  </si>
  <si>
    <t>COqLTo3bb1fuMIg2_fA6Fw</t>
  </si>
  <si>
    <t>Food, Restaurants, Greek, Halal, Mediterranean, Grocery, Middle Eastern, Bakeries, Falafel, Delis, Arabian</t>
  </si>
  <si>
    <t>Bread and Kabob</t>
  </si>
  <si>
    <t>10221 University City Blvd</t>
  </si>
  <si>
    <t>3Ib2IEkcd0INN0gcZj7wKg</t>
  </si>
  <si>
    <t>Sandwiches, Delis, Restaurants</t>
  </si>
  <si>
    <t>US Subs</t>
  </si>
  <si>
    <t>9630 University City Blvd, Ste A</t>
  </si>
  <si>
    <t>dXI95VscrvdWu5qu6CjnWQ</t>
  </si>
  <si>
    <t>4640 S Blvd</t>
  </si>
  <si>
    <t>bZDgFShO-6OaF_Mx2qEyQg</t>
  </si>
  <si>
    <t>Latin American, Brazilian, Restaurants</t>
  </si>
  <si>
    <t>Los Paisas</t>
  </si>
  <si>
    <t>5033 South Blvd, Ste 702</t>
  </si>
  <si>
    <t>iXH73faCXa6UdLAKMe-vGQ</t>
  </si>
  <si>
    <t>Sports Bars, Burgers, Chicken Wings, Nightlife, Restaurants, Seafood, Bars, American (Traditional)</t>
  </si>
  <si>
    <t>2005 E Arbors Dr</t>
  </si>
  <si>
    <t>RUVHVrrvbh2bhoHZCBoAzQ</t>
  </si>
  <si>
    <t>Restaurants, Chicken Wings, Chicken Shop, Fast Food</t>
  </si>
  <si>
    <t>1604 Galleria Blvd</t>
  </si>
  <si>
    <t>iJOfcAXWh_7DkcwCMmrm4A</t>
  </si>
  <si>
    <t>Restaurants, Beer, Wine &amp; Spirits, Food, Greek</t>
  </si>
  <si>
    <t>IOS Greek Kitchen</t>
  </si>
  <si>
    <t>iukFCvaofikgrnF6epSZEw</t>
  </si>
  <si>
    <t>Restaurants, Noodles</t>
  </si>
  <si>
    <t>Nothing but Noodles</t>
  </si>
  <si>
    <t>12740 S Tryon St, Ste 100</t>
  </si>
  <si>
    <t>y7X11YLiR4Wrrhr9XBujiQ</t>
  </si>
  <si>
    <t>Delis, Fast Food, Sandwiches, Restaurants</t>
  </si>
  <si>
    <t>5501 Josh Birmingham Pkwy, Ste 13</t>
  </si>
  <si>
    <t>LxgronMsFYjxIfRojmVdYw</t>
  </si>
  <si>
    <t>Lotus II Chinese Cuisine</t>
  </si>
  <si>
    <t>4100 Carmel Rd</t>
  </si>
  <si>
    <t>8NOZyTD-InVTbmCH1LdkkQ</t>
  </si>
  <si>
    <t>Food, Restaurants, Ice Cream &amp; Frozen Yogurt</t>
  </si>
  <si>
    <t>JR's Dairy Bar</t>
  </si>
  <si>
    <t>2737 W Sugar Creek Rd</t>
  </si>
  <si>
    <t>iFZpyiDUgwldTWuW-5YW6A</t>
  </si>
  <si>
    <t>Italian, Bars, Nightlife, Lounges, Restaurants</t>
  </si>
  <si>
    <t>Osso Restaurant &amp; Lounge</t>
  </si>
  <si>
    <t>1000 NC Music Factory Blvd, Ste C 10</t>
  </si>
  <si>
    <t>D_0iJz6ZlnOdb8c4yRfYEA</t>
  </si>
  <si>
    <t>Desserts, Pizza, Restaurants, Food, Chicken Wings, American (Traditional)</t>
  </si>
  <si>
    <t>Cicis</t>
  </si>
  <si>
    <t>10707 Park Rd, Ste R</t>
  </si>
  <si>
    <t>jeVA5jD1hvloJLA1xPbocA</t>
  </si>
  <si>
    <t>Food, Salad, Restaurants, American (Traditional), Comfort Food, Coffee &amp; Tea, Breakfast &amp; Brunch, Hotels &amp; Travel, Bed &amp; Breakfast</t>
  </si>
  <si>
    <t>Bob Evans</t>
  </si>
  <si>
    <t>9253 Statesville Rd</t>
  </si>
  <si>
    <t>9h2W6JBWILS_RwlpIBSEig</t>
  </si>
  <si>
    <t>Due Amici Pizza</t>
  </si>
  <si>
    <t>5346 Prosperity Church Rd</t>
  </si>
  <si>
    <t>yXiDD18UV49-7UhA6dWjAw</t>
  </si>
  <si>
    <t>Sandwiches, Pizza, Italian, Restaurants, Event Planning &amp; Services, Caterers</t>
  </si>
  <si>
    <t>Giacomo's Pizzeria and Italian Restaurant</t>
  </si>
  <si>
    <t>10230 Berkeley Place Dr</t>
  </si>
  <si>
    <t>1H-iDMc4d3IeYvOflXTOXw</t>
  </si>
  <si>
    <t>Bars, Sports Bars, American (New), Dive Bars, Nightlife, Restaurants</t>
  </si>
  <si>
    <t>Gin Mill South End</t>
  </si>
  <si>
    <t>1423 S Tryon St</t>
  </si>
  <si>
    <t>ZNA27YNqJPVtN_H76HMFYQ</t>
  </si>
  <si>
    <t>Cafes, Themed Cafes, Pets, Food, Restaurants, Coffee &amp; Tea</t>
  </si>
  <si>
    <t>Mac Tabby</t>
  </si>
  <si>
    <t>1132 N Caldwell St</t>
  </si>
  <si>
    <t>fvzGMwmqWkMMsurbCOsM5w</t>
  </si>
  <si>
    <t>Restaurants, Hawaiian</t>
  </si>
  <si>
    <t>Ohana Poke</t>
  </si>
  <si>
    <t>320 South Tryon St, Ste 114</t>
  </si>
  <si>
    <t>OgANEur7Bt8YJSd2uSm6yA</t>
  </si>
  <si>
    <t>Italian, Restaurants, Pizza, Chicken Wings</t>
  </si>
  <si>
    <t>7705 E South Tryon</t>
  </si>
  <si>
    <t>iPziapwjmIMF7n8UDNC-dg</t>
  </si>
  <si>
    <t>Barbeque, Restaurants, Bars, Nightlife, Food, Smokehouse</t>
  </si>
  <si>
    <t>Midwood Smokehouse</t>
  </si>
  <si>
    <t>540 Brandywine Rd</t>
  </si>
  <si>
    <t>08-b4GbZxOzzo9XSJsR-tw</t>
  </si>
  <si>
    <t>Restaurants, American (Traditional), Breakfast &amp; Brunch, Cafes</t>
  </si>
  <si>
    <t>Another Broken Egg Cafe</t>
  </si>
  <si>
    <t>11324 N Community House Rd</t>
  </si>
  <si>
    <t>a29LXaQHLGM61-RVjmoAhg</t>
  </si>
  <si>
    <t>Sports Bars, American (Traditional), Bars, Restaurants, Nightlife, Delis</t>
  </si>
  <si>
    <t>Leo's 49 Deli &amp; Bar</t>
  </si>
  <si>
    <t>7801 University City Blvd</t>
  </si>
  <si>
    <t>0ftUzsx9vyN3QtXdLNlAJw</t>
  </si>
  <si>
    <t>Groucho's Deli</t>
  </si>
  <si>
    <t>5110 Park Rd 1G, Ste 1G</t>
  </si>
  <si>
    <t>Y1YfmqsJWhuJBFGKzHpqjg</t>
  </si>
  <si>
    <t>Restaurants, Breakfast &amp; Brunch, American (Traditional), Bars, American (New), Nightlife</t>
  </si>
  <si>
    <t>Caswell Station</t>
  </si>
  <si>
    <t>366 N Caswell Rd</t>
  </si>
  <si>
    <t>AvI4b-F7Mro1mXxTzMC_BA</t>
  </si>
  <si>
    <t>Nightlife, Beer, Wine &amp; Spirits, Restaurants, Pubs, American (New), Local Flavor, Bars, Food</t>
  </si>
  <si>
    <t>Tank's Tap</t>
  </si>
  <si>
    <t>7TH St Public Market</t>
  </si>
  <si>
    <t>kSIvxL9F9zggPIqPGU-WEA</t>
  </si>
  <si>
    <t>Japanese, American (Traditional), Sushi Bars, American (New), Restaurants</t>
  </si>
  <si>
    <t>Hasaki Grill</t>
  </si>
  <si>
    <t>440 S Church St, Ste 104</t>
  </si>
  <si>
    <t>9VPtT5eeoM1b6Es0SFqWcQ</t>
  </si>
  <si>
    <t>Salad, Soup, Sandwiches, Fast Food, Restaurants</t>
  </si>
  <si>
    <t>Potbellly Sandwich Shop</t>
  </si>
  <si>
    <t>4620 Piedmont Row Dr, Ste 140</t>
  </si>
  <si>
    <t>ahGptHMIRIBXR9wzqZqZwA</t>
  </si>
  <si>
    <t>Stock Car Cafe</t>
  </si>
  <si>
    <t>IIUK1lz_1upqYtHu8ZuClA</t>
  </si>
  <si>
    <t>Little Village Grill</t>
  </si>
  <si>
    <t>710 W Trade St, Ste G</t>
  </si>
  <si>
    <t>G8WVrozcBBKZozhU7Gf6zA</t>
  </si>
  <si>
    <t>Outback Steakhouse</t>
  </si>
  <si>
    <t>1412 East Blvd, Ste A</t>
  </si>
  <si>
    <t>yt0PCCJN9hUsZhB210rsOg</t>
  </si>
  <si>
    <t>Sandwiches, Bars, Delis, Restaurants, American (Traditional), Food, Beer, Wine &amp; Spirits, Grocery, Coffee &amp; Tea, Nightlife</t>
  </si>
  <si>
    <t>The Common Market Oakwold</t>
  </si>
  <si>
    <t>4420 Monroe Rd</t>
  </si>
  <si>
    <t>BjXdU0G14ooIoou755S_hQ</t>
  </si>
  <si>
    <t>Halal, Caribbean, Dominican, Restaurants, Seafood, Chicken Shop</t>
  </si>
  <si>
    <t>Mi Barrio Halal Latin Grill</t>
  </si>
  <si>
    <t>7308 E Indepence Blvd, Ste E</t>
  </si>
  <si>
    <t>bMTqFQqYoeANon4iVlatpQ</t>
  </si>
  <si>
    <t>Jimmie's Restaurant</t>
  </si>
  <si>
    <t>7024 Brighton Park Dr</t>
  </si>
  <si>
    <t>DXuawA-g_qtK4S9OAlVgaQ</t>
  </si>
  <si>
    <t>410 Westinghouse Blvd, Ste A</t>
  </si>
  <si>
    <t>sLnT1HcoXAgSGRHlsicpcQ</t>
  </si>
  <si>
    <t>Mediterranean, American (New), Restaurants, Sandwiches, Kebab, Greek, Southern</t>
  </si>
  <si>
    <t>9848 Rea Road, Ste G</t>
  </si>
  <si>
    <t>yVhEA59Q4vcfQ6z7mIqysg</t>
  </si>
  <si>
    <t>Seafood, Cajun/Creole, Restaurants</t>
  </si>
  <si>
    <t>Crackin' Crawfish</t>
  </si>
  <si>
    <t>440 E Mccullough Dr, Ste A-120</t>
  </si>
  <si>
    <t>1NmGVWYlF4iMngM6arKJTQ</t>
  </si>
  <si>
    <t>Pho Huong Que</t>
  </si>
  <si>
    <t>7211 E Independence Blvd</t>
  </si>
  <si>
    <t>09rrBZxweCdx25dVoqEasg</t>
  </si>
  <si>
    <t>Carmella's Pizza</t>
  </si>
  <si>
    <t>WuiX9mOytF_8TXrR4ERQJw</t>
  </si>
  <si>
    <t>Shun Jing</t>
  </si>
  <si>
    <t>9010 Monroe Rd</t>
  </si>
  <si>
    <t>BeDZUyWuT6IKRX5TpV5egQ</t>
  </si>
  <si>
    <t>Sushi Bars, Restaurants, Vegetarian</t>
  </si>
  <si>
    <t>Y2 Cafe</t>
  </si>
  <si>
    <t>280 S Sharon Amity Rd</t>
  </si>
  <si>
    <t>M4Bi2eyelIP9YQuwD7a3JA</t>
  </si>
  <si>
    <t>Pasta Shops, Tuscan, Restaurants, Italian, Specialty Food, Food, Grocery</t>
  </si>
  <si>
    <t>Zia Pia imports + Italian kitchen</t>
  </si>
  <si>
    <t>BXPEMIFl4iixdvIJW8Fkmg</t>
  </si>
  <si>
    <t>Burgers, Hot Dogs, Fast Food, American (New), Barbeque, Restaurants</t>
  </si>
  <si>
    <t>1815 Sardis Rd</t>
  </si>
  <si>
    <t>C958IvYcvp1wFWe3Zj1MHg</t>
  </si>
  <si>
    <t>Fast Food, Restaurants, Chicken Wings, Chicken Shop</t>
  </si>
  <si>
    <t>6424 Albemarle Rd</t>
  </si>
  <si>
    <t>sKVnJqyQlENOXRdsaStYDA</t>
  </si>
  <si>
    <t>Restaurants, Diners, American (New), Breakfast &amp; Brunch, Waffles</t>
  </si>
  <si>
    <t>3309 Queen City Dr</t>
  </si>
  <si>
    <t>ETFKj1VSHn5zTNddOz6FRQ</t>
  </si>
  <si>
    <t>Burgers, Restaurants, American (Traditional)</t>
  </si>
  <si>
    <t>Red Robin Gourmet Burgers</t>
  </si>
  <si>
    <t>8304 Kenbrooke Drive</t>
  </si>
  <si>
    <t>XlhF1y8nOfaxjOhbQZvjpQ</t>
  </si>
  <si>
    <t>Seafood, Vietnamese, Restaurants, Cajun/Creole</t>
  </si>
  <si>
    <t>La Boiled Crawfish</t>
  </si>
  <si>
    <t>2215 Ayrsley Town Blvd, Ste B</t>
  </si>
  <si>
    <t>9S7RUjzkdpU4MDxUxkvLvg</t>
  </si>
  <si>
    <t>Bars, American (Traditional), Nightlife, Restaurants, Italian</t>
  </si>
  <si>
    <t>409 W Wt Harris Blvd</t>
  </si>
  <si>
    <t>Db3CfZWrtG33UZSs8Tdlsg</t>
  </si>
  <si>
    <t>Restaurants, Latin American, Caribbean, Mexican</t>
  </si>
  <si>
    <t>Sabor Latin Street Grill - Steele Creek</t>
  </si>
  <si>
    <t>11112 S Tryon St, Ste D</t>
  </si>
  <si>
    <t>6BnxVOwU-lPMOAS4d-b8_Q</t>
  </si>
  <si>
    <t>Steakhouses, Food, Gastropubs, Local Flavor, American (Traditional), Beer, Wine &amp; Spirits, Restaurants</t>
  </si>
  <si>
    <t>Bull &amp; Barrister Draft House and Grille</t>
  </si>
  <si>
    <t>3615 Mount Holly-Huntersville Rd</t>
  </si>
  <si>
    <t>NbrXg59fYR3MoeXdeAIQIQ</t>
  </si>
  <si>
    <t>Food, Breakfast &amp; Brunch, Ice Cream &amp; Frozen Yogurt, American (Traditional), Restaurants</t>
  </si>
  <si>
    <t>Pike's Old Fashioned Soda Shop</t>
  </si>
  <si>
    <t>1930 Camden Rd</t>
  </si>
  <si>
    <t>6Lqjhx0NloQWVwWdonh5lA</t>
  </si>
  <si>
    <t>Restaurants, Sandwiches, Salad</t>
  </si>
  <si>
    <t>Brad's Brew</t>
  </si>
  <si>
    <t>200 S College St, Ste 313</t>
  </si>
  <si>
    <t>Fxgvku1h-G2UnNMdFBhWbw</t>
  </si>
  <si>
    <t>Breakfast &amp; Brunch, Restaurants, American (Traditional)</t>
  </si>
  <si>
    <t>Skyland Family Restaurant</t>
  </si>
  <si>
    <t>4544 South Blvd</t>
  </si>
  <si>
    <t>wB5mt_CyjSCUSl_udigEJQ</t>
  </si>
  <si>
    <t>Coffee &amp; Tea, Breakfast &amp; Brunch, Cafes, Restaurants, American (Traditional), Food</t>
  </si>
  <si>
    <t>Bytes Cafe</t>
  </si>
  <si>
    <t>800 W Trade St, Ste 100</t>
  </si>
  <si>
    <t>l_8v6XyTaEHmTKmorMrPxg</t>
  </si>
  <si>
    <t>Restaurants, Japanese, Sushi Bars</t>
  </si>
  <si>
    <t>Hissho Sushi</t>
  </si>
  <si>
    <t>11949 Steele Creek Rd</t>
  </si>
  <si>
    <t>MPpuT7kdpBIXJ-xgJUMFTQ</t>
  </si>
  <si>
    <t>Restaurants, American (Traditional), Comfort Food, Food, Food Trucks, Food Stands</t>
  </si>
  <si>
    <t>Twisted Eats</t>
  </si>
  <si>
    <t>1440 S Tryon St</t>
  </si>
  <si>
    <t>B60N0Fku2lkuQpTJ6t-E7Q</t>
  </si>
  <si>
    <t>Mexi Cafe</t>
  </si>
  <si>
    <t>1609 Elizabeth Ave</t>
  </si>
  <si>
    <t>ZPWEawq1b37IcMFH9zA-_w</t>
  </si>
  <si>
    <t>Restaurants, Bagels, Food, Wraps, Sandwiches, Coffee Roasteries, Coffee &amp; Tea</t>
  </si>
  <si>
    <t>Port City Java</t>
  </si>
  <si>
    <t>214 N Tryon St, Ste Level 1</t>
  </si>
  <si>
    <t>YqjDX0TPge-EB73uzgyS3w</t>
  </si>
  <si>
    <t>CHUBZ Famous Chiliburgers</t>
  </si>
  <si>
    <t>200A W Woodlawn Rd</t>
  </si>
  <si>
    <t>Vvo-jBNPcoVJjJRaeNvvPQ</t>
  </si>
  <si>
    <t>Beauty &amp; Spas, Barbers, Hot Dogs, American (New), Sandwiches, Restaurants, Cafes</t>
  </si>
  <si>
    <t>Neighborhood Cafe</t>
  </si>
  <si>
    <t>iHeP8OmTwcqYeyMuEpIaxw</t>
  </si>
  <si>
    <t>Taiwanese, Vietnamese, Restaurants, Bubble Tea, Food, Sandwiches</t>
  </si>
  <si>
    <t>Banh Mi and Tea Company</t>
  </si>
  <si>
    <t>irx72bUk68BCHmKN9ZYHCA</t>
  </si>
  <si>
    <t>Beer, Wine &amp; Spirits, Cocktail Bars, Wine Bars, Pizza, Food, Restaurants, Bars, Nightlife</t>
  </si>
  <si>
    <t>Dolce Vita Wine Bar</t>
  </si>
  <si>
    <t>3205 N Davidson St</t>
  </si>
  <si>
    <t>AyltNmcU4mbxHyeUebuEgw</t>
  </si>
  <si>
    <t>American (New), Restaurants, Cafes, Sandwiches, Mediterranean</t>
  </si>
  <si>
    <t>Flavors Cafe</t>
  </si>
  <si>
    <t>5900 Quail Hollow Rd</t>
  </si>
  <si>
    <t>6e2LDRIWzAmKb2qq_TnnnA</t>
  </si>
  <si>
    <t>Food, Pizza, Restaurants</t>
  </si>
  <si>
    <t>MrJims.Pizza of Charlotte</t>
  </si>
  <si>
    <t>1603 West Blvd</t>
  </si>
  <si>
    <t>5UkvIlQLgEkHg9fCI1yUmw</t>
  </si>
  <si>
    <t>Mexican, Restaurants, Local Flavor</t>
  </si>
  <si>
    <t>Cocina Latina</t>
  </si>
  <si>
    <t>JBivZu1L1VpYf6kwspXYIg</t>
  </si>
  <si>
    <t>Salad, Restaurants, Food, Pizza, Italian</t>
  </si>
  <si>
    <t>Luigi's Pizza- Steelecroft Commons</t>
  </si>
  <si>
    <t>13551 Steelecroft Pkwy, Ste 100</t>
  </si>
  <si>
    <t>sf6xO8BDp2-IzP9oB1_C9A</t>
  </si>
  <si>
    <t>Restaurants, Burgers, Sandwiches, Food, Salad</t>
  </si>
  <si>
    <t>Clean Eatz</t>
  </si>
  <si>
    <t>9-tklfOZwLN1TR-tfu2_yw</t>
  </si>
  <si>
    <t>Restaurants, Chicken Shop, Chicken Wings, Breakfast &amp; Brunch, Fast Food</t>
  </si>
  <si>
    <t>3129 Monroe Rd</t>
  </si>
  <si>
    <t>hnt-s4ap_zweyhqiMAzgkA</t>
  </si>
  <si>
    <t>Fitness &amp; Instruction, Restaurants, Gyms, Tai Chi, Yoga, Active Life, Martial Arts</t>
  </si>
  <si>
    <t>The Peaceful Dragon</t>
  </si>
  <si>
    <t>12610 Steele Creek Rd</t>
  </si>
  <si>
    <t>Gdz5mlfw6F215aIYg0B9jg</t>
  </si>
  <si>
    <t>Restaurants, Vegan, Vegetarian, Indian</t>
  </si>
  <si>
    <t>Jyoti's World Cuisine</t>
  </si>
  <si>
    <t>abeirRXWiMeBxaiN-ww2YQ</t>
  </si>
  <si>
    <t>Basil's Restaurant</t>
  </si>
  <si>
    <t>4548 Old Pineville Rd, Ste A</t>
  </si>
  <si>
    <t>jcasci3gjbsSuTEVzvDQKg</t>
  </si>
  <si>
    <t>Venues &amp; Event Spaces, Italian, Restaurants, Hungarian, Event Planning &amp; Services</t>
  </si>
  <si>
    <t>Mama Ricotta's</t>
  </si>
  <si>
    <t>601 S Kings Dr, Ste AA</t>
  </si>
  <si>
    <t>AY4qBdRtkShnjiPTdlxw_A</t>
  </si>
  <si>
    <t>Diners, Breakfast &amp; Brunch, Restaurants, American (Traditional), Bakeries, Greek, Food, Beer, Wine &amp; Spirits</t>
  </si>
  <si>
    <t>Big View Diner</t>
  </si>
  <si>
    <t>16637 Lancaster Hwy</t>
  </si>
  <si>
    <t>NcyEhCGBmPxyNROy0mLsFQ</t>
  </si>
  <si>
    <t>Restaurants, American (Traditional), Barbeque</t>
  </si>
  <si>
    <t>City Smoke</t>
  </si>
  <si>
    <t>IFXsOJvq8BaaLjGij639Ow</t>
  </si>
  <si>
    <t>Zink. American Kitchen</t>
  </si>
  <si>
    <t>4310 Sharon Rd, Ste W01</t>
  </si>
  <si>
    <t>6blpPHl5Sya6cYwzfKndJQ</t>
  </si>
  <si>
    <t>Bangkok Square</t>
  </si>
  <si>
    <t>7030 C Smith Corners Blvd</t>
  </si>
  <si>
    <t>uBb4Y-ymguEGdj3SQFuxxA</t>
  </si>
  <si>
    <t>Food, Fast Food, Burgers, Restaurants</t>
  </si>
  <si>
    <t>6500 Albemarle Rd</t>
  </si>
  <si>
    <t>lIzGFBTWejKz4joxGszd6g</t>
  </si>
  <si>
    <t>Creperies, Sandwiches, Food, Restaurants, Bakeries</t>
  </si>
  <si>
    <t>Crepe Bistro</t>
  </si>
  <si>
    <t>1605 Galleria Blvd, Ste 140</t>
  </si>
  <si>
    <t>7LYepFvXbmYO8o1RTQLSdA</t>
  </si>
  <si>
    <t>Comfort Food, American (Traditional), Restaurants</t>
  </si>
  <si>
    <t>Ted's Restaurant</t>
  </si>
  <si>
    <t>8625 Monroe Rd</t>
  </si>
  <si>
    <t>qW-JrBmarQFijWWiN0xoTg</t>
  </si>
  <si>
    <t>8318 Pineville Matthews Rd, Ste 710</t>
  </si>
  <si>
    <t>FTKxYJj7d5u3GiEHG5cQSQ</t>
  </si>
  <si>
    <t>American (Traditional), Bars, Restaurants, Nightlife, Sports Bars, Chicken Wings</t>
  </si>
  <si>
    <t>400 E Martin Luther King Jr Blvd, Ste B</t>
  </si>
  <si>
    <t>2XRf0CAR_FnK1-VTeUAdrA</t>
  </si>
  <si>
    <t>Nightlife, Sports Bars, Bars, American (New), Restaurants</t>
  </si>
  <si>
    <t>Red Line Club</t>
  </si>
  <si>
    <t>2700 E Independence Blvd</t>
  </si>
  <si>
    <t>qo8lGwM8-AoQex5otIR93g</t>
  </si>
  <si>
    <t>8016 Cambridge Commons Dr, Ste B</t>
  </si>
  <si>
    <t>ecOCZ_MBwOu8tkG72YKTcQ</t>
  </si>
  <si>
    <t>Juice Bars &amp; Smoothies, Food, Chicken Wings, Fast Food, Restaurants, Salad</t>
  </si>
  <si>
    <t>6340 W Sugar Creek Rd</t>
  </si>
  <si>
    <t>PTY4VZixWNcszvKlMVw9YQ</t>
  </si>
  <si>
    <t>American (Traditional), Nightlife, Bars, Restaurants, Tex-Mex</t>
  </si>
  <si>
    <t>2521 Sardis Rd N</t>
  </si>
  <si>
    <t>KxqAQ-CJcAPDTJbrnQUTfg</t>
  </si>
  <si>
    <t>Great Wok</t>
  </si>
  <si>
    <t>718 W Trade St</t>
  </si>
  <si>
    <t>l_kefVF1frmC0xRW2YkvUA</t>
  </si>
  <si>
    <t>Dance Clubs, Nightlife, Bars, American (Traditional), Cocktail Bars, Restaurants, Arts &amp; Entertainment, Venues &amp; Event Spaces, Event Planning &amp; Services, Food, Music Venues, Sports Bars, Lounges, Beer, Wine &amp; Spirits</t>
  </si>
  <si>
    <t xml:space="preserve">Whisky River </t>
  </si>
  <si>
    <t>210 E Trade St, Ste A-208, EpiCentre</t>
  </si>
  <si>
    <t>6yJBQ-lxaWQz6cNAO5Zoiw</t>
  </si>
  <si>
    <t>7725 Pineville Matthews Rd</t>
  </si>
  <si>
    <t>tpB9UQNi4xaec7jdZqh9cg</t>
  </si>
  <si>
    <t>Pizza, Food, Desserts, Restaurants</t>
  </si>
  <si>
    <t>1039-A Providence Rd</t>
  </si>
  <si>
    <t>ZdAmfbj-1KYHlShGBktrJQ</t>
  </si>
  <si>
    <t>Tokyo Japanese Restaurant</t>
  </si>
  <si>
    <t>3429 Toringdon Way</t>
  </si>
  <si>
    <t>64t91iGORY06i1Jw4DL7Qw</t>
  </si>
  <si>
    <t>Southern, Burgers, Chicken Wings, Restaurants, Soul Food</t>
  </si>
  <si>
    <t>Mr Charles Chicken &amp; Fish- Cambridge</t>
  </si>
  <si>
    <t>jtj0JmyAawmnzY6wXCQi_A</t>
  </si>
  <si>
    <t>Latin American, Mexican, Restaurants, Local Flavor</t>
  </si>
  <si>
    <t>El Pulgarcito De America</t>
  </si>
  <si>
    <t>4816 Central Ave, Ste A</t>
  </si>
  <si>
    <t>HWg0C5_GscWB9fRHvHkq_Q</t>
  </si>
  <si>
    <t>Fast Food, Food Court, Chinese, Restaurants</t>
  </si>
  <si>
    <t>Kung Pao Wok</t>
  </si>
  <si>
    <t>5428 New Fashion Way, Ste 610</t>
  </si>
  <si>
    <t>V-qDa2kr5qWdhs7PU-l-3Q</t>
  </si>
  <si>
    <t>Event Planning &amp; Services, Breakfast &amp; Brunch, Restaurants, Caterers, Cafes, Sandwiches</t>
  </si>
  <si>
    <t>Taste Cafe</t>
  </si>
  <si>
    <t>100 N Tryon St, Ste 300, Founders Hall</t>
  </si>
  <si>
    <t>MtvN8vMiKcLkkz_tCvBx3g</t>
  </si>
  <si>
    <t>American (New), Restaurants, Italian</t>
  </si>
  <si>
    <t>Aria</t>
  </si>
  <si>
    <t>uGCct-R33OXz53igyKjejQ</t>
  </si>
  <si>
    <t>435 South Tryon St</t>
  </si>
  <si>
    <t>YGcpct62yl0lEGPlJrII5g</t>
  </si>
  <si>
    <t>Restaurants, Fast Food, Southern, Chicken Shop, Breakfast &amp; Brunch, Food, American (New)</t>
  </si>
  <si>
    <t>10329 Mallard Creek Rd</t>
  </si>
  <si>
    <t>ulDxltMssBpGIEkC_A5j3Q</t>
  </si>
  <si>
    <t>Nightlife, Ethiopian, Bars, American (Traditional), African, Restaurants</t>
  </si>
  <si>
    <t>East African Cusine Eritrean And Ethiopian</t>
  </si>
  <si>
    <t>3200 Monroe Rd</t>
  </si>
  <si>
    <t>G0QB14AgsULMgwpvSI_P0Q</t>
  </si>
  <si>
    <t>Restaurants, Pasta Shops, Pizza, Sandwiches, Specialty Food, Food, Italian</t>
  </si>
  <si>
    <t>New York Pizzeria</t>
  </si>
  <si>
    <t>uFm5AVAJlCzUpM5bjOHH0w</t>
  </si>
  <si>
    <t>Restaurants, American (Traditional), Food</t>
  </si>
  <si>
    <t>Snoops Grill</t>
  </si>
  <si>
    <t>2900 Westinghouse Blvd</t>
  </si>
  <si>
    <t>XCup-bRuy_7c8JqM2Ryl_g</t>
  </si>
  <si>
    <t>Burgers, Fast Food, Sandwiches, Restaurants</t>
  </si>
  <si>
    <t>6200 Wilson Grove Rd</t>
  </si>
  <si>
    <t>9Ioq8wnP0H2PhajGW1jXzw</t>
  </si>
  <si>
    <t>Salsa's Mexican Restaurant</t>
  </si>
  <si>
    <t>kkvhQBT1Oh73sVSYZMXeDA</t>
  </si>
  <si>
    <t>Food, Coffee &amp; Tea, Restaurants, Burgers, Fast Food</t>
  </si>
  <si>
    <t>9505 South Blvd</t>
  </si>
  <si>
    <t>VJ3ndBYrudQFeTIfPUnX-Q</t>
  </si>
  <si>
    <t>Dive Bars, Bars, Delis, Restaurants, Nightlife</t>
  </si>
  <si>
    <t>Phil's Tavern</t>
  </si>
  <si>
    <t>105 E 5th St</t>
  </si>
  <si>
    <t>NOdSt1Ku8s272TIT9TNzgA</t>
  </si>
  <si>
    <t>Nightlife, Restaurants, Arts &amp; Entertainment, Food Delivery Services, Cajun/Creole, Food, Music Venues, Jazz &amp; Blues, Dance Clubs</t>
  </si>
  <si>
    <t>BluNotes of Charlotte</t>
  </si>
  <si>
    <t>5T9g2sThvSXQ2CW6gtmmzA</t>
  </si>
  <si>
    <t>9611 Brookdale Dr, Ste 300</t>
  </si>
  <si>
    <t>7qjec-nTvcreVCkVur45fw</t>
  </si>
  <si>
    <t>Seafood, American (Traditional), Fast Food, Restaurants, Chicken Wings, Sandwiches, Cajun/Creole</t>
  </si>
  <si>
    <t>9501 South Blvd</t>
  </si>
  <si>
    <t>mya3-3zZkm7je6nY5HD7PQ</t>
  </si>
  <si>
    <t>Restaurants, Burgers, Seafood, Fast Food, Greek</t>
  </si>
  <si>
    <t>OlOe-kVpXQOk9pUBpHBFsQ</t>
  </si>
  <si>
    <t>Nightlife, Bars, Restaurants, Mexican</t>
  </si>
  <si>
    <t>La Revolucion</t>
  </si>
  <si>
    <t>900 North Carolina Music Factory Blvd</t>
  </si>
  <si>
    <t>jdft5jzXyceJZLRtVL38VA</t>
  </si>
  <si>
    <t>Sandwiches, Restaurants, Fast Food, Delis</t>
  </si>
  <si>
    <t>2400 South Blvd</t>
  </si>
  <si>
    <t>04NemZnAY0oyAHCg68x_ww</t>
  </si>
  <si>
    <t>Restaurants, Sandwiches, Pizza, Chicken Wings, Fast Food</t>
  </si>
  <si>
    <t>4755 South Boulevard</t>
  </si>
  <si>
    <t>snAptnCpk3LagN3nJwPAZg</t>
  </si>
  <si>
    <t>Barbeque, Restaurants, Comfort Food, Soul Food</t>
  </si>
  <si>
    <t>K &amp; N Barbeque</t>
  </si>
  <si>
    <t>10100 Moores Chapel Rd</t>
  </si>
  <si>
    <t>axGUBM5mgmFZQn85bMTVPA</t>
  </si>
  <si>
    <t>Indian, Pakistani, Restaurants</t>
  </si>
  <si>
    <t>Cafe Nirvana</t>
  </si>
  <si>
    <t>15025 Old Lancaster Hwy, Ste D8</t>
  </si>
  <si>
    <t>yvNYymtQ_IOUowEb63c5hw</t>
  </si>
  <si>
    <t>Restaurants, Bars, Sports Bars, Nightlife, Caribbean, Lounges</t>
  </si>
  <si>
    <t>Sports One Bar &amp; Lounge</t>
  </si>
  <si>
    <t>521 N College St</t>
  </si>
  <si>
    <t>aO1gAp41n8w8zpxTiHdLNA</t>
  </si>
  <si>
    <t>Soul Food, Breakfast &amp; Brunch, Southern, Restaurants</t>
  </si>
  <si>
    <t>Mert's Heart &amp; Soul</t>
  </si>
  <si>
    <t>214 N College St</t>
  </si>
  <si>
    <t>tS86qUet350423gjxXMlxw</t>
  </si>
  <si>
    <t>Ivy Burger Co</t>
  </si>
  <si>
    <t>120 N Tryon Corner</t>
  </si>
  <si>
    <t>lJlIuk3MS6YzuLjwnzshVg</t>
  </si>
  <si>
    <t>Restaurants, Food, Food Trucks, Seafood</t>
  </si>
  <si>
    <t>Hole in The Wall Crab Shack</t>
  </si>
  <si>
    <t>neE2-VPqCHyp8rlR3u2oqQ</t>
  </si>
  <si>
    <t>Pizza, Sandwiches, Fast Food, Chicken Wings, Restaurants</t>
  </si>
  <si>
    <t>4510 Sunset Rd, Suite A</t>
  </si>
  <si>
    <t>_fR9DtLF3rbRsPk9kWbz3A</t>
  </si>
  <si>
    <t>Sandwiches, Restaurants, Cafes, Wraps, Breakfast &amp; Brunch</t>
  </si>
  <si>
    <t>Park Central Cafe and Catering</t>
  </si>
  <si>
    <t>2101 Rexford Rd, Ste 187W</t>
  </si>
  <si>
    <t>uD5fTga5_jVLx8IdKHBbgg</t>
  </si>
  <si>
    <t>Food, Restaurants, Coffee &amp; Tea</t>
  </si>
  <si>
    <t>Java Joes</t>
  </si>
  <si>
    <t>201 N Tryon St</t>
  </si>
  <si>
    <t>mI1Y9aKvDC12Z9imospeuw</t>
  </si>
  <si>
    <t>8624 Camfield St, Ste A</t>
  </si>
  <si>
    <t>7IQoE-EXnRCBUzaVHYlhmw</t>
  </si>
  <si>
    <t>9335 N Tryon St, Ste 102</t>
  </si>
  <si>
    <t>gxzomiuRrCWvpKAKnVBsaA</t>
  </si>
  <si>
    <t>8506 S Tryon St, Ste C</t>
  </si>
  <si>
    <t>360rdTo6CDmpsFyUK-g0Og</t>
  </si>
  <si>
    <t>Food, Food Delivery Services, Restaurants, Pizza</t>
  </si>
  <si>
    <t>Jet's Pizza</t>
  </si>
  <si>
    <t>1607 Montford Dr</t>
  </si>
  <si>
    <t>NTzro24pGWz1lorlxr5TDw</t>
  </si>
  <si>
    <t>Restaurants, Delis, Sandwiches, Breakfast &amp; Brunch</t>
  </si>
  <si>
    <t>Devon and Blakely</t>
  </si>
  <si>
    <t>101 South Tryon St, Unit 104</t>
  </si>
  <si>
    <t>_u0Fj3N176Bn8eOBuh2E0A</t>
  </si>
  <si>
    <t>Sandwiches, Italian, Restaurants, Pizza</t>
  </si>
  <si>
    <t>J Pasta's NY Style Pizza</t>
  </si>
  <si>
    <t>h0XJcvadARY6xssty-Ay6g</t>
  </si>
  <si>
    <t>Pizza, Restaurants, Italian, Chicken Wings</t>
  </si>
  <si>
    <t>1909 Milton Rd</t>
  </si>
  <si>
    <t>YaFM08fEdbp-iSon3Opsbw</t>
  </si>
  <si>
    <t>Restaurants, Food, Mexican</t>
  </si>
  <si>
    <t>Monterrey Mexican Restaurant</t>
  </si>
  <si>
    <t>1001 E Wt Harris Blvd, Ste A</t>
  </si>
  <si>
    <t>nyEL20vR0RZ3IUI-Z4m1yg</t>
  </si>
  <si>
    <t>Vegetarian, Restaurants, Indian, Pakistani</t>
  </si>
  <si>
    <t>Royal Kabab Hut</t>
  </si>
  <si>
    <t>8829 E WT Harris Blvd</t>
  </si>
  <si>
    <t>xJAXkMIgnWNpqyGCosmp2Q</t>
  </si>
  <si>
    <t>Sandwiches, Juice Bars &amp; Smoothies, Food, Bubble Tea, Restaurants, Vietnamese</t>
  </si>
  <si>
    <t>5100 S Blvd, Ste C</t>
  </si>
  <si>
    <t>dEECykRQIBd_QXAZ0rBeYw</t>
  </si>
  <si>
    <t>Dikadee's Deli</t>
  </si>
  <si>
    <t>1419 E Blvd, Ste A</t>
  </si>
  <si>
    <t>E4yljrnAsnFa6PeKQTIYCg</t>
  </si>
  <si>
    <t xml:space="preserve">Olive Garden Italian Restaurant </t>
  </si>
  <si>
    <t>4336 E Independence Blvd</t>
  </si>
  <si>
    <t>vNllp243LmFMVO0MNyhM1A</t>
  </si>
  <si>
    <t>Restaurants, Sports Bars, Nightlife, American (New), American (Traditional), Wine Bars, Bars, Beer Bar, Burgers</t>
  </si>
  <si>
    <t>15235 John J. Delaney Drive</t>
  </si>
  <si>
    <t>LlSehKBi-vx0TE5x2Q4R_w</t>
  </si>
  <si>
    <t>Restaurants, Korean, Chicken Wings, Asian Fusion</t>
  </si>
  <si>
    <t>Bonchon - Pineville</t>
  </si>
  <si>
    <t>8318 Pineville-Matthews Rd, Ste 703</t>
  </si>
  <si>
    <t>uX2hjcnQIszqyNKqPP9e1g</t>
  </si>
  <si>
    <t>Restaurants, Chicken Wings, Comfort Food, Chicken Shop, Southern, Seafood</t>
  </si>
  <si>
    <t>Cuzzo's Cuisine</t>
  </si>
  <si>
    <t>xgZMO4BHn1TCn7hZ62SaiA</t>
  </si>
  <si>
    <t>200 E Independence Blvd</t>
  </si>
  <si>
    <t>HV_BS1AA-iiN50ZjG-NK7w</t>
  </si>
  <si>
    <t>Mediterranean, Greek, Southern, Kebab, Restaurants, Sandwiches</t>
  </si>
  <si>
    <t>1832 E. Arbord Drive, Suite 320</t>
  </si>
  <si>
    <t>PVeabNks9iMxt5C12AR3cA</t>
  </si>
  <si>
    <t>Cafes, Restaurants, Food, American (Traditional), Breakfast &amp; Brunch</t>
  </si>
  <si>
    <t>Speedway Grill &amp; Cafe</t>
  </si>
  <si>
    <t>rbbcyLXhGzIr0j4XNLdayw</t>
  </si>
  <si>
    <t>Fast Food, Restaurants, Caterers, Chicken Wings, Event Planning &amp; Services</t>
  </si>
  <si>
    <t>3015 South Blvd</t>
  </si>
  <si>
    <t>4jKa65sHrVx4raAL_WuReQ</t>
  </si>
  <si>
    <t>Honduran, Restaurants, Mexican, Latin American</t>
  </si>
  <si>
    <t>Antojitos Catrachos</t>
  </si>
  <si>
    <t>6404 Albemarle Rd, Ste G</t>
  </si>
  <si>
    <t>w_bgAqgWj41aD3vph3wm8w</t>
  </si>
  <si>
    <t>Restaurants, Italian, American (New)</t>
  </si>
  <si>
    <t>Beauregards</t>
  </si>
  <si>
    <t>3030 Freedom Dr</t>
  </si>
  <si>
    <t>T_rhdTatD0ElZOFqyoZBcA</t>
  </si>
  <si>
    <t>Sonny's Real Pit Bar-B-Q</t>
  </si>
  <si>
    <t>9wCP-MP2B1Yi7EzsM0H0ew</t>
  </si>
  <si>
    <t>Tacos El Regio</t>
  </si>
  <si>
    <t>8829 E Wt Harris Blvd</t>
  </si>
  <si>
    <t>9bNpMgvaSux1xLPSPwIbUg</t>
  </si>
  <si>
    <t>Fast Food, Caterers, Mexican, Event Planning &amp; Services, Sandwiches, Restaurants</t>
  </si>
  <si>
    <t>1600 E Woodlawn Rd, Ste 210</t>
  </si>
  <si>
    <t>EytLuPv39VGeQt_NJRJqYQ</t>
  </si>
  <si>
    <t>Pizza, Indian, Italian, Restaurants</t>
  </si>
  <si>
    <t>Al's Pizza</t>
  </si>
  <si>
    <t>1630 E Woodlawn Rd, Ste 250</t>
  </si>
  <si>
    <t>0htWficVWZV20ATE8cs7YA</t>
  </si>
  <si>
    <t>Restaurants, Salad, Pizza, Indian</t>
  </si>
  <si>
    <t>Pudina</t>
  </si>
  <si>
    <t>4944 Parkway Plaza Blvd</t>
  </si>
  <si>
    <t>WUiDaFQRZ8wKYGLvmjFjAw</t>
  </si>
  <si>
    <t>Chinese, Restaurants, Buffets, Sushi Bars</t>
  </si>
  <si>
    <t>China Buffet</t>
  </si>
  <si>
    <t>8630 University Executive Park Dr</t>
  </si>
  <si>
    <t>DM9H5RsgwJM6rEYDJbITLQ</t>
  </si>
  <si>
    <t>Coffee House At Mountain Island</t>
  </si>
  <si>
    <t>3611 Mt Holly Huntersville Rd</t>
  </si>
  <si>
    <t>wWKdUnwXDS91H09D_zC1SQ</t>
  </si>
  <si>
    <t>Mai</t>
  </si>
  <si>
    <t>6430 Sugar Creek Rd, Ste E</t>
  </si>
  <si>
    <t>w3qgHBMr-71i8icNonTEyQ</t>
  </si>
  <si>
    <t>Italian, Pizza, Restaurants, Chicken Wings</t>
  </si>
  <si>
    <t>6200 Albemarle Rd</t>
  </si>
  <si>
    <t>WSweXpahyMa3toResuQ6-w</t>
  </si>
  <si>
    <t>10235 University City Blvd</t>
  </si>
  <si>
    <t>1qmsZxZZWvRsy5Z31MKerQ</t>
  </si>
  <si>
    <t>Food, American (New), Festivals, Arts &amp; Entertainment, Restaurants</t>
  </si>
  <si>
    <t>Queen's Feast: Charlotte Restaurant Week</t>
  </si>
  <si>
    <t>cdkzUI1tXc8rUMF33iKMlg</t>
  </si>
  <si>
    <t>Nightlife, Mexican, Bars, Restaurants</t>
  </si>
  <si>
    <t>Vida Vida</t>
  </si>
  <si>
    <t>sH9aI3xg-POBMp8R-kSQZg</t>
  </si>
  <si>
    <t>8128 Providence Rd, Ste 100</t>
  </si>
  <si>
    <t>g-E12y45gBKedax5N20YmQ</t>
  </si>
  <si>
    <t>Mexican, Restaurants, Tex-Mex</t>
  </si>
  <si>
    <t>The Burrito Factory</t>
  </si>
  <si>
    <t>5920 South Blvd</t>
  </si>
  <si>
    <t>REzVrw0MaOaYkA7YQe_xFg</t>
  </si>
  <si>
    <t>Fast Wok</t>
  </si>
  <si>
    <t>7008 E Wt Harris Blvd, Ste 3</t>
  </si>
  <si>
    <t>c-l4nDPZcEwapEiV-Xf08w</t>
  </si>
  <si>
    <t>Greek, Restaurants, Mediterranean, Italian</t>
  </si>
  <si>
    <t>Ilios Noche</t>
  </si>
  <si>
    <t>dCkHVniWUwGdaG9y398Qhg</t>
  </si>
  <si>
    <t>Bakeries, Restaurants, Pretzels, Fast Food, Food</t>
  </si>
  <si>
    <t>Auntie Anne's</t>
  </si>
  <si>
    <t>6801 Northlake Mall Dr, Ste 188</t>
  </si>
  <si>
    <t>uIN-iPt4a5cj9zgflXhyYA</t>
  </si>
  <si>
    <t>Restaurants, Sandwiches, Italian, Pizza</t>
  </si>
  <si>
    <t>Sal's Pizza Factory</t>
  </si>
  <si>
    <t>rrfe1RPh6t3QG7BRghzjYA</t>
  </si>
  <si>
    <t>Restaurants, Italian, Spanish, Mediterranean, French</t>
  </si>
  <si>
    <t>Aix en Provence</t>
  </si>
  <si>
    <t>545-B Providence Rd</t>
  </si>
  <si>
    <t>Pizzeria Uno</t>
  </si>
  <si>
    <t>ko9dETTvmKgqFuxJ2jbLtA</t>
  </si>
  <si>
    <t>Restaurants, Pizza, Italian, Chicken Wings</t>
  </si>
  <si>
    <t>3215 Freedon Dr</t>
  </si>
  <si>
    <t>wcFscp4-QH0PJeIW1EOQEQ</t>
  </si>
  <si>
    <t>Chinese, Sushi Bars, Asian Fusion, Japanese, Thai, Restaurants</t>
  </si>
  <si>
    <t>Wang &amp; King Asian Cafe</t>
  </si>
  <si>
    <t>10720 S Tryon St</t>
  </si>
  <si>
    <t>drEybjNyjXIG-qvOisPEMA</t>
  </si>
  <si>
    <t>Taqueria Guadalajara</t>
  </si>
  <si>
    <t>4517 N Tryon St</t>
  </si>
  <si>
    <t>tB7wE98TiyI7Y89NeMCVww</t>
  </si>
  <si>
    <t>Mexican, Restaurants, Pizza, American (New), Tex-Mex, Fast Food</t>
  </si>
  <si>
    <t>210 East Trade St</t>
  </si>
  <si>
    <t>ZEW2tHdcRuwKZv8oXY4rCA</t>
  </si>
  <si>
    <t>Vegetarian, Food, Restaurants, Juice Bars &amp; Smoothies, Organic Stores, Breakfast &amp; Brunch, Vegan</t>
  </si>
  <si>
    <t>4521 Sharon Rd, Ste 175</t>
  </si>
  <si>
    <t>Nx_08EV_upf87T566h_Pvw</t>
  </si>
  <si>
    <t>aCoRJp8Zty-hY3YaHqIItA</t>
  </si>
  <si>
    <t>Chicken Wings, Restaurants, Fast Food, Chicken Shop</t>
  </si>
  <si>
    <t>1101 N Wendover Rd</t>
  </si>
  <si>
    <t>GqfGoFMC3cn_AZI7iUOWKg</t>
  </si>
  <si>
    <t>Bars, Nightlife, Cocktail Bars, American (New), Restaurants</t>
  </si>
  <si>
    <t>Bar Louie</t>
  </si>
  <si>
    <t>8760 Jm Keynes Dr</t>
  </si>
  <si>
    <t>03fe5vYwHA9TxlJJ-7mDMw</t>
  </si>
  <si>
    <t>Pressley Park Restaurant</t>
  </si>
  <si>
    <t>740 Pressley Rd</t>
  </si>
  <si>
    <t>CAStb1vB9y-QMQrt4PxEFA</t>
  </si>
  <si>
    <t>Mexican, Restaurants, Fast Food</t>
  </si>
  <si>
    <t>2312 Whitehall Park Dr</t>
  </si>
  <si>
    <t>jVkbX7InMiCUxCdMD06VQw</t>
  </si>
  <si>
    <t>Arts &amp; Entertainment, Music Venues, Nightlife, American (Traditional), Pool Halls, Sports Bars, Sandwiches, Restaurants, Bars, Food</t>
  </si>
  <si>
    <t>Fairview Grill</t>
  </si>
  <si>
    <t>DublKfLa9Y0PguCryoDJ-Q</t>
  </si>
  <si>
    <t>Nightlife, Cocktail Bars, Sports Bars, New Mexican Cuisine, Bars, Restaurants, Mexican</t>
  </si>
  <si>
    <t>205 N College St</t>
  </si>
  <si>
    <t>t8V_P7ZzRrhDQoqeoGVahQ</t>
  </si>
  <si>
    <t>Bars, Nightlife, Tapas/Small Plates, Restaurants, Tapas Bars, Cocktail Bars, Lounges, Gastropubs, American (New)</t>
  </si>
  <si>
    <t>The Cellar at Duckworth's</t>
  </si>
  <si>
    <t>8_9384WM1gO0YP1MjLqOqQ</t>
  </si>
  <si>
    <t>Cbr_THdFrhePgJoqQ9X6gQ</t>
  </si>
  <si>
    <t>Pho Hoa Noodle Soup</t>
  </si>
  <si>
    <t>3000 Central Ave, Ste 1</t>
  </si>
  <si>
    <t>mJhJLrBSJ7fdibbyFf53mA</t>
  </si>
  <si>
    <t>Mez</t>
  </si>
  <si>
    <t>EpiCentre, 210 E Trade St</t>
  </si>
  <si>
    <t>2yGA0OlMKeTG2B22hT9J7A</t>
  </si>
  <si>
    <t>Breakfast &amp; Brunch, Southern, Chicken Wings, Restaurants, Fast Food, Chicken Shop, Sandwiches</t>
  </si>
  <si>
    <t>1407 E 3rd St</t>
  </si>
  <si>
    <t>rb4d1_OtpVD91J5NDp4Y3w</t>
  </si>
  <si>
    <t>Restaurants, Sushi Bars, Seafood, Japanese, Asian Fusion</t>
  </si>
  <si>
    <t>O-Ku Sushi</t>
  </si>
  <si>
    <t>2000 South Blvd, Ste 510</t>
  </si>
  <si>
    <t>8d8Q3ZhAJwzdfxdj-mFmqQ</t>
  </si>
  <si>
    <t>Hair Stylists, Cosmetics &amp; Beauty Supply, Beauty &amp; Spas, Hair Extensions, Dominican, Restaurants, Caribbean, Hair Salons, Blow Dry/Out Services, Shopping</t>
  </si>
  <si>
    <t>Naty Dominican Hair Stylist</t>
  </si>
  <si>
    <t>3156 Freedom Dr</t>
  </si>
  <si>
    <t>7rw92H4cHKZAE3riYDHOvQ</t>
  </si>
  <si>
    <t>Harrigan's Gourmet Deli</t>
  </si>
  <si>
    <t>5033 South Blvd, Ste K</t>
  </si>
  <si>
    <t>MDm45O3RLf90hKy-tVsfNg</t>
  </si>
  <si>
    <t>Mexican, Tex-Mex, American (Traditional), Restaurants, Vegetarian, Spanish</t>
  </si>
  <si>
    <t>XG4sSq0JQ-3o3KrN-0d8Pg</t>
  </si>
  <si>
    <t>Restaurants, Hotels, Event Planning &amp; Services, Hotels &amp; Travel, Breakfast &amp; Brunch</t>
  </si>
  <si>
    <t>Drury Inn &amp; Suites Charlotte University Place</t>
  </si>
  <si>
    <t>415 West W T Harris Blvd</t>
  </si>
  <si>
    <t>pe20N--YSUZlKYa-WaSfJA</t>
  </si>
  <si>
    <t>Buffets, Restaurants, Japanese, Chinese, Sushi Bars</t>
  </si>
  <si>
    <t>NsrKAwgQkAe-pPJs5Y5fRA</t>
  </si>
  <si>
    <t>Delis, Salad, Soup, Southern, Chicken Shop, Restaurants, American (Traditional), Cafes, Sandwiches</t>
  </si>
  <si>
    <t>Chicken Salad Chick</t>
  </si>
  <si>
    <t>DjteMpT6cxZ7TGRm0Y8nQg</t>
  </si>
  <si>
    <t>American (New), American (Traditional), Bars, Restaurants, Nightlife</t>
  </si>
  <si>
    <t>FATZ Cafe</t>
  </si>
  <si>
    <t>10920 Winds Crossing Dr.</t>
  </si>
  <si>
    <t>VfH8cF7AOvvQ7hq6hcTj7Q</t>
  </si>
  <si>
    <t>5200 Central Ave</t>
  </si>
  <si>
    <t>4UMRWVLNa6GrAag8Rug0lA</t>
  </si>
  <si>
    <t>Burgers, Delis, Restaurants, Event Planning &amp; Services, Chicken Wings, Caterers</t>
  </si>
  <si>
    <t>Oakhill Deli &amp; Grill</t>
  </si>
  <si>
    <t>3709 Oakdale Rd</t>
  </si>
  <si>
    <t>8xRBpeEcnLSIRaqYbF-JWg</t>
  </si>
  <si>
    <t>Breakfast &amp; Brunch, American (Traditional), Burgers, Restaurants, American (New)</t>
  </si>
  <si>
    <t>5815 Highland Shoppes Dr, Ste 100</t>
  </si>
  <si>
    <t>GAnD6z0ogu84C-Kvwgw_Xg</t>
  </si>
  <si>
    <t>Quips Cafe</t>
  </si>
  <si>
    <t>h5VZ0MqRt4vEUUG8oH6eEA</t>
  </si>
  <si>
    <t>Bars, Nightlife, American (Traditional), Barbeque, Restaurants</t>
  </si>
  <si>
    <t>Smoke BBQ Grille</t>
  </si>
  <si>
    <t>PVk7KKTlWRygSF6dExWYCg</t>
  </si>
  <si>
    <t>Coffee &amp; Tea, Custom Cakes, Food, Cafes, Restaurants, Patisserie/Cake Shop, Bakeries</t>
  </si>
  <si>
    <t>4321 Park Rd</t>
  </si>
  <si>
    <t>fqMAnoS2sTokz6lqBSmoCw</t>
  </si>
  <si>
    <t>Mexican, Restaurants, Cocktail Bars, Bars, Tapas/Small Plates, Nightlife, Tex-Mex</t>
  </si>
  <si>
    <t>SouthBound</t>
  </si>
  <si>
    <t>2433 South Blvd</t>
  </si>
  <si>
    <t>IPEf6HTV5vikiDLjn6wa-Q</t>
  </si>
  <si>
    <t>Hardee's</t>
  </si>
  <si>
    <t>4201 E W T Harris Blvd</t>
  </si>
  <si>
    <t>UNf4aybYOTs4EnPQgZJOVw</t>
  </si>
  <si>
    <t>Wraps, Mediterranean, Restaurants, Salad</t>
  </si>
  <si>
    <t>Wrapway</t>
  </si>
  <si>
    <t>7ubx4QXz34g1dkqa3D1bgA</t>
  </si>
  <si>
    <t>Restaurants, Fast Food, Caterers, Event Planning &amp; Services</t>
  </si>
  <si>
    <t>11530 Waverly Center Dr</t>
  </si>
  <si>
    <t>PSy0b8n1FE85H0nmWhpJbQ</t>
  </si>
  <si>
    <t>127 N Tryon St, Ste 8</t>
  </si>
  <si>
    <t>FrJ6yy3IfMX3yVL-FjRTbQ</t>
  </si>
  <si>
    <t>Chicken Wings, Restaurants, Hot Dogs, Pizza</t>
  </si>
  <si>
    <t>Chi's Pizza</t>
  </si>
  <si>
    <t>2212 Park Rd</t>
  </si>
  <si>
    <t>sBLPrrSldmNznVARvwc8eg</t>
  </si>
  <si>
    <t>Delis, Salad, Restaurants, Sandwiches, Fast Food</t>
  </si>
  <si>
    <t>12806 South Tryon, Ste 282</t>
  </si>
  <si>
    <t>76n9653P0O9HJsGy7HrFvw</t>
  </si>
  <si>
    <t>Coffee &amp; Tea, Food, Burgers, Restaurants, Fast Food</t>
  </si>
  <si>
    <t>1035 N Wendover</t>
  </si>
  <si>
    <t>OxEHq_DXYfFf8XHRg_qvDw</t>
  </si>
  <si>
    <t>Creole's Louisiana Kitchen</t>
  </si>
  <si>
    <t>15105-J John J Delaney Dr</t>
  </si>
  <si>
    <t>RAKSBqeNb-p_ZABwAWH_jA</t>
  </si>
  <si>
    <t>Restaurants, Sushi Bars, Chinese, Japanese</t>
  </si>
  <si>
    <t>Koishi Restaurant &amp; Sushi Bar</t>
  </si>
  <si>
    <t>120 N Sharon Amity Rd</t>
  </si>
  <si>
    <t>6FcWDPLMmoqul-0PGVUEDA</t>
  </si>
  <si>
    <t>Event Planning &amp; Services, Delis, Caterers, Restaurants</t>
  </si>
  <si>
    <t>Bedder Bedder &amp; Moore</t>
  </si>
  <si>
    <t>3501 S Tryon St</t>
  </si>
  <si>
    <t>UW9TxzfXLbWJNoxEKEoR9A</t>
  </si>
  <si>
    <t>Food Trucks, Restaurants, Food, Tex-Mex</t>
  </si>
  <si>
    <t>Juan Taco</t>
  </si>
  <si>
    <t>Trade And Tryon</t>
  </si>
  <si>
    <t>io9bMYKycOpNIINO_h89jw</t>
  </si>
  <si>
    <t>Bars, Restaurants, Lounges, Caribbean, Nightlife</t>
  </si>
  <si>
    <t>Mynt Restaurant &amp; Lounge</t>
  </si>
  <si>
    <t>1508 S Mint St</t>
  </si>
  <si>
    <t>OcCsO9gyNkojXdQs086Urg</t>
  </si>
  <si>
    <t>Burgers, Coffee &amp; Tea, Restaurants, Food, Fast Food</t>
  </si>
  <si>
    <t>9725 Callabridge Ct</t>
  </si>
  <si>
    <t>fSznh4dR6TQXX9-TOEraJg</t>
  </si>
  <si>
    <t>Restaurants, Wine Bars, Bars, Bakeries, Art Galleries, Shopping, Nightlife, Beer, Wine &amp; Spirits, Arts &amp; Entertainment, Food</t>
  </si>
  <si>
    <t>The Gallery</t>
  </si>
  <si>
    <t>1320 S Church St</t>
  </si>
  <si>
    <t>eMz8i2LpafE6D-ZhzDtglw</t>
  </si>
  <si>
    <t>Restaurants, American (New), Seafood, Latin American, Comfort Food, Peruvian, Spanish</t>
  </si>
  <si>
    <t>Pio Pio Ballantyne</t>
  </si>
  <si>
    <t>15025 Lancaster Hwy, Ste D-1</t>
  </si>
  <si>
    <t>v85oQmC-zt-S1KBpdAm_Pw</t>
  </si>
  <si>
    <t>Sandwiches, Food, Convenience Stores, Restaurants</t>
  </si>
  <si>
    <t>Outtakes</t>
  </si>
  <si>
    <t>13510 Ballantyne Corporate Pl</t>
  </si>
  <si>
    <t>uPNm49RRDeud_jfyNCYzfw</t>
  </si>
  <si>
    <t>Restaurants, Greek, Sandwiches, American (New)</t>
  </si>
  <si>
    <t>2601 Freedom Dr</t>
  </si>
  <si>
    <t>Oq76C1wZosdT0ZrA3dJPxQ</t>
  </si>
  <si>
    <t>Asian Fusion, Sushi Bars, Chinese, Restaurants, Szechuan</t>
  </si>
  <si>
    <t>Chuan Wang Fu</t>
  </si>
  <si>
    <t>PEVEN4McCgs4z8SndFbbYg</t>
  </si>
  <si>
    <t>Cafes, Restaurants, Wraps, Breakfast &amp; Brunch</t>
  </si>
  <si>
    <t>Karmale Cafe</t>
  </si>
  <si>
    <t>5701 Executive Center Dr</t>
  </si>
  <si>
    <t>WPV0ucYjnb2HOrNxSopv6A</t>
  </si>
  <si>
    <t>Restaurants, Italian, Pizza, Bars, Nightlife</t>
  </si>
  <si>
    <t>1701 E 7th St</t>
  </si>
  <si>
    <t>ApAzthiFRKuL-yJo1HMFvQ</t>
  </si>
  <si>
    <t>American (Traditional), Bars, Nightlife, Sports Bars, Breakfast &amp; Brunch, Restaurants, Sandwiches</t>
  </si>
  <si>
    <t>Dilworth Neighborhood Grille</t>
  </si>
  <si>
    <t>911 E Morehead St</t>
  </si>
  <si>
    <t>RApd_uvsR3dDNekgc1Emrw</t>
  </si>
  <si>
    <t>Food, Restaurants, Do-It-Yourself Food, Chinese, Fondue, Hot Pot, Burgers, Tapas Bars</t>
  </si>
  <si>
    <t>Boiling Pot</t>
  </si>
  <si>
    <t>7010 Smith Corners Blvd, Ste F</t>
  </si>
  <si>
    <t>YXsu4fVoubcXvxZP-eT2vw</t>
  </si>
  <si>
    <t>Restaurants, Seafood, Japanese, Cajun/Creole</t>
  </si>
  <si>
    <t>Yaki Asia Fresh</t>
  </si>
  <si>
    <t>1431 Sardis Rd N</t>
  </si>
  <si>
    <t>4V9g4wKy8xSim9HRgtJdBA</t>
  </si>
  <si>
    <t>Restaurants, Delis, Food, Grocery</t>
  </si>
  <si>
    <t>Laurel Market</t>
  </si>
  <si>
    <t>1515 South Blvd</t>
  </si>
  <si>
    <t>tN1Oxm7ehAwN3g8JrGu2ig</t>
  </si>
  <si>
    <t>Soul Food, Fast Food, Restaurants</t>
  </si>
  <si>
    <t>Dave &amp; Fran's A Taste Of Southern Cooking</t>
  </si>
  <si>
    <t>jZUizCQ4nRmyovBeuUniGQ</t>
  </si>
  <si>
    <t>Burgers, Restaurants, Pizza, American (New)</t>
  </si>
  <si>
    <t>Stone Mountain Grill</t>
  </si>
  <si>
    <t>15719 John J Delaney Dr</t>
  </si>
  <si>
    <t>FhwytOHcfsnYM4p1rInjZQ</t>
  </si>
  <si>
    <t>Food, Nightlife, American (Traditional), Greek, Pubs, American (New), Burgers, Beer, Wine &amp; Spirits, Bars, Southern, Restaurants</t>
  </si>
  <si>
    <t>Greystone Pub</t>
  </si>
  <si>
    <t>3039 S Blvd</t>
  </si>
  <si>
    <t>fHkiH52AATeRa8Fi2yStpQ</t>
  </si>
  <si>
    <t>Asian Fusion, Chinese, Sushi Bars, Restaurants, Japanese</t>
  </si>
  <si>
    <t>Golden Taipei</t>
  </si>
  <si>
    <t>8511 Davis Lake Pkwy</t>
  </si>
  <si>
    <t>aybwecuzAa-OuIt1i3_IDQ</t>
  </si>
  <si>
    <t>Fast Food, American (Traditional), Restaurants, Burgers</t>
  </si>
  <si>
    <t>Foster's Grille</t>
  </si>
  <si>
    <t>8520 Pit Stop Rd, Ste 10</t>
  </si>
  <si>
    <t>qeixzOYuWFPy8uKrOfuapg</t>
  </si>
  <si>
    <t>4435 Randolph Rd</t>
  </si>
  <si>
    <t>Azy2vmC47uHSkZE2fdvBjA</t>
  </si>
  <si>
    <t>Breweries, Brewpubs, Beer Gardens, Restaurants, Food, American (New), Nightlife</t>
  </si>
  <si>
    <t>Brewers at 4001 Yancey</t>
  </si>
  <si>
    <t>4001-A Yancey Rd</t>
  </si>
  <si>
    <t>7olK8lUgnv5O8PyvN8t_Yg</t>
  </si>
  <si>
    <t>Seafood, Restaurants, American (Traditional), Burgers</t>
  </si>
  <si>
    <t>Lure Oyster Bar</t>
  </si>
  <si>
    <t>8420 Rea Rd</t>
  </si>
  <si>
    <t>Gi9kf5rwsg7VH4hGnRaCyQ</t>
  </si>
  <si>
    <t>American (New), Bakeries, Restaurants, Food, Cafes</t>
  </si>
  <si>
    <t>Wooden Spoon</t>
  </si>
  <si>
    <t>10635 Park Rd</t>
  </si>
  <si>
    <t>BJb7tRkFKouMM5dasjXghg</t>
  </si>
  <si>
    <t>Restaurants, Breakfast &amp; Brunch, American (New), Diners, American (Traditional), Waffles</t>
  </si>
  <si>
    <t>6637 E Independence Blvd</t>
  </si>
  <si>
    <t>Err-UlwpMFaCIQ4mAVxmzQ</t>
  </si>
  <si>
    <t>Nightlife, Food, Bars, Restaurants, Tapas/Small Plates, Beer Bar, Beer, Wine &amp; Spirits, American (New), Wine Bars, Desserts</t>
  </si>
  <si>
    <t>Foxcroft Wine Co - Dilworth</t>
  </si>
  <si>
    <t>1235 East Blvd, Ste I</t>
  </si>
  <si>
    <t>20vCzyibdvXOxW42h9v_MQ</t>
  </si>
  <si>
    <t>California Pizza Kitchen</t>
  </si>
  <si>
    <t>HFSyU3JO8PAg34BCsPMo0g</t>
  </si>
  <si>
    <t>Picante Mexican Grill</t>
  </si>
  <si>
    <t>1500 W Morehead St, Ste A</t>
  </si>
  <si>
    <t>boug058JCnbFkQp-K_fXQA</t>
  </si>
  <si>
    <t>222 S Tryon St</t>
  </si>
  <si>
    <t>I4c6K29bATfpMaM6uViLRQ</t>
  </si>
  <si>
    <t>Shopping, Sports Bars, Restaurants, Nightlife, Pool &amp; Billiards, Pool Halls, American (Traditional), Bars, American (New)</t>
  </si>
  <si>
    <t>The Press Box Bar &amp; Grill</t>
  </si>
  <si>
    <t>9609 N Tryon St, Ste A</t>
  </si>
  <si>
    <t>LpyndkMvevIQA-JHoReHNw</t>
  </si>
  <si>
    <t>Restaurants, Pakistani, Indian</t>
  </si>
  <si>
    <t>Jaipur Indian Restaurant</t>
  </si>
  <si>
    <t>5909 South Blvd</t>
  </si>
  <si>
    <t>kP0v0HJigbjhlpVyWgkvuw</t>
  </si>
  <si>
    <t>Thanh Huong Cafe</t>
  </si>
  <si>
    <t>3023 Central Ave, #C</t>
  </si>
  <si>
    <t>hvjm0ebS1TVB4v2XzebFRQ</t>
  </si>
  <si>
    <t>Coffee &amp; Tea, Restaurants, Sandwiches, Food</t>
  </si>
  <si>
    <t>Blynk Organic</t>
  </si>
  <si>
    <t>Bank of American Plz, 101 S Tryon St</t>
  </si>
  <si>
    <t>tjXMambMl-MeGZGs6s_tiA</t>
  </si>
  <si>
    <t>Lola's</t>
  </si>
  <si>
    <t>300 S Brevard St</t>
  </si>
  <si>
    <t>Il6PvYFjolMt-6wahwarkA</t>
  </si>
  <si>
    <t>Mexquite Mexican Eatery</t>
  </si>
  <si>
    <t>Sc2Wm4-KoDOdbGqgiHpMew</t>
  </si>
  <si>
    <t>Seafood, Restaurants, American (Traditional), Chicken Wings</t>
  </si>
  <si>
    <t>America's Best Wings - Charlotte</t>
  </si>
  <si>
    <t>9630 University City Blvd, Unit Q</t>
  </si>
  <si>
    <t>hXtXctVIdBGw37_heKHRjQ</t>
  </si>
  <si>
    <t>Vegan, Sandwiches, Chicken Wings, Restaurants, Specialty Food, American (Traditional), Cheesesteaks, Food, Desserts, Pizza</t>
  </si>
  <si>
    <t>Why Not Pizza</t>
  </si>
  <si>
    <t>7008 E W T Harris Blvd, Ste 1</t>
  </si>
  <si>
    <t>U9tVOCkuhs-1rR8Ol5nO0g</t>
  </si>
  <si>
    <t>Esposito's Pizzeria</t>
  </si>
  <si>
    <t>901 E 4th St, Ste. D</t>
  </si>
  <si>
    <t>FrfzI901uS2bU2kgUkqaVw</t>
  </si>
  <si>
    <t>Seafood, Bars, Restaurants, Nightlife, Cocktail Bars</t>
  </si>
  <si>
    <t>Pearlz Oyster Bar</t>
  </si>
  <si>
    <t>7804 Rea Rd</t>
  </si>
  <si>
    <t>ARV5siBwOGimYqK-5vGT4A</t>
  </si>
  <si>
    <t>9300 South Blvd</t>
  </si>
  <si>
    <t>p-J9iJgeHmPGk2jFAM0WnA</t>
  </si>
  <si>
    <t>Red Chillez</t>
  </si>
  <si>
    <t>14027 Conlan Cir A1</t>
  </si>
  <si>
    <t>9QnlJICgw57Xl1r7ZBKUWQ</t>
  </si>
  <si>
    <t>5612 Albemarle Rd, Ste 100</t>
  </si>
  <si>
    <t>WRpFnxnh3x_EZ_I91DZbPA</t>
  </si>
  <si>
    <t>Restaurants, Food, Breakfast &amp; Brunch, Bagels, Coffee &amp; Tea</t>
  </si>
  <si>
    <t>The Original Brooklyn Water Bagel</t>
  </si>
  <si>
    <t>15105 John J Delaney Dr, Ste F</t>
  </si>
  <si>
    <t>cFnumFhvgt_48p9v_EGl7g</t>
  </si>
  <si>
    <t>Cocktail Bars, Bars, Restaurants, Salad, Bakeries, Food, Wine Bars, Coffee &amp; Tea, Gluten-Free, Nightlife</t>
  </si>
  <si>
    <t>Rush Espresso</t>
  </si>
  <si>
    <t>120 Brevard Ct</t>
  </si>
  <si>
    <t>ZwZmoaFB5oo-pkOMBeLZDA</t>
  </si>
  <si>
    <t>Crazy Taco</t>
  </si>
  <si>
    <t>Yd9haFUDaoLxBk14xgmTsA</t>
  </si>
  <si>
    <t>Burgers, American (Traditional), Chicken Wings, Sports Bars, Restaurants, Nightlife, Bars</t>
  </si>
  <si>
    <t>Stool Pigeons Coop &amp; Grill</t>
  </si>
  <si>
    <t>9609 N Tryon St</t>
  </si>
  <si>
    <t>ajW6yk5Rqo6DGOVCK77ePg</t>
  </si>
  <si>
    <t>American (New), Cafes, Restaurants</t>
  </si>
  <si>
    <t>College Place</t>
  </si>
  <si>
    <t>H9OZXoyTd2X8u8hqPfi4ZA</t>
  </si>
  <si>
    <t>American (New), Restaurants, Burgers, Breakfast &amp; Brunch, Diners, Seafood</t>
  </si>
  <si>
    <t>Sunrise Restaurant</t>
  </si>
  <si>
    <t>8923 Albemarle Rd</t>
  </si>
  <si>
    <t>KrAbQtbH6NWSf3Vlzl5jjg</t>
  </si>
  <si>
    <t>Lupitas Carniceria &amp; Tortilleria</t>
  </si>
  <si>
    <t>5316 South Blvd</t>
  </si>
  <si>
    <t>8xTuXU5uZ85WF-ZGqDNv_w</t>
  </si>
  <si>
    <t>Bars, Restaurants, Southern, American (New), Nightlife</t>
  </si>
  <si>
    <t>Leroy Fox South End</t>
  </si>
  <si>
    <t>1616 Camden Rd, Ste 150</t>
  </si>
  <si>
    <t>bfqt-1aJM16SlRVFd0w43g</t>
  </si>
  <si>
    <t>Hotels, Cafes, Hotels &amp; Travel, Event Planning &amp; Services, Restaurants</t>
  </si>
  <si>
    <t>Arlington Suites</t>
  </si>
  <si>
    <t>4416 S Tryon St</t>
  </si>
  <si>
    <t>WlMegJTLkMdo6FO6Vfnq0Q</t>
  </si>
  <si>
    <t>Seafood, Soul Food, Restaurants, Desserts, Salad, Food</t>
  </si>
  <si>
    <t>Sunset Soul Food</t>
  </si>
  <si>
    <t>5009 Beatties Ford Rd, Ste 112</t>
  </si>
  <si>
    <t>dPWHFb_sDduzcJdOZSqR5Q</t>
  </si>
  <si>
    <t>Restaurants, Chicken Wings, American (Traditional)</t>
  </si>
  <si>
    <t>Wing King Cafe</t>
  </si>
  <si>
    <t>13209 Carowinds Blvd, Ste a</t>
  </si>
  <si>
    <t>vqG1Z2XpS_PryPsfY0CSng</t>
  </si>
  <si>
    <t>Steakhouses, Seafood, Bars, American (Traditional), Restaurants, Wine Bars, Nightlife</t>
  </si>
  <si>
    <t>The Capital Grille</t>
  </si>
  <si>
    <t>7b634KHxYwZ3nuMrf1Sasg</t>
  </si>
  <si>
    <t>Restaurants, Sandwiches, Juice Bars &amp; Smoothies, Food, Salad</t>
  </si>
  <si>
    <t>Tropical Smoothie Cafe</t>
  </si>
  <si>
    <t>1111 Metropolitan Avenue, Suite 110</t>
  </si>
  <si>
    <t>37XExTruLjOLqnTERYy8aw</t>
  </si>
  <si>
    <t>Food, Ethnic Food, Japanese, Restaurants, Specialty Food</t>
  </si>
  <si>
    <t>Tin Tin Box &amp; Noodles</t>
  </si>
  <si>
    <t>Gc2aFY3Q7a6oXuARQXvvEA</t>
  </si>
  <si>
    <t>Noble's Restaurant</t>
  </si>
  <si>
    <t>6801 Morrison Blvd</t>
  </si>
  <si>
    <t>chcfXvsOD44UBYgX118vZQ</t>
  </si>
  <si>
    <t>Halal, African, Restaurants</t>
  </si>
  <si>
    <t>Jamile's Cuisine International</t>
  </si>
  <si>
    <t>4808 Central Ave</t>
  </si>
  <si>
    <t>hAKkQPiGIj8o03_pUBY_dA</t>
  </si>
  <si>
    <t>Ranch House</t>
  </si>
  <si>
    <t>5614 Wilkinson Blvd</t>
  </si>
  <si>
    <t>pK51NY3coNYqAyanojMtGA</t>
  </si>
  <si>
    <t>Breakfast &amp; Brunch, Restaurants, American (New), Southern</t>
  </si>
  <si>
    <t>Nolia Restaurant</t>
  </si>
  <si>
    <t>y6Fmhz2CceimbgvxNVgE-w</t>
  </si>
  <si>
    <t>Los Arcos</t>
  </si>
  <si>
    <t>8619 Jw Clay Blvd</t>
  </si>
  <si>
    <t>p2sUxhNkYr39LkLL3b8yBw</t>
  </si>
  <si>
    <t>Performing Arts, Arts &amp; Entertainment, Nightlife, American (New), Music Venues, Restaurants</t>
  </si>
  <si>
    <t>UpStage</t>
  </si>
  <si>
    <t>IVtcJDdYZpWNPWfYz_i5OA</t>
  </si>
  <si>
    <t>Sandwiches, Caterers, Event Planning &amp; Services, Restaurants, Soup, Pizza, Food</t>
  </si>
  <si>
    <t>Newk's Eatery</t>
  </si>
  <si>
    <t>CAmPPSKoFCd8zo2bxRxRkA</t>
  </si>
  <si>
    <t>Dino's Family Restaurant</t>
  </si>
  <si>
    <t>350 E Sugar Creek Rd</t>
  </si>
  <si>
    <t>EjBz4Lx_dg-_gwQQJMzKtA</t>
  </si>
  <si>
    <t>Taqueria Los Altos</t>
  </si>
  <si>
    <t>8625 Monroe Rd, Ste D</t>
  </si>
  <si>
    <t>SsEzi09d8WIekBrcNKc10g</t>
  </si>
  <si>
    <t>Salvadoran, Restaurants, Latin American</t>
  </si>
  <si>
    <t>Las Pupusas Deli</t>
  </si>
  <si>
    <t>2615 Little Rock Rd</t>
  </si>
  <si>
    <t>83pczYM9HQPtXMjWAMHdPg</t>
  </si>
  <si>
    <t>Food, Restaurants, Food Trucks, Asian Fusion, Himalayan/Nepalese</t>
  </si>
  <si>
    <t>Momo Truck Charlotte</t>
  </si>
  <si>
    <t>3500 Labrobe Dr, Ste 300</t>
  </si>
  <si>
    <t>yZJXI548rFihEg0NVR1Kjw</t>
  </si>
  <si>
    <t>Restaurants, Food, Caribbean, Dominican, Latin American</t>
  </si>
  <si>
    <t>Saona Dominican Restaurant &amp; Bar</t>
  </si>
  <si>
    <t>530 Eastway Dr</t>
  </si>
  <si>
    <t>Oi-u4KqrcZbIWSYKnh7mJA</t>
  </si>
  <si>
    <t>Fortune Cookie II</t>
  </si>
  <si>
    <t>8943 S Tryon St, Unit Q</t>
  </si>
  <si>
    <t>9YRJ2k5oaX8wZEizI0jciw</t>
  </si>
  <si>
    <t>2801 Boyer St</t>
  </si>
  <si>
    <t>oFwr1It81SObzC3MZ66vqw</t>
  </si>
  <si>
    <t>Mama's Caribbean Bar &amp; Grill</t>
  </si>
  <si>
    <t>1504 Central Ave</t>
  </si>
  <si>
    <t>crOZthKtsABnH_nvy0w6YA</t>
  </si>
  <si>
    <t>Caribbean, Caterers, Restaurants, Specialty Food, Desserts, Food, Event Planning &amp; Services, Seafood</t>
  </si>
  <si>
    <t>Irie Vibes Caribbean Restaurant &amp; Catering</t>
  </si>
  <si>
    <t>2729 N Tryon St</t>
  </si>
  <si>
    <t>vE_hWF21gmg7CWZX7H6HXg</t>
  </si>
  <si>
    <t>Lawrence Caribbean Restaurant</t>
  </si>
  <si>
    <t>3011 West Blvd</t>
  </si>
  <si>
    <t>rH1dDxDThv_DGimcWah8fA</t>
  </si>
  <si>
    <t>Event Planning &amp; Services, Ice Cream &amp; Frozen Yogurt, Bakeries, Desserts, Restaurants, Caterers, Food</t>
  </si>
  <si>
    <t>Ben &amp; Jerry's</t>
  </si>
  <si>
    <t>507 Providence Rd</t>
  </si>
  <si>
    <t>oMgO5GzgaJ7iyzZ5_w70hQ</t>
  </si>
  <si>
    <t>7804 Fairview Rd</t>
  </si>
  <si>
    <t>dRib7YK9Mtqgvfqsf-PKrw</t>
  </si>
  <si>
    <t>Uncle Maddio's Pizza Joint</t>
  </si>
  <si>
    <t>345 S Kings Dr</t>
  </si>
  <si>
    <t>dk7VpR5Xh7t28U99ASZz7A</t>
  </si>
  <si>
    <t>Brazilian, Restaurants, Steakhouses, Gluten-Free</t>
  </si>
  <si>
    <t>Brazz Carvery &amp; Brazilian Steakhouse</t>
  </si>
  <si>
    <t>500 S College St, Ste 150</t>
  </si>
  <si>
    <t>auwQg_3MFcR47lWY5qV0VQ</t>
  </si>
  <si>
    <t>The Village</t>
  </si>
  <si>
    <t>3208 N Graham St</t>
  </si>
  <si>
    <t>PvGyzCh1PTga4ePE2-iB2Q</t>
  </si>
  <si>
    <t>Restaurants, Southern, Cajun/Creole, Soul Food</t>
  </si>
  <si>
    <t>Freshwaters</t>
  </si>
  <si>
    <t>K8-LLbISfbE9ObRcshKFpg</t>
  </si>
  <si>
    <t>8405 Ikea Blvd</t>
  </si>
  <si>
    <t>wc2u2JM4Fx2smNwuIYxDzg</t>
  </si>
  <si>
    <t>American (New), Restaurants, Cafes</t>
  </si>
  <si>
    <t>VdyTesw5gfEOlMPs7pcH0g</t>
  </si>
  <si>
    <t>Chingari Fine Indian Cuisine</t>
  </si>
  <si>
    <t>230 EWT Harris Blvd, Ste C6</t>
  </si>
  <si>
    <t>cHnsUt2qd5OCLfYwdHh9CQ</t>
  </si>
  <si>
    <t>Burgers, American (New), Fast Food, Restaurants</t>
  </si>
  <si>
    <t>12820 S Tryon St, Ste 150</t>
  </si>
  <si>
    <t>ud45YT67UCbtNfRxNeR2Yg</t>
  </si>
  <si>
    <t>Restaurants, Chinese, Buffets, Specialty Food, Food, Ethnic Food</t>
  </si>
  <si>
    <t>Dragon House Chinese Buffet</t>
  </si>
  <si>
    <t>355 Woodlawn Rd</t>
  </si>
  <si>
    <t>G6_M3Dg-gjwVIbRGLIRBkw</t>
  </si>
  <si>
    <t>Ethnic Food, Restaurants, Chinese, Food, Specialty Food</t>
  </si>
  <si>
    <t>Chopstick</t>
  </si>
  <si>
    <t>9626 Monroe Rd</t>
  </si>
  <si>
    <t>J4WxIqKaKSGNjtxTBPhLBQ</t>
  </si>
  <si>
    <t>Seafood, Restaurants, American (New), Nightlife, Bars, Cocktail Bars</t>
  </si>
  <si>
    <t>Bonefish Grill</t>
  </si>
  <si>
    <t>7520 Pineville-Matthews Rd</t>
  </si>
  <si>
    <t>PylSakG8OtbqYMZl4weLBw</t>
  </si>
  <si>
    <t>Fast Food, Restaurants, Breakfast &amp; Brunch, Chicken Shop, Southern</t>
  </si>
  <si>
    <t>310 E Trade St, Ste A-150</t>
  </si>
  <si>
    <t>3cJ3wf6g0sCwATTaM1o8DA</t>
  </si>
  <si>
    <t>Breakfast &amp; Brunch, Restaurants, Diners</t>
  </si>
  <si>
    <t>Knife &amp; Fork</t>
  </si>
  <si>
    <t>6416 Albemarle Rd</t>
  </si>
  <si>
    <t>WAmCIDi3qn2VI7OUqZfjYQ</t>
  </si>
  <si>
    <t>Fast Food, Restaurants, American (Traditional), Nightlife, Burgers, Sports Bars, Bars</t>
  </si>
  <si>
    <t>Solstice Tavern</t>
  </si>
  <si>
    <t>3221 N Davidson St</t>
  </si>
  <si>
    <t>iT_u1VSw03Mr9ze5oJsGew</t>
  </si>
  <si>
    <t>Breakfast &amp; Brunch, Salad, Diners, Pizza, Restaurants</t>
  </si>
  <si>
    <t>101 S Tryon St, Ste 8</t>
  </si>
  <si>
    <t>Yo4mhKByMi_HZ730cTtoOQ</t>
  </si>
  <si>
    <t>Food, Soul Food, Restaurants</t>
  </si>
  <si>
    <t>Floyd's</t>
  </si>
  <si>
    <t>WS0WI4-MV_Kcg-vcWuZGQQ</t>
  </si>
  <si>
    <t>Fast Food, Sandwiches, Restaurants, Salad</t>
  </si>
  <si>
    <t>5818-C4 Highland Shoppes Dr</t>
  </si>
  <si>
    <t>R04xgckeoM4d2AR9X4bL5Q</t>
  </si>
  <si>
    <t>2712 W Mallard Creek-Church Rd, Ste 420</t>
  </si>
  <si>
    <t>FGy4UJ1Qri_KruPZiPmWYQ</t>
  </si>
  <si>
    <t>Restaurants, Caterers, Event Planning &amp; Services, Peruvian</t>
  </si>
  <si>
    <t>Viva Chicken</t>
  </si>
  <si>
    <t>12206 Copper Way</t>
  </si>
  <si>
    <t>yY2fvUV7g5yAHIKcUfJqIA</t>
  </si>
  <si>
    <t>Sandwiches, Bagels, Food, Restaurants</t>
  </si>
  <si>
    <t>The Great American Bagel Bakery</t>
  </si>
  <si>
    <t>Charlotte Douglas International Airport</t>
  </si>
  <si>
    <t>dlt1ugrobTjdjX6U73gbsw</t>
  </si>
  <si>
    <t>Carolina Grill</t>
  </si>
  <si>
    <t>1816 Galleria Blvd.</t>
  </si>
  <si>
    <t>uM8bJAZ2BHadN4NPNzkaDA</t>
  </si>
  <si>
    <t>French, Southern, Restaurants, American (New)</t>
  </si>
  <si>
    <t>Ratcliffe On The Green</t>
  </si>
  <si>
    <t>435 S Tryon St, Ste 100</t>
  </si>
  <si>
    <t>jBdvQtSzYXTm4myyeBfx0g</t>
  </si>
  <si>
    <t>Common House</t>
  </si>
  <si>
    <t>f316rUVOmOM2VidXN2KAvg</t>
  </si>
  <si>
    <t>American (New), Nightlife, Restaurants, Bars</t>
  </si>
  <si>
    <t>131 Main</t>
  </si>
  <si>
    <t>Gck19imUtC4SF8Ff9w_HGg</t>
  </si>
  <si>
    <t>8903 S Tryon St</t>
  </si>
  <si>
    <t>WCm95Wt2AQicjH3ip-az6A</t>
  </si>
  <si>
    <t>13000 S Tryon Rd</t>
  </si>
  <si>
    <t>CucyObcVxgqte8dH8nLopA</t>
  </si>
  <si>
    <t>Red Bowl</t>
  </si>
  <si>
    <t>10822 Providence Rd, Ste 100</t>
  </si>
  <si>
    <t>XVDR44P_74FmA0ANanm4CQ</t>
  </si>
  <si>
    <t>Pizza, Greek, Italian, Restaurants</t>
  </si>
  <si>
    <t>House of Pizza</t>
  </si>
  <si>
    <t>3640 Central Ave</t>
  </si>
  <si>
    <t>bm_PGQMGMjylitqkNIEzTw</t>
  </si>
  <si>
    <t>Tapas/Small Plates, Beer, Wine &amp; Spirits, Food, Italian, Restaurants</t>
  </si>
  <si>
    <t>Vivace</t>
  </si>
  <si>
    <t>1100 Metropolitan Ave, Bldg E, Ste 100</t>
  </si>
  <si>
    <t>biCO6zc-opMp-uJ6rkTENA</t>
  </si>
  <si>
    <t>Asian Fusion, Korean, Chicken Wings, Restaurants</t>
  </si>
  <si>
    <t>Bonchon - Woodlawn</t>
  </si>
  <si>
    <t>bGJNaX-6n5RIsmZEr5-qZg</t>
  </si>
  <si>
    <t>Light Rail Family Restaurant</t>
  </si>
  <si>
    <t>8045 S Blvd</t>
  </si>
  <si>
    <t>_CEoobNepzCNHxege05A5A</t>
  </si>
  <si>
    <t>Barbeque, Steakhouses, American (Traditional), Restaurants</t>
  </si>
  <si>
    <t>LongHorn Steakhouse</t>
  </si>
  <si>
    <t>8115 Old Mallard Creek Rd</t>
  </si>
  <si>
    <t>k27Tw7Gx1gEX5i8xkvXSnQ</t>
  </si>
  <si>
    <t>Bagels, Restaurants, Food, Bakeries, Breakfast &amp; Brunch</t>
  </si>
  <si>
    <t>Fourth Ward Bread Co.</t>
  </si>
  <si>
    <t>312 N Graham St</t>
  </si>
  <si>
    <t>7q1EE9wgGD4obY669MZhPQ</t>
  </si>
  <si>
    <t>8112 Idlewild Rd</t>
  </si>
  <si>
    <t>xNFpukRM_JJBUKVWf_vnww</t>
  </si>
  <si>
    <t>Latin American, Seafood, Peruvian, Restaurants</t>
  </si>
  <si>
    <t>Mily &amp; Lalo Peruvian Restaurant</t>
  </si>
  <si>
    <t>3210 N Sharon Amity Rd</t>
  </si>
  <si>
    <t>bI0Pmq0HeKLclIZ2488I4Q</t>
  </si>
  <si>
    <t>Event Planning &amp; Services, Restaurants, American (New), Caterers, Fast Food</t>
  </si>
  <si>
    <t>10001 Rea Rd</t>
  </si>
  <si>
    <t>toKFvCMLHS7K_mpaw3eMKQ</t>
  </si>
  <si>
    <t>Restaurants, Salvadoran, Latin American</t>
  </si>
  <si>
    <t>Copan Restaurant</t>
  </si>
  <si>
    <t>3607 N Sharon Amity</t>
  </si>
  <si>
    <t>GYyDF8gUs-Ni-5LX7ick-w</t>
  </si>
  <si>
    <t>Onoki Sushi Bar</t>
  </si>
  <si>
    <t>101 South Tryon St, Ste 18</t>
  </si>
  <si>
    <t>wiEQrYSNofc10q7Pm26b0w</t>
  </si>
  <si>
    <t>Bars, Food, Delis, Nightlife, Coffee &amp; Tea, Beer, Wine &amp; Spirits, Lounges, Farmers Market, Local Flavor, Restaurants</t>
  </si>
  <si>
    <t>1515 S Tryon St</t>
  </si>
  <si>
    <t>mILfcRQxAippB-Y6Bm4uiw</t>
  </si>
  <si>
    <t>Pizza, Restaurants, Chicken Wings, Italian</t>
  </si>
  <si>
    <t>3530 Mt Holly Hunterville Rd</t>
  </si>
  <si>
    <t>rLyJUCwMM1POt7RnFnSASg</t>
  </si>
  <si>
    <t>Southern, Bars, Cocktail Bars, Nightlife, American (New), Restaurants</t>
  </si>
  <si>
    <t>Stoke Charlotte</t>
  </si>
  <si>
    <t>100 West Trade Street</t>
  </si>
  <si>
    <t>vk4nczkxVD2tmbrMtKNB4w</t>
  </si>
  <si>
    <t>Specialty Food, Food, Barbeque, Restaurants</t>
  </si>
  <si>
    <t>Old Hickory House Restaurant</t>
  </si>
  <si>
    <t>6538 N Tryon St</t>
  </si>
  <si>
    <t>Ta90zFGKnzjZHQooIp17Tw</t>
  </si>
  <si>
    <t>Restaurants, Caterers, Food, Food Stands, Event Planning &amp; Services, Food Trucks, Street Vendors, Shaved Ice, Ice Cream &amp; Frozen Yogurt</t>
  </si>
  <si>
    <t>Philly's Italian Ice &amp; Mobile Eatery</t>
  </si>
  <si>
    <t>2ILK7gA2Ccl_imtfWFNUIA</t>
  </si>
  <si>
    <t>Salad, Restaurants, Juice Bars &amp; Smoothies, Sandwiches, Food</t>
  </si>
  <si>
    <t>Crisp Charlotte</t>
  </si>
  <si>
    <t>IR2MloP86D4l9KAKwSuMnQ</t>
  </si>
  <si>
    <t>Restaurants, Southern, Greek</t>
  </si>
  <si>
    <t>201 S College St</t>
  </si>
  <si>
    <t>EvWGuX0eqKcZvLRgtIFHZg</t>
  </si>
  <si>
    <t>American (Traditional), Bars, Breakfast &amp; Brunch, Restaurants, Nightlife</t>
  </si>
  <si>
    <t>617 S Sharon Amity Rd</t>
  </si>
  <si>
    <t>M10n-ivjDkkdLaxIYNafFQ</t>
  </si>
  <si>
    <t>Restaurants, Barbeque, Nightlife, Bars, Southern</t>
  </si>
  <si>
    <t>225 E 6th St, Ste A</t>
  </si>
  <si>
    <t>iYF5pOkwltgKUWIzDNKx7Q</t>
  </si>
  <si>
    <t>Restaurants, Desserts, Food, Fast Food, American (Traditional), Hot Dogs, Burgers</t>
  </si>
  <si>
    <t>10645 Park Rd</t>
  </si>
  <si>
    <t>Wj1rkppz4Hg01aIQznmaMA</t>
  </si>
  <si>
    <t>Food Stands, Specialty Food, Food, Caterers, Event Planning &amp; Services, Restaurants</t>
  </si>
  <si>
    <t>Zone 7 Foods</t>
  </si>
  <si>
    <t>4113 Monroe Rd</t>
  </si>
  <si>
    <t>SRz9Q_jiOIO3ZVEtRSOnag</t>
  </si>
  <si>
    <t>Villa Pizza</t>
  </si>
  <si>
    <t>4400 Sharon Rd, Ste G35</t>
  </si>
  <si>
    <t>0rrSv3p1SngSYmyNEvWZVw</t>
  </si>
  <si>
    <t>Restaurants, Bars, American (Traditional), Chicken Wings, Gastropubs, Nightlife, American (New), Cocktail Bars</t>
  </si>
  <si>
    <t>TapHaus49</t>
  </si>
  <si>
    <t>tFrMJBNNNiqjjpJNGVtMKQ</t>
  </si>
  <si>
    <t>Es-MfCr79uHI-CSrzkea-w</t>
  </si>
  <si>
    <t>Maria Bonita</t>
  </si>
  <si>
    <t>wlRFPldYNvhGJVFwRjGN_A</t>
  </si>
  <si>
    <t>130 Eastway Dr</t>
  </si>
  <si>
    <t>5uQCZLYp3jjNjg7CSfeaPw</t>
  </si>
  <si>
    <t>Hot Dogs, Food, Coffee &amp; Tea, Restaurants, Burgers, Fast Food</t>
  </si>
  <si>
    <t>3058 Eastway Dr</t>
  </si>
  <si>
    <t>Un0QXKDscxlI_yi3u14ALA</t>
  </si>
  <si>
    <t>Chicken Shop, Breakfast &amp; Brunch, Restaurants, Fast Food</t>
  </si>
  <si>
    <t>TrWGE-FUlvwQ2HBSycEkCg</t>
  </si>
  <si>
    <t>Cafes, Restaurants, American (Traditional), Delis</t>
  </si>
  <si>
    <t>Stella's Cafe</t>
  </si>
  <si>
    <t>12820 S Tyron St</t>
  </si>
  <si>
    <t>06graki4XxJJJp5b8H9aGg</t>
  </si>
  <si>
    <t>Skillets</t>
  </si>
  <si>
    <t>11306 N Community House Rd</t>
  </si>
  <si>
    <t>J8xRTPH86ICMzsSuYdQvVQ</t>
  </si>
  <si>
    <t>Sports Bars, Food, Beer, Wine &amp; Spirits, Bars, Restaurants, Delis, Nightlife</t>
  </si>
  <si>
    <t>Phil's Deli New York Deli &amp; Tavern</t>
  </si>
  <si>
    <t>H-PmFfqAzQtWTS0XeWC_lw</t>
  </si>
  <si>
    <t>9820 E Rea Rd</t>
  </si>
  <si>
    <t>ZGaW5a7wxXxUgGTtbFqNxg</t>
  </si>
  <si>
    <t>Diners, Restaurants, American (Traditional), Greek, Cafes, Mediterranean, Breakfast &amp; Brunch</t>
  </si>
  <si>
    <t>The Mad Greek of Charlotte - An Authentic Greek Cafe</t>
  </si>
  <si>
    <t>5011 South Blvd</t>
  </si>
  <si>
    <t>KoYooLJpjWKQoHJkF3fsGA</t>
  </si>
  <si>
    <t>Steakhouses, Sushi Bars, Restaurants, Japanese</t>
  </si>
  <si>
    <t>Kabuto Japanese Steakhouse And Sushi Bar</t>
  </si>
  <si>
    <t>7724 Pineville-Matthews Rd</t>
  </si>
  <si>
    <t>9gQyf3h7XK0lKJYLGcIYlA</t>
  </si>
  <si>
    <t>Fu Shing II</t>
  </si>
  <si>
    <t>8134 Mt Holly-Huntersville Rd</t>
  </si>
  <si>
    <t>Gmdb6fOoPr-SZt0soRjwzA</t>
  </si>
  <si>
    <t>Restaurants, Seafood, Caribbean, Comfort Food, Vegetarian, Soup, Breakfast &amp; Brunch</t>
  </si>
  <si>
    <t>Quidleys Delight</t>
  </si>
  <si>
    <t>10901 University City Blvd</t>
  </si>
  <si>
    <t>6lgnxOjKnGF_csg0caHB9A</t>
  </si>
  <si>
    <t>Nick's Cafe</t>
  </si>
  <si>
    <t>6302 Fairview Rd</t>
  </si>
  <si>
    <t>HZrlGpJifd5kDi9ADz37iQ</t>
  </si>
  <si>
    <t>Cajun/Creole, Restaurants, Chicken Wings, Fast Food, American (Traditional), Sandwiches</t>
  </si>
  <si>
    <t>6011 Albemarle Rd</t>
  </si>
  <si>
    <t>lJbMyOToELHVtdpBTkIieg</t>
  </si>
  <si>
    <t>American (Traditional), Bars, Restaurants, Cafes, Nightlife</t>
  </si>
  <si>
    <t>Rainbow Cafe</t>
  </si>
  <si>
    <t>400 S Tryon St, Ste M1</t>
  </si>
  <si>
    <t>BU3i_2lbQQkkf3Iaw42A-A</t>
  </si>
  <si>
    <t>Delis, Grocery, Restaurants, Food</t>
  </si>
  <si>
    <t>2123 Beatties Ford Rd</t>
  </si>
  <si>
    <t>sS2IKdaUne_8QwiAl6iyfg</t>
  </si>
  <si>
    <t>Soup, Noodles, Asian Fusion, Restaurants, Malaysian</t>
  </si>
  <si>
    <t>Malaya Kitchen</t>
  </si>
  <si>
    <t>8200-400 Providence Rd</t>
  </si>
  <si>
    <t>2mVqpQyyeRK44VxNAYMuAw</t>
  </si>
  <si>
    <t>Peruvian, Restaurants</t>
  </si>
  <si>
    <t>11641 Waverly Center Dr, Ste K1</t>
  </si>
  <si>
    <t>4O5YJJz4Tq51UcrTLT-7sw</t>
  </si>
  <si>
    <t>Nightlife, Specialty Food, Food, Bars, Restaurants, Southern</t>
  </si>
  <si>
    <t>The Summit Room</t>
  </si>
  <si>
    <t>l9tFVg7r7QXuLnCywMQl7Q</t>
  </si>
  <si>
    <t>Restaurants, Bars, Cocktail Bars, American (New), Pubs, Nightlife, Beer Bar</t>
  </si>
  <si>
    <t>The Daily Tavern</t>
  </si>
  <si>
    <t>q_FpKCM8P6cabMZwlOuqTA</t>
  </si>
  <si>
    <t>Salad, Delis, Restaurants, Sandwiches</t>
  </si>
  <si>
    <t>4805 Park Rd, Ste 101</t>
  </si>
  <si>
    <t>D2mh7UebiiWJ1YYPLuXsyQ</t>
  </si>
  <si>
    <t>Pizza, Fast Food, Sandwiches, Restaurants</t>
  </si>
  <si>
    <t>9630 University City Blvd, Suite F</t>
  </si>
  <si>
    <t>g4M4QrZ4iFpM3PWzcsOeVA</t>
  </si>
  <si>
    <t>16015 Lancaster Hwy, Ste D</t>
  </si>
  <si>
    <t>Z54efU4JNaiYGtNzJwzx1A</t>
  </si>
  <si>
    <t>Sandwiches, American (New), Chicken Wings, Restaurants, Seafood</t>
  </si>
  <si>
    <t>Freshco</t>
  </si>
  <si>
    <t>rZOzhSA5HP6IdpxuN4v66w</t>
  </si>
  <si>
    <t>Event Planning &amp; Services, Restaurants, Japanese, Sushi Bars, Dance Clubs, Asian Fusion, Party &amp; Event Planning, Nightlife</t>
  </si>
  <si>
    <t>Nikko Japanese Restaurant &amp; Sushi Bar</t>
  </si>
  <si>
    <t>325 Arlington Ave, Ste 108</t>
  </si>
  <si>
    <t>UDTzKfDLCBKZO2zC9C9YSg</t>
  </si>
  <si>
    <t>Delis, Sandwiches, Fast Food, Restaurants</t>
  </si>
  <si>
    <t>9335 Center Lake Dr, Ste 130</t>
  </si>
  <si>
    <t>yquZns3fydnxOVLk9yIQ8A</t>
  </si>
  <si>
    <t>Greek, Restaurants, Southern, Fast Food</t>
  </si>
  <si>
    <t>Showmars South Park Mall</t>
  </si>
  <si>
    <t>4400 Sharon Rd, Ste G-29</t>
  </si>
  <si>
    <t>tTjw-qqFWC7JgZodcGPCwQ</t>
  </si>
  <si>
    <t>Burgers, Restaurants, Hot Dogs</t>
  </si>
  <si>
    <t>8428 University City Blvd</t>
  </si>
  <si>
    <t>rX55-phMl0GEDjNiwb8Cuw</t>
  </si>
  <si>
    <t>Sushi Bars, Restaurants, Seafood, Asian Fusion</t>
  </si>
  <si>
    <t>AZN Azian Cuizine</t>
  </si>
  <si>
    <t>a7PdFUBBlYSn1Ay4ocsTJA</t>
  </si>
  <si>
    <t>Pewter Rose Bistro</t>
  </si>
  <si>
    <t>fzrLcoVywMhMc_vjEigaDg</t>
  </si>
  <si>
    <t>Sabor Latin Street Grill - South End</t>
  </si>
  <si>
    <t>1616 Camden Rd</t>
  </si>
  <si>
    <t>8Z72HW5ydzQFydUxZglurg</t>
  </si>
  <si>
    <t>Asian Fusion, Sushi Bars, Buffets, Restaurants, Japanese</t>
  </si>
  <si>
    <t>Tokyo Grill &amp; Buffet</t>
  </si>
  <si>
    <t>8215 University City Blvd, Ste D</t>
  </si>
  <si>
    <t>kxDMvdpuatJJLKVgg19Z1Q</t>
  </si>
  <si>
    <t>Restaurants, Bars, American (New), American (Traditional), Nightlife, Comfort Food, Breakfast &amp; Brunch</t>
  </si>
  <si>
    <t>Trade Restaurant and Bar</t>
  </si>
  <si>
    <t>132 E Trade St</t>
  </si>
  <si>
    <t>Iyt5sJVjyCvVS2p8Xw0I6A</t>
  </si>
  <si>
    <t>Vegetarian, Mediterranean, Kebab, Salad, Restaurants, Southern, Greek, Sandwiches</t>
  </si>
  <si>
    <t>1055 Metropolitan Ave, Ste 110</t>
  </si>
  <si>
    <t>zHrvBbRMSV9SFqZC6qa20Q</t>
  </si>
  <si>
    <t>1300 South Blvd</t>
  </si>
  <si>
    <t>E3BTs8yFlVbZd20TknY00A</t>
  </si>
  <si>
    <t>Event Planning &amp; Services, Barbeque, Restaurants, Caterers, Southern, Sandwiches</t>
  </si>
  <si>
    <t>Jim 'N Nick's Bar-B-Q</t>
  </si>
  <si>
    <t>13840 Steele Creek Rd</t>
  </si>
  <si>
    <t>Nk2gNrMDZa9_7gmT3W-zjQ</t>
  </si>
  <si>
    <t>Thai Taste at University</t>
  </si>
  <si>
    <t>2025 E Arbors Dr, Ste 230</t>
  </si>
  <si>
    <t>ek5cepgrlLiswA0rF6rc7g</t>
  </si>
  <si>
    <t>Restaurants, Breakfast &amp; Brunch, Fast Food, Chicken Shop</t>
  </si>
  <si>
    <t>4322 Sunset Rd</t>
  </si>
  <si>
    <t>2q98StEpXcKOzNVI4WBmTw</t>
  </si>
  <si>
    <t>Food, Sandwiches, Pizza, Restaurants, American (New)</t>
  </si>
  <si>
    <t>Wolfgang Puck Kiosk</t>
  </si>
  <si>
    <t>sXj4ZFR9SmftEDXOzmZscw</t>
  </si>
  <si>
    <t>Karaoke, Bars, Restaurants, American (Traditional), Pool Halls, Nightlife, Gay Bars, Pubs, Sandwiches, Sports Bars</t>
  </si>
  <si>
    <t>Hartigan's Irish Pub</t>
  </si>
  <si>
    <t>F6BsfBmBJCg6X-0jGQbjDA</t>
  </si>
  <si>
    <t>Fast Food, Food, Burgers, Restaurants, Coffee &amp; Tea</t>
  </si>
  <si>
    <t>4440 S Tryon St</t>
  </si>
  <si>
    <t>PJ64Zdo0h2mQMmX7cpNJBA</t>
  </si>
  <si>
    <t>Food, Sandwiches, Restaurants, American (New)</t>
  </si>
  <si>
    <t>Letty's</t>
  </si>
  <si>
    <t>2121 Shamrock Dr</t>
  </si>
  <si>
    <t>oRmCI0p2mvlrGwilJloFTQ</t>
  </si>
  <si>
    <t>Sandwiches, Restaurants, Salad, Pizza</t>
  </si>
  <si>
    <t>PZA</t>
  </si>
  <si>
    <t>HJ6F0WUOc6frOK13voZPIA</t>
  </si>
  <si>
    <t>Restaurants, Mexican, Latin American, Salvadoran</t>
  </si>
  <si>
    <t>Mi Tierrita</t>
  </si>
  <si>
    <t>1125 East Sugar Creek Rd, Ste E</t>
  </si>
  <si>
    <t>zIELz5s9LknJgaawrwg0Zg</t>
  </si>
  <si>
    <t>Event Planning &amp; Services, American (New), Food Trucks, Restaurants, Caterers, Food, Personal Chefs</t>
  </si>
  <si>
    <t>What The Fries</t>
  </si>
  <si>
    <t>13-n6Gm0AK0QK28iatttWQ</t>
  </si>
  <si>
    <t>Restaurants, Food, Delis, Sandwiches, Coffee &amp; Tea</t>
  </si>
  <si>
    <t>114 Cherokee Rd</t>
  </si>
  <si>
    <t>zJRJX2-xnxHCUXA5WbBYPA</t>
  </si>
  <si>
    <t>Restaurants, Indian, Asian Fusion</t>
  </si>
  <si>
    <t>Godavari Authentic Indian Cuisine</t>
  </si>
  <si>
    <t>8624 Camfield St, Ste C</t>
  </si>
  <si>
    <t>Oret8WuWof5C9fWavrEHCQ</t>
  </si>
  <si>
    <t>16055 Johnston Rd</t>
  </si>
  <si>
    <t>CwRPGB3WzV3IE4IukRFI2g</t>
  </si>
  <si>
    <t>8800 Pineville Matthews Rd</t>
  </si>
  <si>
    <t>d3g7MFmteLVAlRvdhqoE2g</t>
  </si>
  <si>
    <t>Restaurants, Fish &amp; Chips, Food Trucks, Food, Hot Dogs</t>
  </si>
  <si>
    <t>Cafe Taylor</t>
  </si>
  <si>
    <t>ZoA-OwwUHM0P5Rm86u2txQ</t>
  </si>
  <si>
    <t>Mediterranean, American (New), Sandwiches, Restaurants</t>
  </si>
  <si>
    <t>Mr. Pita</t>
  </si>
  <si>
    <t>7520 S Tryon St</t>
  </si>
  <si>
    <t>HptvLM6QOQybTYglMu6FvQ</t>
  </si>
  <si>
    <t>Grocery, American (Traditional), Sandwiches, Food, Burgers, Convenience Stores, Restaurants</t>
  </si>
  <si>
    <t>Dixie Grill &amp; Grocery</t>
  </si>
  <si>
    <t>9115 Dixie River Rd</t>
  </si>
  <si>
    <t>QUlJfRHk4ul6w92f1d8U2Q</t>
  </si>
  <si>
    <t>Soup, Restaurants, Salad, Sandwiches</t>
  </si>
  <si>
    <t>ukov0vX_X5a76CiVaNWKvw</t>
  </si>
  <si>
    <t>Delis, Restaurants, Breakfast &amp; Brunch</t>
  </si>
  <si>
    <t>Sammy's Deli Restaurants</t>
  </si>
  <si>
    <t>1113 Pecan Ave</t>
  </si>
  <si>
    <t>ZcV3A_tmAx56vRZZvPxFlg</t>
  </si>
  <si>
    <t>4023 Brookshire Blvd, Ste G</t>
  </si>
  <si>
    <t>LUZ94dZpgCmBGyNH52S7lg</t>
  </si>
  <si>
    <t>Mediterranean, Gastropubs, American (New), Cocktail Bars, Bars, Restaurants, Nightlife</t>
  </si>
  <si>
    <t>Essex Bar &amp; Bistro</t>
  </si>
  <si>
    <t>101 S Tryon St, Ste 14</t>
  </si>
  <si>
    <t>kXoCEwQ1Qr9Ft6uObAvCBQ</t>
  </si>
  <si>
    <t>Fast Food, Restaurants, Chicken Shop, Latin American</t>
  </si>
  <si>
    <t>Pollo Campero</t>
  </si>
  <si>
    <t>6124 South Blvd</t>
  </si>
  <si>
    <t>JirzINmJF2YHRYB8rX-QIQ</t>
  </si>
  <si>
    <t>Goose's Barbeque &amp; Pub</t>
  </si>
  <si>
    <t>88jOXax58gScdaRdZZy9zQ</t>
  </si>
  <si>
    <t>Restaurants, Nightlife, American (New), Bars, Adult Entertainment, Sports Bars</t>
  </si>
  <si>
    <t>Candi's Cabaret</t>
  </si>
  <si>
    <t>3935 Statesville Ave</t>
  </si>
  <si>
    <t>8ys-TIaQkgc0K9FZzzPKWg</t>
  </si>
  <si>
    <t>6507 N Tryon St</t>
  </si>
  <si>
    <t>iw2RcoHKsO2aETYE5fdXlQ</t>
  </si>
  <si>
    <t>American (Traditional), Restaurants, Diners, Breakfast &amp; Brunch</t>
  </si>
  <si>
    <t>Good Ol' Days</t>
  </si>
  <si>
    <t>3351 Pineville Matthws Rd</t>
  </si>
  <si>
    <t>R_epGBO7Cr1M0Ftc0JKV7w</t>
  </si>
  <si>
    <t>Event Planning &amp; Services, Restaurants, Spanish, Venues &amp; Event Spaces, Tapas/Small Plates, Italian, Tapas Bars</t>
  </si>
  <si>
    <t>Gusto Ballantyne</t>
  </si>
  <si>
    <t>LIvXzdMJrIb6IY5Y3tqicA</t>
  </si>
  <si>
    <t>Nan and Byron's</t>
  </si>
  <si>
    <t>WmtJ1bArMGPPLdwsIPahBA</t>
  </si>
  <si>
    <t>Pakistani, Restaurants, Indian</t>
  </si>
  <si>
    <t>Peacock Indian Cuisine</t>
  </si>
  <si>
    <t>hggVnGwA5042-ABxqeJX-A</t>
  </si>
  <si>
    <t>Tapas/Small Plates, Cocktail Bars, American (New), Tapas Bars, Restaurants, Bars, Nightlife</t>
  </si>
  <si>
    <t>Good Food on Montford</t>
  </si>
  <si>
    <t>1701 Montford Dr</t>
  </si>
  <si>
    <t>ryiuGXkurCl0Me6tmqOtzA</t>
  </si>
  <si>
    <t>Chicken Wings, Food, American (New), Restaurants, Fast Food, Salad</t>
  </si>
  <si>
    <t>8334 Ikea Blvd</t>
  </si>
  <si>
    <t>ZSCEkqlzZKRrZUz98CXtNw</t>
  </si>
  <si>
    <t>Salad, Fast Food, Asian Fusion, Soup, American (Traditional), Noodles, Comfort Food, Italian, Food, Chinese, Desserts, Restaurants, Thai</t>
  </si>
  <si>
    <t>HV1Plv3QMZA_uOGIah_nCg</t>
  </si>
  <si>
    <t>Sandwiches, Restaurants, Delis, Fast Food</t>
  </si>
  <si>
    <t>8031 Ardrey Kell Rd Ste 100, Ste 100</t>
  </si>
  <si>
    <t>73Wz3QuZsQ9iYM3L1qsTBQ</t>
  </si>
  <si>
    <t>Comida</t>
  </si>
  <si>
    <t>k4BtMMmdfpKUDu5or_cT-g</t>
  </si>
  <si>
    <t>The Stanley</t>
  </si>
  <si>
    <t>1961 E 7th St</t>
  </si>
  <si>
    <t>qnsqf81chWm3KndLt9KUTA</t>
  </si>
  <si>
    <t>Bars, Nightlife, Sandwiches, American (Traditional), Restaurants, Tex-Mex</t>
  </si>
  <si>
    <t>8325 Northlake Commons Blvd</t>
  </si>
  <si>
    <t>lewN3yvie6jSbRNuyAV0GQ</t>
  </si>
  <si>
    <t>Mexican, Fast Food, Tex-Mex, Restaurants</t>
  </si>
  <si>
    <t>8000 Providence Rd.</t>
  </si>
  <si>
    <t>ADgacmZ-qXrSOhMfU6bmTA</t>
  </si>
  <si>
    <t>Nightlife, Breakfast &amp; Brunch, Desserts, Food, Cocktail Bars, American (New), Bars, Restaurants</t>
  </si>
  <si>
    <t>5Church</t>
  </si>
  <si>
    <t>ViqaAee3jNQkMNlu5FEHMQ</t>
  </si>
  <si>
    <t>Fonda Mexicana El Paraiso</t>
  </si>
  <si>
    <t>6105 South Blvd</t>
  </si>
  <si>
    <t>lLxtE1zeVm0Qm5NYkMvqZQ</t>
  </si>
  <si>
    <t>Chicken Wings, Fast Food, Breakfast &amp; Brunch, Restaurants, Chicken Shop, Food</t>
  </si>
  <si>
    <t>300 W Blvd</t>
  </si>
  <si>
    <t>qtotIYIF9U1PCEzMl1iE2w</t>
  </si>
  <si>
    <t>Restaurants, Pizza, Chicken Wings, Italian</t>
  </si>
  <si>
    <t>BV Pub and Pizzeria</t>
  </si>
  <si>
    <t>3419 Toringdon Way</t>
  </si>
  <si>
    <t>aET2kncA1LUKSL3OtKixFw</t>
  </si>
  <si>
    <t>Bars, Pubs, Restaurants, Nightlife, American (Traditional)</t>
  </si>
  <si>
    <t>Graham St. Pub &amp; Patio</t>
  </si>
  <si>
    <t>400 S Graham St</t>
  </si>
  <si>
    <t>DyOzNIeXUksPNLXYHnB-oQ</t>
  </si>
  <si>
    <t>Latin American, Food, Restaurants, Street Vendors, Mexican</t>
  </si>
  <si>
    <t>Sabor Latin Street Grill</t>
  </si>
  <si>
    <t>zaLFPpm-t89qSDOaFVgwDQ</t>
  </si>
  <si>
    <t>Nightlife, Bars, Restaurants, Salad, Burgers</t>
  </si>
  <si>
    <t>5501 R C Josh Birmingham</t>
  </si>
  <si>
    <t>ZBHXfX3vK-ck52UBEofV2w</t>
  </si>
  <si>
    <t>Pubs, Chicken Wings, Pizza, American (Traditional), Bars, Nightlife, Restaurants</t>
  </si>
  <si>
    <t>Selwyn Avenue Pub</t>
  </si>
  <si>
    <t>2801 Selwyn Ave</t>
  </si>
  <si>
    <t>RNO7SRmfVi0CyXjtPhXELg</t>
  </si>
  <si>
    <t>Bars, Nightlife, Sports Bars, Sandwiches, Gluten-Free, Pizza, Restaurants</t>
  </si>
  <si>
    <t>2820 Selwyn Ave, Ste 100</t>
  </si>
  <si>
    <t>80omysuPKac8zn1PfRnQRQ</t>
  </si>
  <si>
    <t>Sandwiches, Restaurants, American (New), Salad</t>
  </si>
  <si>
    <t>Heirloom Restaurant</t>
  </si>
  <si>
    <t>5uUACWfCXMLjuL41O-v4aw</t>
  </si>
  <si>
    <t>African, Restaurants, American (Traditional)</t>
  </si>
  <si>
    <t>Zanzibar Cafe</t>
  </si>
  <si>
    <t>3720 N Tryon St, Unit 101</t>
  </si>
  <si>
    <t>2Jq2XezAoZRkt9uGJtSWtQ</t>
  </si>
  <si>
    <t>Sports Bars, Steakhouses, Restaurants, American (Traditional), Nightlife, Bars, Burgers</t>
  </si>
  <si>
    <t>Applebee's</t>
  </si>
  <si>
    <t>5110 Piper Station Dr</t>
  </si>
  <si>
    <t>oMKDfSKXbumNXMD45ZQKag</t>
  </si>
  <si>
    <t>Buffets, Bars, Indian, Nightlife, Restaurants</t>
  </si>
  <si>
    <t>120 N Cedar St, Ste 765</t>
  </si>
  <si>
    <t>FlSz_R7LkZE-eqNDuQ_CjQ</t>
  </si>
  <si>
    <t>Pizza, Sandwiches, Restaurants, Salad</t>
  </si>
  <si>
    <t>Donatos Pizza</t>
  </si>
  <si>
    <t>GkjeKTUzG4rjvYN3KjSqlg</t>
  </si>
  <si>
    <t>US Sushi</t>
  </si>
  <si>
    <t>XOXNnNjfDyxywTbG3DvKAQ</t>
  </si>
  <si>
    <t>Pho An Hoa</t>
  </si>
  <si>
    <t>4832 Central Ave</t>
  </si>
  <si>
    <t>PUD8BjNnQRgjx0dl28SVzQ</t>
  </si>
  <si>
    <t>Mexican, Nightlife, Tacos, Bars, Restaurants</t>
  </si>
  <si>
    <t>Que Onda Tacos University</t>
  </si>
  <si>
    <t>9601 N Tryon St, Ste K</t>
  </si>
  <si>
    <t>aW6cw45HIPOPAJ4-f_hYYQ</t>
  </si>
  <si>
    <t>Restaurants, Meat Shops, Delis, Sandwiches, Butcher, Food, Specialty Food</t>
  </si>
  <si>
    <t>What's Your Beef</t>
  </si>
  <si>
    <t>BxIB1y-AqZSnFYxnzLrWBA</t>
  </si>
  <si>
    <t>American (Traditional), Sandwiches, Restaurants, Fast Food</t>
  </si>
  <si>
    <t>4724 South Blvd</t>
  </si>
  <si>
    <t>co8c1U1rLSI02s-AVzvJVA</t>
  </si>
  <si>
    <t>Mexican, Colombian, Restaurants, Latin American</t>
  </si>
  <si>
    <t>Pollos Mario Restaurant</t>
  </si>
  <si>
    <t>U9HhVS9rtYAYh4ZVcWWIbg</t>
  </si>
  <si>
    <t>Salad, Pizza, Food, Juice Bars &amp; Smoothies, Restaurants</t>
  </si>
  <si>
    <t>My Camille's</t>
  </si>
  <si>
    <t>9211 N Tryon St, Ste 9</t>
  </si>
  <si>
    <t>63F92oWPtsCx3UygSTp4TA</t>
  </si>
  <si>
    <t>Bagels, Restaurants, Internet Cafes, Delis, Food</t>
  </si>
  <si>
    <t>Crosstown Deli &amp; Bagel</t>
  </si>
  <si>
    <t>5933 Albemarle Rd</t>
  </si>
  <si>
    <t>D3IfloYiVWl-WKnk7msdAA</t>
  </si>
  <si>
    <t>718-A W Trade St</t>
  </si>
  <si>
    <t>TI81U-Fij4uNhd06aMb3qQ</t>
  </si>
  <si>
    <t>Greek, Fast Food, Burgers, Restaurants</t>
  </si>
  <si>
    <t>2400 W Sugar Creek Rd, Ste A</t>
  </si>
  <si>
    <t>ifS_MYR01fLB0aRw0AQy5Q</t>
  </si>
  <si>
    <t>8943 South Tryon St, Ste D</t>
  </si>
  <si>
    <t>bivY4IG4zyvMakJ9UQdSdw</t>
  </si>
  <si>
    <t>Lounges, Mediterranean, Nightlife, Restaurants, Bars</t>
  </si>
  <si>
    <t>Nefelie's</t>
  </si>
  <si>
    <t>jc7hclnZFxdEuo6aJLB5uw</t>
  </si>
  <si>
    <t>Food Trucks, Food, Restaurants, Cuban</t>
  </si>
  <si>
    <t>Lenny's Press Box</t>
  </si>
  <si>
    <t>BQEZSBttIsD_4qgQQFrQOA</t>
  </si>
  <si>
    <t>Food, Restaurants, Ice Cream &amp; Frozen Yogurt, Mexican</t>
  </si>
  <si>
    <t>La Michoacana Paleteria</t>
  </si>
  <si>
    <t>6301 N Tryon St</t>
  </si>
  <si>
    <t>SsM2b6A-FyFvxANBqAzpYg</t>
  </si>
  <si>
    <t>Shopping, Bars, Art Galleries, Restaurants, Nightlife, Lounges, Arts &amp; Entertainment, Tapas/Small Plates</t>
  </si>
  <si>
    <t>Kanvas</t>
  </si>
  <si>
    <t>525 E 6th St</t>
  </si>
  <si>
    <t>otGbfuoTFiCANsvGCnmN8w</t>
  </si>
  <si>
    <t>Little Caesars</t>
  </si>
  <si>
    <t>5009 Beatties Ford Rd</t>
  </si>
  <si>
    <t>s-0f3GlXpbJBmjiL6aFIHQ</t>
  </si>
  <si>
    <t>Restaurants, Pizza, Nightlife, Bars, Salad, Beer Bar</t>
  </si>
  <si>
    <t>Firestorm Pizza - Charlotte</t>
  </si>
  <si>
    <t>9330 Center Lake Dr, Ste 150</t>
  </si>
  <si>
    <t>BX4HheOcR7sdGLvFrBXy2A</t>
  </si>
  <si>
    <t>Italian, Pizza, Restaurants</t>
  </si>
  <si>
    <t>Tony's Pizza- Ballantyne</t>
  </si>
  <si>
    <t>14027 Conlan Cir, Ste A-1</t>
  </si>
  <si>
    <t>Wuo8bVfUscGkJaWSSyNGlA</t>
  </si>
  <si>
    <t>Gelato, Local Flavor, Food, Restaurants</t>
  </si>
  <si>
    <t>Va Da Vie</t>
  </si>
  <si>
    <t>4203 Park Rd</t>
  </si>
  <si>
    <t>HVdeAldgSNW2P1zZJ1TnWw</t>
  </si>
  <si>
    <t>Toppers Pizza</t>
  </si>
  <si>
    <t>9510 University City Blvd</t>
  </si>
  <si>
    <t>r4QuxXNEdiSIJ5-KZdEDjQ</t>
  </si>
  <si>
    <t>One-U Cuisine</t>
  </si>
  <si>
    <t>3022 Weddington Rd</t>
  </si>
  <si>
    <t>VgeqvDJQaintYIh3Tl4j2A</t>
  </si>
  <si>
    <t>Tex-Mex, Steakhouses, Southern, Fast Food, Mexican, Restaurants</t>
  </si>
  <si>
    <t>IE0QRqaUSW51RmShZ9dX1Q</t>
  </si>
  <si>
    <t>Party &amp; Event Planning, American (New), Bartenders, Restaurants, Party Equipment Rentals, Food Trucks, Food, Food Stands, Event Planning &amp; Services, Caterers</t>
  </si>
  <si>
    <t>TIN Kitchen</t>
  </si>
  <si>
    <t>wArcCMVnrl_tc9MULW-0CQ</t>
  </si>
  <si>
    <t>Bars, Nightlife, Breweries, American (New), Beer Bar, Cocktail Bars, Food, Restaurants</t>
  </si>
  <si>
    <t>Heist Brewery</t>
  </si>
  <si>
    <t>2909 N Davidson St, Ste 200</t>
  </si>
  <si>
    <t>niacDKknyO9ZSfRQDHX6ZA</t>
  </si>
  <si>
    <t>Sports Bars, American (New), Restaurants, Nightlife, American (Traditional), Chicken Wings, Bars</t>
  </si>
  <si>
    <t>RcB7STNxoSDjtoK1pXgWBg</t>
  </si>
  <si>
    <t>Indian, Asian Fusion, Restaurants, Breakfast &amp; Brunch, Seafood</t>
  </si>
  <si>
    <t>The Blue Taj</t>
  </si>
  <si>
    <t>14815 Ballantyne Village Way, Ste 170</t>
  </si>
  <si>
    <t>8XDnMNPIhVnupA3JtzSedg</t>
  </si>
  <si>
    <t>Restaurants, Tex-Mex, Fast Food, Mexican</t>
  </si>
  <si>
    <t>1800 E Woodlawn Rd</t>
  </si>
  <si>
    <t>OYSUIysIehpViTOMz-e38Q</t>
  </si>
  <si>
    <t>Burgers, Nightlife, Sandwiches, Restaurants, American (Traditional), Pubs, Bars</t>
  </si>
  <si>
    <t>East Boulevard Bar &amp; Grill</t>
  </si>
  <si>
    <t>1315 E Blvd, Ste 130</t>
  </si>
  <si>
    <t>VsPoQeCRYYHQrj9jbiLmtA</t>
  </si>
  <si>
    <t>Restaurants, Sports Bars, American (New), Nightlife, Bars</t>
  </si>
  <si>
    <t>Russell's Pub N Grill</t>
  </si>
  <si>
    <t>1609-A Sardis Rd N</t>
  </si>
  <si>
    <t>kG0nQjwDolGHPd1pr9hGRA</t>
  </si>
  <si>
    <t>Sadie's Soulful Southern</t>
  </si>
  <si>
    <t>5708 N Sharon Amity Rd, Ste H</t>
  </si>
  <si>
    <t>_kzB_xsb9DHUPfXB0XfQGA</t>
  </si>
  <si>
    <t>Tacos, Mexican, Bars, Food, Tex-Mex, Restaurants, Nightlife</t>
  </si>
  <si>
    <t>7708 Rea Rd</t>
  </si>
  <si>
    <t>PHhVmDYtI5Urtpd4hOKKiQ</t>
  </si>
  <si>
    <t>Grocery, American (New), Southern, Butcher, Wine Bars, Specialty Food, Food, Beer, Wine &amp; Spirits, Meat Shops, Bars, American (Traditional), Restaurants, Nightlife</t>
  </si>
  <si>
    <t>Reid's Fine Foods</t>
  </si>
  <si>
    <t>gJfcAJvZ2RQgN8ksPNWeNw</t>
  </si>
  <si>
    <t>Food, Soup, Vegetarian, Cafes, Restaurants, Juice Bars &amp; Smoothies, Sandwiches</t>
  </si>
  <si>
    <t>Natural Blendz</t>
  </si>
  <si>
    <t>10020 Monroe Rd, Ste 110</t>
  </si>
  <si>
    <t>HwV2hQr7fbpiG8wODWJQ1w</t>
  </si>
  <si>
    <t>7340 Smith Corners Blvd, Ste 1200</t>
  </si>
  <si>
    <t>FB2iUwS4-LMLBQVyLZmZfQ</t>
  </si>
  <si>
    <t>Zapata's Mexican Cantina</t>
  </si>
  <si>
    <t>15105 John J Delaney Dr</t>
  </si>
  <si>
    <t>ESa_7bd1x9sD-Nd_gH0Xrg</t>
  </si>
  <si>
    <t>Salad, Coffee &amp; Tea, Food, Wraps, Restaurants</t>
  </si>
  <si>
    <t>Camille's Sidewalk Cafe</t>
  </si>
  <si>
    <t>1518 E 3rd St, Ste 110</t>
  </si>
  <si>
    <t>YcLGPnwBcuuf6w12OQM08w</t>
  </si>
  <si>
    <t>1520 South Blvd</t>
  </si>
  <si>
    <t>MGknXew849fglTVu8cV7EA</t>
  </si>
  <si>
    <t>Restaurants, Bubble Tea, Vietnamese, Food</t>
  </si>
  <si>
    <t>Pho Ngon</t>
  </si>
  <si>
    <t>2215 Ayrsley Town Blvd, Ste D</t>
  </si>
  <si>
    <t>zcfmbmOEX83YL04f9_Y0BA</t>
  </si>
  <si>
    <t>Restaurants, Pizza, Salad, Italian</t>
  </si>
  <si>
    <t>Juliana Pizza Family Restaurant</t>
  </si>
  <si>
    <t>9858 Monroe Rd</t>
  </si>
  <si>
    <t>wzxlGicUeou0J3Y9uZOgOw</t>
  </si>
  <si>
    <t>Specialty Food, Restaurants, Event Planning &amp; Services, Health Markets, Food, Caterers, Gluten-Free, Desserts</t>
  </si>
  <si>
    <t>The Naked Tart, LLC</t>
  </si>
  <si>
    <t>HKcvVxipVvY25-XSaZ0DZQ</t>
  </si>
  <si>
    <t>14192 Rivergate Pkwy</t>
  </si>
  <si>
    <t>ZkT1IR8xBlfnKtApbV96Dg</t>
  </si>
  <si>
    <t>Restaurants, Food, Southern, Caterers, Event Planning &amp; Services, Food Trucks, Desserts</t>
  </si>
  <si>
    <t>Nana's Porch</t>
  </si>
  <si>
    <t>UTU4wNXX8iqz0R4NgOlnDg</t>
  </si>
  <si>
    <t>Event Planning &amp; Services, Thai, Restaurants, Asian Fusion, Caterers</t>
  </si>
  <si>
    <t>Thai Orchid Restaurant</t>
  </si>
  <si>
    <t>4223 Providence Rd, Ste 7</t>
  </si>
  <si>
    <t>U9EsDOyu34mcIQZYISk0tg</t>
  </si>
  <si>
    <t>Local Flavor, Restaurants, Shopping Centers, Shopping</t>
  </si>
  <si>
    <t>Promenade On Providence</t>
  </si>
  <si>
    <t>5341 Ballantyne Commons Pkwy</t>
  </si>
  <si>
    <t>YSlOaBx9U9S2RF0kf_CHsQ</t>
  </si>
  <si>
    <t>Restaurants, Bars, Arts &amp; Entertainment, Nightlife, American (Traditional), Lounges, Music Venues</t>
  </si>
  <si>
    <t>Morehead Tavern</t>
  </si>
  <si>
    <t>WRsx6oYB8vtEM24auz275A</t>
  </si>
  <si>
    <t>Fonda Las Cazuelas</t>
  </si>
  <si>
    <t>5130 N Tryon St</t>
  </si>
  <si>
    <t>bQPMEI9yMakI4GD2jVS9jw</t>
  </si>
  <si>
    <t>Burgers, Food, Desserts, Restaurants, American (New)</t>
  </si>
  <si>
    <t>Burger 21</t>
  </si>
  <si>
    <t>14825 Ballantyne Village Way, Ste 160</t>
  </si>
  <si>
    <t>3v1c2BsFFcWlpV3S3LS8dA</t>
  </si>
  <si>
    <t>Taipei Express</t>
  </si>
  <si>
    <t>731 Providence Rd</t>
  </si>
  <si>
    <t>FIevEt43RLPCNW-wXX_IAQ</t>
  </si>
  <si>
    <t>3609 South Boulevard</t>
  </si>
  <si>
    <t>j3YSK-IgpNabCIzWEl7CaA</t>
  </si>
  <si>
    <t>Food, Indian, Imported Food, Specialty Food, Restaurants, Ethnic Food</t>
  </si>
  <si>
    <t>Rajbhog Indian Food Market &amp; Cafe</t>
  </si>
  <si>
    <t>9539 Pinnacle Dr, Ste 100</t>
  </si>
  <si>
    <t>lnG7zq5Vi8awdToyY-TDBQ</t>
  </si>
  <si>
    <t>8700 Pineville Matthews Rd, Ste 620</t>
  </si>
  <si>
    <t>gRoL0Pe42PcQzUb5uTCfiA</t>
  </si>
  <si>
    <t>Sandwiches, Food, Grocery, Restaurants, Delis</t>
  </si>
  <si>
    <t>3009 Plaza Rd</t>
  </si>
  <si>
    <t>QjL_QaEJGRfyBS2-wuowGA</t>
  </si>
  <si>
    <t>KO Sushi</t>
  </si>
  <si>
    <t>230 S Tryon St</t>
  </si>
  <si>
    <t>le8guyitMPMVrmY0WZ1fHg</t>
  </si>
  <si>
    <t>Pizza, American (New), Restaurants</t>
  </si>
  <si>
    <t>360 Bistro</t>
  </si>
  <si>
    <t>y1eeVRfJa22CCpUCeNfrSw</t>
  </si>
  <si>
    <t>Seafood, Taiwanese, Vegetarian, Thai, Restaurants</t>
  </si>
  <si>
    <t>Basil Thai Cuisine</t>
  </si>
  <si>
    <t>210 N Church St</t>
  </si>
  <si>
    <t>XNG9v1-DmScfwMShOmErcg</t>
  </si>
  <si>
    <t>Caterers, Chicken Wings, Event Planning &amp; Services, American (New), Restaurants, Barbeque, Fast Food, Sandwiches</t>
  </si>
  <si>
    <t>440 E McCullough Dr, Ste 123</t>
  </si>
  <si>
    <t>64MxB_OZQ_2JCklRm1LYxw</t>
  </si>
  <si>
    <t>Food, Salad, American (New), Restaurants, Burgers</t>
  </si>
  <si>
    <t>QUlBZibvzmu-5gAVVXIpcw</t>
  </si>
  <si>
    <t>Nightlife, Wine Bars, Bars, Beer, Wine &amp; Spirits, Restaurants, Food, Tapas Bars</t>
  </si>
  <si>
    <t>The Grape at Northlake Mall</t>
  </si>
  <si>
    <t>6801 Northlake Mall Dr, Ste 246</t>
  </si>
  <si>
    <t>iK9F_Xeg8ut9u2Ee1nVxlg</t>
  </si>
  <si>
    <t>Taqueria La Unica</t>
  </si>
  <si>
    <t>6625 S Blvd</t>
  </si>
  <si>
    <t>o4RqT9ddT8vO1aSGYpc3Jg</t>
  </si>
  <si>
    <t>Sandwiches, Restaurants, Event Planning &amp; Services, Breakfast &amp; Brunch, Bagels, Food, Coffee &amp; Tea, Caterers</t>
  </si>
  <si>
    <t>UjFMuz2JrjYpRQrWRV2xjQ</t>
  </si>
  <si>
    <t>2812 W Sugar Creek Rd</t>
  </si>
  <si>
    <t>YJHLpMUfmxiAduwwFp77cg</t>
  </si>
  <si>
    <t>Burgers, Fast Food, Food, Restaurants, Coffee &amp; Tea</t>
  </si>
  <si>
    <t>8121 University City Blvd</t>
  </si>
  <si>
    <t>ihUPg3T3ruEOtSyFrOFXnA</t>
  </si>
  <si>
    <t>Food, Breakfast &amp; Brunch, Salad, Restaurants, Juice Bars &amp; Smoothies, Gluten-Free, Vegan</t>
  </si>
  <si>
    <t>4625 Piedmont Row Dr, Ste 115C</t>
  </si>
  <si>
    <t>ObcMSGc1uotvpnwydoStIg</t>
  </si>
  <si>
    <t>Beer, Wine &amp; Spirits, Coffee &amp; Tea, Convenience Stores, Grocery, Caterers, Sandwiches, Restaurants, Event Planning &amp; Services, Food Trucks, Specialty Food, Food, Breakfast &amp; Brunch</t>
  </si>
  <si>
    <t>Earl's Grocery</t>
  </si>
  <si>
    <t>vgc-XO64Uw7otc3sxmns1A</t>
  </si>
  <si>
    <t>Restaurants, Sushi Bars, Asian Fusion, Japanese, Thai, Chinese</t>
  </si>
  <si>
    <t>Tsuki House Japanese Steak House and Sushi Bar</t>
  </si>
  <si>
    <t>2FWFAqM-jqKUU8WqHSp-LQ</t>
  </si>
  <si>
    <t>Asian One</t>
  </si>
  <si>
    <t>16646 Hawfiled Way Dr, Ste 104</t>
  </si>
  <si>
    <t>ZD7Lsh0v407nh3L7v2vqxQ</t>
  </si>
  <si>
    <t>Las Rositas Bistro Mexicano Restaurant</t>
  </si>
  <si>
    <t>gaQHTBvkAm-aY_rjLvejIw</t>
  </si>
  <si>
    <t>Event Planning &amp; Services, Coffee &amp; Tea, Party &amp; Event Planning, Food, Food Delivery Services, Caterers, Restaurants</t>
  </si>
  <si>
    <t>La-Tea-Da's Catering</t>
  </si>
  <si>
    <t>3401 Commonwealth Ave</t>
  </si>
  <si>
    <t>ovEkkMjdJJSq0zckbFTIQQ</t>
  </si>
  <si>
    <t>Pizza, American (New), American (Traditional), Italian, Restaurants</t>
  </si>
  <si>
    <t>DeSano Pizzeria Napoletana - Waverly</t>
  </si>
  <si>
    <t>7615 Waverly Walk Ave</t>
  </si>
  <si>
    <t>_F4qxboOpRaOOMWsmXU8QA</t>
  </si>
  <si>
    <t>Empanadas, Latin American, Food, Fast Food, Chicken Shop, Peruvian, Restaurants</t>
  </si>
  <si>
    <t>5727 N Sharon Amity Rd, Ste D</t>
  </si>
  <si>
    <t>WKCmhNrD-01wmaKO34oPbw</t>
  </si>
  <si>
    <t>Breakfast &amp; Brunch, American (New), Restaurants, American (Traditional), Burgers</t>
  </si>
  <si>
    <t>5335 Ballantyne Commons Pkwy, Ste 200</t>
  </si>
  <si>
    <t>8B4FR-sAbFpTYPpKcsmvbQ</t>
  </si>
  <si>
    <t>Restaurants, Bars, Nightlife, Soul Food, Lounges, Local Flavor</t>
  </si>
  <si>
    <t>Celebs Restaurant &amp; Lounge</t>
  </si>
  <si>
    <t>445 W Trade St</t>
  </si>
  <si>
    <t>o0Y5O_D8RQCx0NEwqPjASQ</t>
  </si>
  <si>
    <t>Restaurants, Bars, Wine Bars, Steakhouses, Nightlife, Tapas/Small Plates</t>
  </si>
  <si>
    <t>Evoke</t>
  </si>
  <si>
    <t>GdImSBWhHn37TjwFs4lqmw</t>
  </si>
  <si>
    <t>Hole in the Wall Crab Shack</t>
  </si>
  <si>
    <t>10210 Couloak Dr</t>
  </si>
  <si>
    <t>QUXSmYIDvpN7_E5BkrA0Mg</t>
  </si>
  <si>
    <t>Salad, Restaurants, American (New), Nightlife, Bars</t>
  </si>
  <si>
    <t>Libations Kitchen &amp; Bar</t>
  </si>
  <si>
    <t>895 W Trade St</t>
  </si>
  <si>
    <t>GNIxpOWJcjx5pGN9IBgrYQ</t>
  </si>
  <si>
    <t>Music Venues, Arts &amp; Entertainment, Restaurants, American (Traditional), Nightlife, Bars</t>
  </si>
  <si>
    <t>Tin Roof</t>
  </si>
  <si>
    <t>210 E Trade St, Ste 286</t>
  </si>
  <si>
    <t>gh0zYY9hrmJHWsHhyUILsw</t>
  </si>
  <si>
    <t>Bars, Salad, Sandwiches, American (New), Restaurants, Nightlife, Pubs</t>
  </si>
  <si>
    <t>Fountain Pub &amp; Grill</t>
  </si>
  <si>
    <t>8129 Ardrey Kell Rd, Ste 105</t>
  </si>
  <si>
    <t>sPwh9yiJYeyAN4CBq_tUYg</t>
  </si>
  <si>
    <t>American (Traditional), Chicken Wings, Sports Bars, Restaurants, Bars, Pubs, Nightlife</t>
  </si>
  <si>
    <t>12210 Copper Way, Ste 212</t>
  </si>
  <si>
    <t>fJtjIiT8nW3rnC1GMVA68g</t>
  </si>
  <si>
    <t>Island Thyme - A Calypso Grill &amp; Pub</t>
  </si>
  <si>
    <t>BiVA5GKSTYQ5_SNIaYg6oA</t>
  </si>
  <si>
    <t>American (Traditional), Restaurants, Bars, Nightlife, Chicken Wings, Sports Bars</t>
  </si>
  <si>
    <t>2530 Sardis Road North</t>
  </si>
  <si>
    <t>zEJ7CHHZlCqN8DIXy86MRQ</t>
  </si>
  <si>
    <t>Bourbon N Burgers</t>
  </si>
  <si>
    <t>2200 Park Rd</t>
  </si>
  <si>
    <t>aW8H5elwWg0y-OG9tgwCqA</t>
  </si>
  <si>
    <t>Restaurants, Food Trucks, Food, Sandwiches</t>
  </si>
  <si>
    <t>Imperial Sandwich Co</t>
  </si>
  <si>
    <t>1933 Sharon Rd W Apt 109</t>
  </si>
  <si>
    <t>QReGruZEFxovIm9FJVa1kw</t>
  </si>
  <si>
    <t>Italian, Caterers, Event Planning &amp; Services, Pizza, Restaurants</t>
  </si>
  <si>
    <t>Zio Casual Italian</t>
  </si>
  <si>
    <t>fW1CurreO1H9yVANSTO_FA</t>
  </si>
  <si>
    <t>Tropical Goodies Restaurant</t>
  </si>
  <si>
    <t>gDkqz7xpV4v45vp-tuOqKQ</t>
  </si>
  <si>
    <t>Food, Specialty Food, Vegetarian, Juice Bars &amp; Smoothies, Fruits &amp; Veggies, Restaurants</t>
  </si>
  <si>
    <t>JUICE BOX</t>
  </si>
  <si>
    <t>3100 N Davidson St, Ste 101</t>
  </si>
  <si>
    <t>CgeNY1pll5dBQuHPCJGAOg</t>
  </si>
  <si>
    <t>Burgers, Restaurants, Hot Dogs, American (Traditional), Mexican</t>
  </si>
  <si>
    <t>Hardee's Red Burrito</t>
  </si>
  <si>
    <t>5024 Sunset Rd</t>
  </si>
  <si>
    <t>AgHiM1XP3gLyM6-rZ2zxjA</t>
  </si>
  <si>
    <t>Chicken Wings, Pizza, Salad, Restaurants</t>
  </si>
  <si>
    <t>9821 Northlake Centre Pkwy, Ste L</t>
  </si>
  <si>
    <t>uejutOD4_-IUaY5cKkpezg</t>
  </si>
  <si>
    <t>Coffee &amp; Tea, Bars, Internet Cafes, Cafes, Wine Bars, Breakfast &amp; Brunch, Nightlife, Restaurants, Food</t>
  </si>
  <si>
    <t>Rush Espresso Cafe and Wine Bar</t>
  </si>
  <si>
    <t>14825 Ballantyne Village Way, Ste 135</t>
  </si>
  <si>
    <t>H0GLxl_aBLVaeMNi-S0unQ</t>
  </si>
  <si>
    <t>Restaurants, Fast Food, Delis, Sandwiches</t>
  </si>
  <si>
    <t>7309-21 E Independence Blvd</t>
  </si>
  <si>
    <t>sYXEz38MVmg_vxe7hYTR6Q</t>
  </si>
  <si>
    <t>Japanese, Ramen, Teppanyaki, Diners, Sushi Bars, Asian Fusion, Restaurants</t>
  </si>
  <si>
    <t>Tin Tin Cafe</t>
  </si>
  <si>
    <t>3020 Driwood Ct</t>
  </si>
  <si>
    <t>Kg2Cg-ZL56o2oU2GbylX5g</t>
  </si>
  <si>
    <t>Taqueria TÃƒÂ³luca</t>
  </si>
  <si>
    <t>4801-P N Tryon St</t>
  </si>
  <si>
    <t>v12CYnuoOSA_DHzMBfbolw</t>
  </si>
  <si>
    <t>Coffee Cup</t>
  </si>
  <si>
    <t>2909 N Davidson</t>
  </si>
  <si>
    <t>EvPp-4ALV0MQQpOAAybMAQ</t>
  </si>
  <si>
    <t>Chicken Shop, Fast Food, Restaurants</t>
  </si>
  <si>
    <t>Smithfield's Chicken N Bar B Q</t>
  </si>
  <si>
    <t>5121 Trojan Dr</t>
  </si>
  <si>
    <t>1zlX9isu6SuvzVP86ttKJw</t>
  </si>
  <si>
    <t>J_KS3M2kQmKlKUcAmlBGrA</t>
  </si>
  <si>
    <t>Fast Food, Mexican, American (Traditional), Restaurants</t>
  </si>
  <si>
    <t>9821 Northlake Center Pkwy, Unit J</t>
  </si>
  <si>
    <t>hUu5im-iTpOvRHtqiuu_dg</t>
  </si>
  <si>
    <t>Brookwood Farms Carolina Pit BBQ</t>
  </si>
  <si>
    <t>l4kN4B7fTasuZemJsvbrOQ</t>
  </si>
  <si>
    <t>Food Trucks, Specialty Food, Food, Seafood, Restaurants</t>
  </si>
  <si>
    <t>Tails and Bones</t>
  </si>
  <si>
    <t>Mobile Food Trailer</t>
  </si>
  <si>
    <t>kNwfUukvLd3q38PX0QEDDQ</t>
  </si>
  <si>
    <t>Restaurants, Barbeque, Korean</t>
  </si>
  <si>
    <t>Bulgogi Box</t>
  </si>
  <si>
    <t>1750 Camden Rd, Ste 104</t>
  </si>
  <si>
    <t>rS39YnrhoXmPqHLzCBjeqw</t>
  </si>
  <si>
    <t>Sports Bars, Pubs, American (New), Bars, Nightlife, Restaurants</t>
  </si>
  <si>
    <t>All American Pub</t>
  </si>
  <si>
    <t>1PNOHJq2HNH98dPPxpUHkg</t>
  </si>
  <si>
    <t>Fast Food, Coffee &amp; Tea, Food, Restaurants, Burgers</t>
  </si>
  <si>
    <t>11620 Waverly Center Dr</t>
  </si>
  <si>
    <t>OqJtHcr5AsyuIjd2ePqLzw</t>
  </si>
  <si>
    <t>Japanese, Food, Restaurants</t>
  </si>
  <si>
    <t>Pika Japanese Express</t>
  </si>
  <si>
    <t>0gnTMH76ga7VK0wyySql-Q</t>
  </si>
  <si>
    <t>Mr Wok</t>
  </si>
  <si>
    <t>9010 A Monroe Rd</t>
  </si>
  <si>
    <t>_PcRyvbZmVQvlS5uORDGVA</t>
  </si>
  <si>
    <t>Redeye Diner</t>
  </si>
  <si>
    <t>D9DYy_PX5u_tLEqaaRR2kA</t>
  </si>
  <si>
    <t>Coffee &amp; Tea, Food, Restaurants, Cafes</t>
  </si>
  <si>
    <t>900 Metropolitan Ave</t>
  </si>
  <si>
    <t>M1PRy7Hh0M948_9CX2z6Bg</t>
  </si>
  <si>
    <t>Southern, Nightlife, Restaurants, Pubs, Bars</t>
  </si>
  <si>
    <t>McBonie's Bar &amp; Grill</t>
  </si>
  <si>
    <t>4800 Monroe Rd</t>
  </si>
  <si>
    <t>rXHlCgMbUfc74FfCUbJnIQ</t>
  </si>
  <si>
    <t>Bakeries, Event Planning &amp; Services, Caterers, Food, Specialty Food, Personal Chefs, Restaurants, Sandwiches</t>
  </si>
  <si>
    <t>Something Classic</t>
  </si>
  <si>
    <t>1860 Lindbergh St</t>
  </si>
  <si>
    <t>WNad3tggpPxD5JziPU-zEw</t>
  </si>
  <si>
    <t>The Clock Restaurant</t>
  </si>
  <si>
    <t>ofXqwIbHprYF6TP47XudOw</t>
  </si>
  <si>
    <t>Salad, Tex-Mex, Event Planning &amp; Services, Restaurants, Caterers, Mexican</t>
  </si>
  <si>
    <t>ILkKShv37-S1xiM3KDswFg</t>
  </si>
  <si>
    <t>Oggi Ristorante Italiano</t>
  </si>
  <si>
    <t>1000 NC Music Factory Blvd</t>
  </si>
  <si>
    <t>WDDn4I2laDaA1kZmJ7iu5w</t>
  </si>
  <si>
    <t>Katz Ny Deli &amp; Restaurant</t>
  </si>
  <si>
    <t>8045 Providence Rd</t>
  </si>
  <si>
    <t>SNwJ9GvTjOiqim2df1BWsw</t>
  </si>
  <si>
    <t>Breakfast &amp; Brunch, Burgers, Cafes, Restaurants</t>
  </si>
  <si>
    <t>Chickadee's Cafe</t>
  </si>
  <si>
    <t>Rjkda__H64ILwIvaccVyLg</t>
  </si>
  <si>
    <t>Restaurants, Salad, Gluten-Free, Pizza, Fast Food</t>
  </si>
  <si>
    <t>Blaze Fast-Fire'd Pizza</t>
  </si>
  <si>
    <t>1750 Camden Rd, Ste 112</t>
  </si>
  <si>
    <t>PpyM9QsDbpx4mOaUeOll4w</t>
  </si>
  <si>
    <t>Fiesta Maya</t>
  </si>
  <si>
    <t>3507 David Cox Rd, Ste B</t>
  </si>
  <si>
    <t>kG6znMX9VLGHaLmV5e84mQ</t>
  </si>
  <si>
    <t>Restaurants, New Mexican Cuisine</t>
  </si>
  <si>
    <t>5920 Highland Shoppes Dr, Unit 105</t>
  </si>
  <si>
    <t>MpMr3y6Lq0NZae5IQB4h2Q</t>
  </si>
  <si>
    <t>Hotels, Venues &amp; Event Spaces, Event Planning &amp; Services, Restaurants, Hotels &amp; Travel</t>
  </si>
  <si>
    <t>Holiday Inn Charlotte University</t>
  </si>
  <si>
    <t>8520 University Exec Park Drive</t>
  </si>
  <si>
    <t>A9FbXr-WzeMfzUQL_QkHkw</t>
  </si>
  <si>
    <t>Moon River Thai Bistro</t>
  </si>
  <si>
    <t>9211 N Tryon, Ste 1</t>
  </si>
  <si>
    <t>PqnGRNZ8E587iEasyknWRw</t>
  </si>
  <si>
    <t>Gluten-Free, Food, Vegetarian, Live/Raw Food, Salad, Juice Bars &amp; Smoothies, Restaurants</t>
  </si>
  <si>
    <t>Juice Bar</t>
  </si>
  <si>
    <t>4325 Park Rd, Ste 308</t>
  </si>
  <si>
    <t>UNYRVLwSAasKUbehp4X_fw</t>
  </si>
  <si>
    <t>Caterers, Event Planning &amp; Services, Fast Food, Chicken Wings, Restaurants</t>
  </si>
  <si>
    <t>7910 Rea Rd</t>
  </si>
  <si>
    <t>hlNM1xWuUymG5AVbFno3qw</t>
  </si>
  <si>
    <t>5801 N Sharon Amity Rd</t>
  </si>
  <si>
    <t>eQo4kIwIWJbAnfXYl3k5BA</t>
  </si>
  <si>
    <t>Portofino's Italian Restaurant &amp; Pizzeria</t>
  </si>
  <si>
    <t>3124 Eastway Dr, Ste 510</t>
  </si>
  <si>
    <t>ED-8gDGV4qteencl0Y_pKQ</t>
  </si>
  <si>
    <t>Burgers, Restaurants, Delis, Sandwiches</t>
  </si>
  <si>
    <t>7323 E Independence Blvd, Ste 25</t>
  </si>
  <si>
    <t>qg0NWVUNFUG7fiviqzBZbg</t>
  </si>
  <si>
    <t>American (Traditional), Restaurants, Burgers</t>
  </si>
  <si>
    <t>3415 Toringdon Way</t>
  </si>
  <si>
    <t>0MWdg8aiQgcaYdwsko_doA</t>
  </si>
  <si>
    <t>China Bowl Express</t>
  </si>
  <si>
    <t>2712 Freedom Dr, Ste A</t>
  </si>
  <si>
    <t>HDv-KchmLSlRr5MXxRkNqQ</t>
  </si>
  <si>
    <t>Restaurants, Chinese, Sushi Bars</t>
  </si>
  <si>
    <t>Ginbu 401</t>
  </si>
  <si>
    <t>401 Providence Rd</t>
  </si>
  <si>
    <t>fPmPROBqVT8-D-aTc6VBEQ</t>
  </si>
  <si>
    <t>Juice Bars &amp; Smoothies, Restaurants, Hookah Bars, Falafel, Arts &amp; Entertainment, Food, Mediterranean, Bars, Nightlife</t>
  </si>
  <si>
    <t>Al-basha Mediterranean Grill &amp; Hookah</t>
  </si>
  <si>
    <t>3145 N Sharon Amity Rd, Ste A</t>
  </si>
  <si>
    <t>zdoiA0CuVX_90K3ccYCdIQ</t>
  </si>
  <si>
    <t>Food, American (New), Latin American, Restaurants</t>
  </si>
  <si>
    <t>Morazan</t>
  </si>
  <si>
    <t>5601 South Blvd</t>
  </si>
  <si>
    <t>hW6f9oaAHfELG_e0Ebt5Rw</t>
  </si>
  <si>
    <t>8338 Pineville Matthews Rd</t>
  </si>
  <si>
    <t>8ighogZ3nMpwdMiAXrS3EQ</t>
  </si>
  <si>
    <t>American (New), Food, Coffee &amp; Tea, Restaurants, Sandwiches</t>
  </si>
  <si>
    <t>13eX63udIlRK8NNF0EnwAQ</t>
  </si>
  <si>
    <t>Hot Dogs, American (Traditional), Burgers, Greek, Restaurants</t>
  </si>
  <si>
    <t>Big City Grill</t>
  </si>
  <si>
    <t>4450 The Plaza, Ste E</t>
  </si>
  <si>
    <t>eLzcyCNfU5NVKXT0omi8cQ</t>
  </si>
  <si>
    <t>901-A E 4th St</t>
  </si>
  <si>
    <t>2j78b8m1w4Sr2GVGCzFBtQ</t>
  </si>
  <si>
    <t>Tacos, Salad, Mexican, Restaurants, Nightlife, Bars, Cocktail Bars</t>
  </si>
  <si>
    <t>Que Onda Tacos + Tequila</t>
  </si>
  <si>
    <t>333 W Trade St, Ste 101</t>
  </si>
  <si>
    <t>uWamLPJk6tZgZjXOrNfFkg</t>
  </si>
  <si>
    <t>American (Traditional), Fish &amp; Chips, Seafood, Fast Food, Restaurants</t>
  </si>
  <si>
    <t>123 Eway Dr</t>
  </si>
  <si>
    <t>QlIW78umKyE5d0BLpPh1-w</t>
  </si>
  <si>
    <t>Food, Ice Cream &amp; Frozen Yogurt, Restaurants, Burgers</t>
  </si>
  <si>
    <t>Mr. K's Soft Ice Cream &amp; Drive In</t>
  </si>
  <si>
    <t>2107 South Blvd</t>
  </si>
  <si>
    <t>pVymzMIspiO1u-oR2G6FRg</t>
  </si>
  <si>
    <t>Sandwiches, Beer, Wine &amp; Spirits, Steakhouses, Food, American (Traditional), Restaurants, Cafes, Cajun/Creole, Salad</t>
  </si>
  <si>
    <t>Kasper's Grill</t>
  </si>
  <si>
    <t>3130 Driwood Ct, Unit A</t>
  </si>
  <si>
    <t>rZpESBojl8dTTWp6EwlEBQ</t>
  </si>
  <si>
    <t>Restaurants, Seafood, Cocktail Bars, American (Traditional), Nightlife, Bars</t>
  </si>
  <si>
    <t>The Waterman Fish Bar</t>
  </si>
  <si>
    <t>2729 South Blvd, Ste D</t>
  </si>
  <si>
    <t>nNz_7luh2aD1_U9N3tJUMA</t>
  </si>
  <si>
    <t>Fortune Garden</t>
  </si>
  <si>
    <t>809 E Arrowood Rd</t>
  </si>
  <si>
    <t>BmQk1ziIyRTBa3N8QmztsA</t>
  </si>
  <si>
    <t>Nightlife, Cocktail Bars, Restaurants, Steakhouses, American (New), Beer, Wine &amp; Spirits, American (Traditional), Wine Bars, Bars, Food, Breakfast &amp; Brunch</t>
  </si>
  <si>
    <t>SouthPark Grill</t>
  </si>
  <si>
    <t>4300 Congress St</t>
  </si>
  <si>
    <t>4IC_YDaAHeCEm3DJ8FOqdw</t>
  </si>
  <si>
    <t>Food, Restaurants, Burgers, American (Traditional)</t>
  </si>
  <si>
    <t>8425 Northlake Commons Blvd</t>
  </si>
  <si>
    <t>82hYL5WPQpvxg8ekDsB83A</t>
  </si>
  <si>
    <t>Seafood, Restaurants, Italian</t>
  </si>
  <si>
    <t>Carrabba's Italian Grill</t>
  </si>
  <si>
    <t>h7Lc-poURE-WgcUM4DffwA</t>
  </si>
  <si>
    <t>Burgers, Food, Fast Food, Coffee &amp; Tea, Restaurants</t>
  </si>
  <si>
    <t>2745 Freedom Dr</t>
  </si>
  <si>
    <t>bgvm73MMjC2f5qo_RgXOXg</t>
  </si>
  <si>
    <t>Restaurants, American (New), Modern European, Burgers, Nightlife, Tapas/Small Plates, Cocktail Bars, Diners, Bars</t>
  </si>
  <si>
    <t>Halcyon</t>
  </si>
  <si>
    <t>500 S Tryon St</t>
  </si>
  <si>
    <t>RS1UzsLPt1pB_fwWxwWazw</t>
  </si>
  <si>
    <t>Sandwiches, Salad, Restaurants, Wraps, Acai Bowls, Food</t>
  </si>
  <si>
    <t>NecnTe2rHNLqBvuA-Gx49g</t>
  </si>
  <si>
    <t>Restaurants, Food, Japanese, Food Trucks</t>
  </si>
  <si>
    <t>Tiger Yakitori</t>
  </si>
  <si>
    <t>bZOvRyJ0wTsZWgEvWoQ_eg</t>
  </si>
  <si>
    <t>Restaurants, Burgers, Fish &amp; Chips</t>
  </si>
  <si>
    <t>Bobs Carry Out Pileem Up</t>
  </si>
  <si>
    <t>3422 Statesville Ave</t>
  </si>
  <si>
    <t>9_onoqwv9ZdItxc8OlUKAg</t>
  </si>
  <si>
    <t>American (New), Restaurants, Breakfast &amp; Brunch, Italian, Seafood</t>
  </si>
  <si>
    <t>Customshop Handcrafted Food</t>
  </si>
  <si>
    <t>1601 Elizabeth Ave</t>
  </si>
  <si>
    <t>sdYkVaTy7EJwUkO8Ie_qPg</t>
  </si>
  <si>
    <t>Restaurants, Peruvian</t>
  </si>
  <si>
    <t>NMw6zTXoZDEzNchVIfL1pQ</t>
  </si>
  <si>
    <t>Desserts, American (Traditional), Mexican, Food, Restaurants</t>
  </si>
  <si>
    <t>8943 S Tryon St</t>
  </si>
  <si>
    <t>6CZWoa243QGhfDW9jt6TkQ</t>
  </si>
  <si>
    <t>Restaurants, Food, Food Trucks, Italian, Cheesesteaks</t>
  </si>
  <si>
    <t>Clover Joe's</t>
  </si>
  <si>
    <t>124 Brevard Ct</t>
  </si>
  <si>
    <t>Q7XQDsH5yhsdhJdTyleGRw</t>
  </si>
  <si>
    <t>Restaurants, American (New), Caterers, American (Traditional), Event Planning &amp; Services, Chicken Wings</t>
  </si>
  <si>
    <t>Boneheads</t>
  </si>
  <si>
    <t>7926-E Rea Rd</t>
  </si>
  <si>
    <t>WRxNzAV8AQf7rurn9L9u2A</t>
  </si>
  <si>
    <t>Gluten-Free, Restaurants, Asian Fusion, Japanese</t>
  </si>
  <si>
    <t>Teriyaki Madness</t>
  </si>
  <si>
    <t>1100 Metropolitan Ave, Ste 130</t>
  </si>
  <si>
    <t>sEeV71wQBgNM8ipdfHszkw</t>
  </si>
  <si>
    <t>Bakeries, Restaurants, Donuts, Cupcakes, Coffee &amp; Tea, Food</t>
  </si>
  <si>
    <t>SuÃƒÂ¡rez Bakery</t>
  </si>
  <si>
    <t>sF1NG6bIpu7Ed1W6JXtmuA</t>
  </si>
  <si>
    <t>Delis, Restaurants, Sandwiches, Food, Cafes, Bagels</t>
  </si>
  <si>
    <t>City Deli &amp; Bagel Company</t>
  </si>
  <si>
    <t>1421 Elizabeth Ave</t>
  </si>
  <si>
    <t>aait_GoXPpYOjS4Hgj74Iw</t>
  </si>
  <si>
    <t>Nakato Japanese Steakhouse &amp; Sushi Bar</t>
  </si>
  <si>
    <t>8601 University Executive Park Dr</t>
  </si>
  <si>
    <t>4RRS2YsMJyXW5wLB_wYQeQ</t>
  </si>
  <si>
    <t>Bakeries, Restaurants, Desserts, Spanish, Food</t>
  </si>
  <si>
    <t>Antojitos Mi Colombia Bakery</t>
  </si>
  <si>
    <t>4740 Old Pineville Rd, Ste B</t>
  </si>
  <si>
    <t>FA_D4vDxRyI-hC0SZJnjnA</t>
  </si>
  <si>
    <t>Nightlife, American (New), Sports Bars, Restaurants, Bars</t>
  </si>
  <si>
    <t>BlackFinn American Saloon</t>
  </si>
  <si>
    <t>ur3FZlizds6D73-1YOCtxA</t>
  </si>
  <si>
    <t>Japanese, Salad, Sushi Bars, Restaurants</t>
  </si>
  <si>
    <t>10012 Benfield Rd, Ste 300</t>
  </si>
  <si>
    <t>8KUgiCUQptJxrvbVriIO0Q</t>
  </si>
  <si>
    <t>Jack-In-the-Box</t>
  </si>
  <si>
    <t>7000 W Wt Harris Blvd</t>
  </si>
  <si>
    <t>WQlDFDF6C_QHVmbw_wYiyA</t>
  </si>
  <si>
    <t>Fast Food, Breakfast &amp; Brunch, Chicken Shop, Restaurants</t>
  </si>
  <si>
    <t>8720 Pineville Matthews Rd</t>
  </si>
  <si>
    <t>1a9LZNq6qtfzIr24ERDhzw</t>
  </si>
  <si>
    <t>Pubs, Restaurants, Beer Bar, Bars, Nightlife</t>
  </si>
  <si>
    <t>World of Beer</t>
  </si>
  <si>
    <t>210 E Trade St, Ste E280</t>
  </si>
  <si>
    <t>vn_UN1JnA57hpayj6ETpRQ</t>
  </si>
  <si>
    <t>vmaZcAK858vwIxEHz3JOXw</t>
  </si>
  <si>
    <t>Chinese, Seafood, Restaurants</t>
  </si>
  <si>
    <t>7209 E Wt Harris Blvd, Ste F</t>
  </si>
  <si>
    <t>kXKnGlup4UhYlQp6Luf9BA</t>
  </si>
  <si>
    <t>Taqueria Allende</t>
  </si>
  <si>
    <t>4801 N Tryon St, Ste P</t>
  </si>
  <si>
    <t>IEPnmm0uXaWuGKdNI2ZO_A</t>
  </si>
  <si>
    <t>Sandwiches, Fast Food, Restaurants, Food, Delis, Food Delivery Services</t>
  </si>
  <si>
    <t>buacGSEw8yLGJo8g-i02wg</t>
  </si>
  <si>
    <t>Japanese, Seafood, Restaurants, Sushi Bars</t>
  </si>
  <si>
    <t>Pisces Sushi Bar &amp; Lounge</t>
  </si>
  <si>
    <t>1100 Metropolitan Ave, Ste 120</t>
  </si>
  <si>
    <t>O8Nh1NB9Gbtq6xjd9oeI3A</t>
  </si>
  <si>
    <t>Chinese, Restaurants, Vietnamese</t>
  </si>
  <si>
    <t>Pho Hong</t>
  </si>
  <si>
    <t>3209 Eastway Dr, Ste 7</t>
  </si>
  <si>
    <t>xUgt16DZ-gq67E2C9VbYgQ</t>
  </si>
  <si>
    <t>Cuban, Latin American, Caterers, Caribbean, Dominican, Restaurants, Event Planning &amp; Services</t>
  </si>
  <si>
    <t>Punta Cana Restaurant &amp; Grill</t>
  </si>
  <si>
    <t>5230 S Blvd</t>
  </si>
  <si>
    <t>aqszoKRB4Ol9bpemt0_-GQ</t>
  </si>
  <si>
    <t>Asian Fusion, Restaurants, Chinese</t>
  </si>
  <si>
    <t>Soho Bistro</t>
  </si>
  <si>
    <t>D4tn-pcvuK8lkv8CidmQig</t>
  </si>
  <si>
    <t>3134 The Plz</t>
  </si>
  <si>
    <t>QD76w6JnHHrUGB03YdL44A</t>
  </si>
  <si>
    <t>Sushi Bars, Japanese, Restaurants, Food, Soup, Desserts</t>
  </si>
  <si>
    <t>Edomae Sushi and Hibachi Grill</t>
  </si>
  <si>
    <t>9739 Northlake Centre Pkwy</t>
  </si>
  <si>
    <t>tYmFO3KoZpYvyDz4f5DLpw</t>
  </si>
  <si>
    <t>Fanz Sports Grill</t>
  </si>
  <si>
    <t>SXgVJz5aIvbeCXWvg0ZuNg</t>
  </si>
  <si>
    <t>Italian, Bars, Pizza, Restaurants, Nightlife</t>
  </si>
  <si>
    <t>1600 Central Ave</t>
  </si>
  <si>
    <t>2SmVDHidtlfAF9bXBn4XwQ</t>
  </si>
  <si>
    <t>Chicken Wings, Italian, Pizza, Restaurants</t>
  </si>
  <si>
    <t>8206 Providence Rd, Ste 1600</t>
  </si>
  <si>
    <t>DQIZ35zW26988gl4q_fDHA</t>
  </si>
  <si>
    <t>Beer, Wine &amp; Spirits, Pubs, Beer Gardens, American (New), Grocery, Nightlife, Food, Beer Bar, Restaurants, Bars</t>
  </si>
  <si>
    <t>Craft Tasting Room &amp; Growler Shop</t>
  </si>
  <si>
    <t>ZMEax9auuGMUPqxl2D3kLA</t>
  </si>
  <si>
    <t>Restaurants, Indian, Pakistani</t>
  </si>
  <si>
    <t>Passage To India</t>
  </si>
  <si>
    <t>9510 University City Blvd, Ste 101</t>
  </si>
  <si>
    <t>4I_e_jA1C2b9D98zc98zOA</t>
  </si>
  <si>
    <t>Salad, Sandwiches, Nightlife, Steakhouses, Bars, Restaurants, Burgers, Sports Bars, American (Traditional)</t>
  </si>
  <si>
    <t>Applebee's Neighborhood Grill &amp; Bar</t>
  </si>
  <si>
    <t>8710 S Tryon St</t>
  </si>
  <si>
    <t>0PVu9kNE_mhKww_eHAQF7g</t>
  </si>
  <si>
    <t>Restaurants, Mediterranean, Basque, Spanish</t>
  </si>
  <si>
    <t>Miro Spanish Grill</t>
  </si>
  <si>
    <t>7804 Rea Rd, Ste A</t>
  </si>
  <si>
    <t>WksJ0azJ63ijYh0p2HFZHA</t>
  </si>
  <si>
    <t>Latin American, Restaurants, Mexican, Caribbean</t>
  </si>
  <si>
    <t>Casa Grande Restaurant</t>
  </si>
  <si>
    <t>3609 South Blvd</t>
  </si>
  <si>
    <t>DTJ9_6yKye0Ul2qG45vGKw</t>
  </si>
  <si>
    <t>Restaurants, Gluten-Free, Specialty Food, Juice Bars &amp; Smoothies, Food, Fast Food, Vegetarian</t>
  </si>
  <si>
    <t>Grabbagreen Charlotte Ballantyne</t>
  </si>
  <si>
    <t>3429 Toringdon Way, Ste 104</t>
  </si>
  <si>
    <t>a76SwwCXPZ7sIy3FkX-rxw</t>
  </si>
  <si>
    <t>Restaurants, Burgers, American (New), American (Traditional)</t>
  </si>
  <si>
    <t>12330 Johnston Rd</t>
  </si>
  <si>
    <t>Ka3z0iudeviL2nEKZ4BeYg</t>
  </si>
  <si>
    <t>Food, Mexican, Tex-Mex, Restaurants</t>
  </si>
  <si>
    <t>PL_dfp1B_ogDaBwW_9MJ2w</t>
  </si>
  <si>
    <t>Gastropubs, Music Venues, Food, Pubs, Nightlife, Sports Bars, Restaurants, American (Traditional), Arts &amp; Entertainment, Breweries, Bars</t>
  </si>
  <si>
    <t>ysa5MEfWqybujFjsiXq7Lg</t>
  </si>
  <si>
    <t>Pie Town</t>
  </si>
  <si>
    <t>8hnEVC9ytSfv8y-qQZef5Q</t>
  </si>
  <si>
    <t>Burgers, Restaurants, American (Traditional), Steakhouses</t>
  </si>
  <si>
    <t>Ted's Montana Grill - Waverly</t>
  </si>
  <si>
    <t>7404 Waverly Walk Ave, Ste I-3</t>
  </si>
  <si>
    <t>suVeJNfzhTNwBYcngUHZjw</t>
  </si>
  <si>
    <t>Mai Japanese Restaurant</t>
  </si>
  <si>
    <t>Ku_qQVoMA02kFZiu55_UwA</t>
  </si>
  <si>
    <t>Nightlife, Beer, Wine &amp; Spirits, Food, American (New), Restaurants, Beer Gardens</t>
  </si>
  <si>
    <t>The Brass Tap</t>
  </si>
  <si>
    <t>1440 S Tryon St, Ste 105</t>
  </si>
  <si>
    <t>NhwwW_5JxYHQE4Zlfhu_5w</t>
  </si>
  <si>
    <t>Cajun/Creole, Vietnamese, Seafood, Restaurants</t>
  </si>
  <si>
    <t>Flamin Kitchen</t>
  </si>
  <si>
    <t>2130 E Arbors Dr, Ste 125</t>
  </si>
  <si>
    <t>hOSBQa3OvrwqZXVDJMqAag</t>
  </si>
  <si>
    <t>Food, Coffee &amp; Tea, Juice Bars &amp; Smoothies, Breakfast &amp; Brunch, Restaurants</t>
  </si>
  <si>
    <t>Joe and Nosh</t>
  </si>
  <si>
    <t>500 E Morehead St, ste 150-B</t>
  </si>
  <si>
    <t>wh62Gu_Wgnti9W_WAY-nHQ</t>
  </si>
  <si>
    <t>Showmars - Little Rock</t>
  </si>
  <si>
    <t>2540 Little Rock Rd</t>
  </si>
  <si>
    <t>SrWQxg2-eJsH5weJSWRzoA</t>
  </si>
  <si>
    <t>South 21 Family Restaurant</t>
  </si>
  <si>
    <t>6116 Brookshire Blvd</t>
  </si>
  <si>
    <t>hSKL-eAU_9rEyA3qmm8l-Q</t>
  </si>
  <si>
    <t>Thai House At Tower Place</t>
  </si>
  <si>
    <t>8706 Pineville Matthews Rd</t>
  </si>
  <si>
    <t>om4t1hDJRQqTRS9VT7ADhA</t>
  </si>
  <si>
    <t>Southern, Gastropubs, Pubs, Bars, Nightlife, Restaurants</t>
  </si>
  <si>
    <t>Q Tavern</t>
  </si>
  <si>
    <t>201 S McDowell St</t>
  </si>
  <si>
    <t>ppT0Rbx0-_W0W8DqY2fPiA</t>
  </si>
  <si>
    <t>Restaurants, Pizza, Italian</t>
  </si>
  <si>
    <t>8170 S Tryon St, Ste E, Whitehall Commons</t>
  </si>
  <si>
    <t>-5L8zOxibac-vBrsYtxXbQ</t>
  </si>
  <si>
    <t>Sports Bars, Restaurants, American (Traditional), Nightlife, Bars, Burgers</t>
  </si>
  <si>
    <t>Ed's Tavern</t>
  </si>
  <si>
    <t>mbfu9ag4VQYIi6dvhCX2dQ</t>
  </si>
  <si>
    <t>L2djnd9r9-WDPG7JKmdLfA</t>
  </si>
  <si>
    <t>Johnny Brusco's New York Style Pizza</t>
  </si>
  <si>
    <t>Es0BG2vF5Jhk1SBbXvUF5Q</t>
  </si>
  <si>
    <t>Seafood, Restaurants, Fish &amp; Chips</t>
  </si>
  <si>
    <t>Aussie  Fish &amp; Chips</t>
  </si>
  <si>
    <t>CSamwh_y3gOSg0Z7tyfJpw</t>
  </si>
  <si>
    <t>Greek, Mediterranean, Restaurants, Middle Eastern</t>
  </si>
  <si>
    <t>1235 East Blvd, Ste G</t>
  </si>
  <si>
    <t>FA-FJyVkMsgsLsoQWe4QFg</t>
  </si>
  <si>
    <t>Italian, Restaurants, Salad, Pizza, Bars, Nightlife</t>
  </si>
  <si>
    <t>DeSano Pizzeria Napoletana</t>
  </si>
  <si>
    <t>1500 E 3rd St</t>
  </si>
  <si>
    <t>9dqdzRzjSfbnMvjUGqWBAw</t>
  </si>
  <si>
    <t>Restaurants, American (Traditional), Breakfast &amp; Brunch, Diners</t>
  </si>
  <si>
    <t>Midnight Diner</t>
  </si>
  <si>
    <t>115 E Carson Blvd</t>
  </si>
  <si>
    <t>CDff_u-AJabyRIWTnY-4bQ</t>
  </si>
  <si>
    <t>Restaurants, Food, Farmers Market, Food Stands</t>
  </si>
  <si>
    <t>Harvest Moon Grille Cart</t>
  </si>
  <si>
    <t>gwo0iQlgQIKGXGTJYqWc7w</t>
  </si>
  <si>
    <t>Jin Jin Chinese Restaurant</t>
  </si>
  <si>
    <t>9115 Samlen Ln</t>
  </si>
  <si>
    <t>qB9qJ5MY4vyAFJRpmJ3iNQ</t>
  </si>
  <si>
    <t>Restaurants, Sports Bars, Nightlife, Mexican, Tex-Mex, Bars</t>
  </si>
  <si>
    <t>El Camino Restaurant</t>
  </si>
  <si>
    <t>1600 Montford Dr</t>
  </si>
  <si>
    <t>n-K5Mp3DraFcclNXyTdMvQ</t>
  </si>
  <si>
    <t>Food, American (Traditional), Restaurants</t>
  </si>
  <si>
    <t>Sandwich Max</t>
  </si>
  <si>
    <t>1941 E 7th St</t>
  </si>
  <si>
    <t>CYsSfDDpAtswz_FIzsXCew</t>
  </si>
  <si>
    <t>Diners, Restaurants, American (Traditional), Sandwiches</t>
  </si>
  <si>
    <t>Crown Point Restaurant</t>
  </si>
  <si>
    <t>2518 Sardis Rd N</t>
  </si>
  <si>
    <t>HkYlI0JyOyFzVgCWrPaGDg</t>
  </si>
  <si>
    <t>10018 Benfield Road, Ste 207</t>
  </si>
  <si>
    <t>xlXsgKzZHJww0KTA1TIZIA</t>
  </si>
  <si>
    <t>5970 Fairview Rd, Ste 100</t>
  </si>
  <si>
    <t>V_VQ9BgbLEzL9mPLQQlc6g</t>
  </si>
  <si>
    <t>The Loco Lime</t>
  </si>
  <si>
    <t>8jgeq1g94jJoZNktsMSruA</t>
  </si>
  <si>
    <t>6530 Statesville Rd</t>
  </si>
  <si>
    <t>S9NEydYJRzVMmTtbzTTl8A</t>
  </si>
  <si>
    <t>Cyros Sushi and Sake Bar</t>
  </si>
  <si>
    <t>z8vgLc2ypHQAlz5qcTCnUg</t>
  </si>
  <si>
    <t>9joPX1laPl3p6l_VfCQJFw</t>
  </si>
  <si>
    <t>il Nido Ristorante</t>
  </si>
  <si>
    <t>, 4219 Providence Rd, Ste 3</t>
  </si>
  <si>
    <t>K49pYZl4MBJf2UuDrx19Vw</t>
  </si>
  <si>
    <t>Fox's Pizza Den Charlotte</t>
  </si>
  <si>
    <t>249 Mount Holly Huntersville Rd</t>
  </si>
  <si>
    <t>dhBAQJLKPCI7nm3x0WjXTw</t>
  </si>
  <si>
    <t>Seafood, Sushi Bars, Food, Bars, Live/Raw Food, Beer Bar, Restaurants, Poke, Nightlife</t>
  </si>
  <si>
    <t>HI Tide Poke &amp; Raw Bar</t>
  </si>
  <si>
    <t>919 S McDowell St</t>
  </si>
  <si>
    <t>ydUqgWsF3F27TbauOyib0w</t>
  </si>
  <si>
    <t>Panda's Den</t>
  </si>
  <si>
    <t>5724 E Wt Harris Blvd</t>
  </si>
  <si>
    <t>HfagQNcFAdexV3ZdifSWQw</t>
  </si>
  <si>
    <t>Nightlife, Dive Bars, Barbeque, Bars, Restaurants</t>
  </si>
  <si>
    <t>Smokey Joe's Cafe</t>
  </si>
  <si>
    <t>510 Briar Creek Rd</t>
  </si>
  <si>
    <t>C0envk3zOx6mtLzrDs8tvA</t>
  </si>
  <si>
    <t>Karaoke, Dive Bars, Restaurants, Nightlife, Sports Bars, American (Traditional), Bars</t>
  </si>
  <si>
    <t>FoyNJ9w3cYW_YnDjiaHK2A</t>
  </si>
  <si>
    <t>Sonic Drive In</t>
  </si>
  <si>
    <t>13215 General Dr</t>
  </si>
  <si>
    <t>ibWJKyFwzm3K2UHSlc8EGA</t>
  </si>
  <si>
    <t>Venues &amp; Event Spaces, Food, Restaurants, Mexican, Event Planning &amp; Services, Caterers</t>
  </si>
  <si>
    <t>La Paz Restaurante &amp; Cantina</t>
  </si>
  <si>
    <t>1100 Metropolitan Ave</t>
  </si>
  <si>
    <t>EMdlJvCTuT_sylNzcElSLg</t>
  </si>
  <si>
    <t>American (Traditional), Steakhouses, Italian, Seafood, Restaurants</t>
  </si>
  <si>
    <t>The Palm Charlotte</t>
  </si>
  <si>
    <t>6705-B Phillips Pl Ct</t>
  </si>
  <si>
    <t>kNa3FvRAhM2oKYFoilVDzQ</t>
  </si>
  <si>
    <t>Japanese, Tapas Bars, Izakaya, Restaurants, Sushi Bars, Ramen</t>
  </si>
  <si>
    <t>Yamazaru</t>
  </si>
  <si>
    <t>2173 Hawkins St, Ste A</t>
  </si>
  <si>
    <t>5jLZwFR3BCppSqttdtFO7A</t>
  </si>
  <si>
    <t>Oceanaire Seafood Room</t>
  </si>
  <si>
    <t>eCeFBHucdjbZkJlry8EALw</t>
  </si>
  <si>
    <t>American (New), Sandwiches, Restaurants, Food Trucks, Street Vendors, Food</t>
  </si>
  <si>
    <t>Papi Queso</t>
  </si>
  <si>
    <t>2Ow-hFjuUJNrOJelKjfj6w</t>
  </si>
  <si>
    <t>Tex-Mex, Fast Food, Mexican, Restaurants</t>
  </si>
  <si>
    <t>5110 Sunset Rd</t>
  </si>
  <si>
    <t>2rEVm0bVQzKj8rndiEVjpg</t>
  </si>
  <si>
    <t>Rullo Di Pasta</t>
  </si>
  <si>
    <t>12206 Copper Way, Ste 138</t>
  </si>
  <si>
    <t>HtObLsspK0xIXfNPb7eUmA</t>
  </si>
  <si>
    <t>Japanese, Restaurants, Sushi Bars, Asian Fusion, Food, Ethnic Food, Specialty Food</t>
  </si>
  <si>
    <t>Fuji Japanese Steakhouse</t>
  </si>
  <si>
    <t>14126 RiverGate Pkwy, Ste 400</t>
  </si>
  <si>
    <t>-2pQf1ceDZyE2ReCNbj-3A</t>
  </si>
  <si>
    <t>American (Traditional), Breakfast &amp; Brunch, Food, Restaurants, Juice Bars &amp; Smoothies</t>
  </si>
  <si>
    <t>14136 Rivergate Pkwy</t>
  </si>
  <si>
    <t>6-IfbXLjCYBw03WJqoV9CA</t>
  </si>
  <si>
    <t>Caterers, Restaurants, Tex-Mex, Fast Food, Mexican, Event Planning &amp; Services</t>
  </si>
  <si>
    <t>_UCTo0560t8IyOq7TwJIUw</t>
  </si>
  <si>
    <t>Seafood, Burgers, Breakfast &amp; Brunch, American (Traditional), Cocktail Bars, Sandwiches, Diners, Restaurants, Steakhouses, Bars, Nightlife, American (New), Wine Bars</t>
  </si>
  <si>
    <t>Gallery Restaurant</t>
  </si>
  <si>
    <t>10000 Ballantyne Commons Pkwy</t>
  </si>
  <si>
    <t>s-6Wl5AmE-vtZca2zk2hxg</t>
  </si>
  <si>
    <t>American (New), Restaurants, Bars, Sports Bars, Burgers, Nightlife</t>
  </si>
  <si>
    <t>Char Bar No 7</t>
  </si>
  <si>
    <t>6300 Carmel Rd</t>
  </si>
  <si>
    <t>e1UF53wfi3HKNmPHzc3OLg</t>
  </si>
  <si>
    <t>Chicken Wings, Restaurants, Salad, Fast Food</t>
  </si>
  <si>
    <t>9308 Robert Irwin Dr</t>
  </si>
  <si>
    <t>1j-DEipQoZHlj2UYSaoGWQ</t>
  </si>
  <si>
    <t>Soul Food, Desserts, Caribbean, Southern, Sandwiches, Food, Burgers, Restaurants</t>
  </si>
  <si>
    <t>Soul Central</t>
  </si>
  <si>
    <t>2903 Central Ave</t>
  </si>
  <si>
    <t>Sn_8iHhrU5lOX6kHkQYQdg</t>
  </si>
  <si>
    <t>Food, Pizza, Restaurants, Desserts</t>
  </si>
  <si>
    <t>10620 Providence Rd, Apt A</t>
  </si>
  <si>
    <t>tHJhdlrISoznANVw0eLWbQ</t>
  </si>
  <si>
    <t>Verona</t>
  </si>
  <si>
    <t>127 N Tryon St, Ste 270</t>
  </si>
  <si>
    <t>CzmyMl4jnlyQYVaf3YmDYQ</t>
  </si>
  <si>
    <t>Arts &amp; Entertainment, Festivals, Food, Barbeque, Restaurants, Beer, Wine &amp; Spirits, Local Flavor</t>
  </si>
  <si>
    <t>Beer Bourbon &amp; BBQ Festival</t>
  </si>
  <si>
    <t>Wq43-U_iu8ujaaR9aAjIvQ</t>
  </si>
  <si>
    <t>Thai 1st</t>
  </si>
  <si>
    <t>apMG3W6-qpHIuo4ApZy3IA</t>
  </si>
  <si>
    <t>American (New), Breakfast &amp; Brunch, Sushi Bars, Restaurants, Desserts, Food</t>
  </si>
  <si>
    <t>Bricktop's Restaurant</t>
  </si>
  <si>
    <t>6401 Morrison Blvd, Ste 1B</t>
  </si>
  <si>
    <t>H4E4sZ6PKBef65hU0GKi_g</t>
  </si>
  <si>
    <t>Bars, Restaurants, Event Planning &amp; Services, Active Life, Nightlife, American (Traditional), Sports Bars, Venues &amp; Event Spaces, Bowling</t>
  </si>
  <si>
    <t>StrikeCity</t>
  </si>
  <si>
    <t>210 E Trade St, Ste D164</t>
  </si>
  <si>
    <t>w_X-UvtOBMiZioKBEp0CHQ</t>
  </si>
  <si>
    <t>Food Trucks, Food, Barbeque, Restaurants</t>
  </si>
  <si>
    <t>Boone's Barbque Kitchen</t>
  </si>
  <si>
    <t>1422 Winnifred St</t>
  </si>
  <si>
    <t>Dq3lDBtuJqYDdmP0x01XnA</t>
  </si>
  <si>
    <t>eOtgU4z0Gt7udIxHZen03Q</t>
  </si>
  <si>
    <t>Country Clubs, Arts &amp; Entertainment, Active Life, Restaurants, Golf</t>
  </si>
  <si>
    <t>Belle Acres Golf &amp; Country Club</t>
  </si>
  <si>
    <t>3033 South Blvd</t>
  </si>
  <si>
    <t>dchNeTQHfK4wP45gYkrJqw</t>
  </si>
  <si>
    <t>Desserts, Chicken Wings, Restaurants, Food, Pizza, American (Traditional)</t>
  </si>
  <si>
    <t>10900 University City Blvd, Ste 13-15</t>
  </si>
  <si>
    <t>92rhxx9s3s5_vNkJbRjVNw</t>
  </si>
  <si>
    <t>El Rancho Mexican Grill</t>
  </si>
  <si>
    <t>rnEsf4rD5a_BuaJysOezCQ</t>
  </si>
  <si>
    <t>Indian, Restaurants, Bakeries, Food</t>
  </si>
  <si>
    <t>Cakes N Flakes</t>
  </si>
  <si>
    <t>lI8ScnSwIKe7hl0Z-uF2ug</t>
  </si>
  <si>
    <t>Fast Food, Hot Dogs, Restaurants, Burgers</t>
  </si>
  <si>
    <t>2540 Freedom Dr</t>
  </si>
  <si>
    <t>uWRhh7MElFjkFO7HS_DGbA</t>
  </si>
  <si>
    <t>Local Flavor, Arts &amp; Entertainment, Restaurants, Festivals, Brasseries</t>
  </si>
  <si>
    <t>OMB's Weihnachtsmarkt - Christmas Market</t>
  </si>
  <si>
    <t>217 Southside Dr</t>
  </si>
  <si>
    <t>xxCrRqqICzQyR0Q-iqCrNw</t>
  </si>
  <si>
    <t>Restaurants, Sandwiches, Fast Food, Active Life</t>
  </si>
  <si>
    <t>1300 The Plz</t>
  </si>
  <si>
    <t>JxUe37ZhYlfi5_0hUaJ_oQ</t>
  </si>
  <si>
    <t>6035 Hickory Grove Rd</t>
  </si>
  <si>
    <t>1wEexq5NrFK_YQgl6GG6ng</t>
  </si>
  <si>
    <t>Fast Food, Burgers, Food, Restaurants, Coffee &amp; Tea</t>
  </si>
  <si>
    <t>6301 Albemarle Rd</t>
  </si>
  <si>
    <t>NMO1hExBvamoZ9RKEVNcYg</t>
  </si>
  <si>
    <t>Steakhouses, Seafood, Nightlife, American (Traditional), Wine Bars, Bars, Restaurants</t>
  </si>
  <si>
    <t>McCormick &amp; Schmick's Seafood &amp; Steaks</t>
  </si>
  <si>
    <t>J7fekWie4ZwR03AZVBisFw</t>
  </si>
  <si>
    <t>Breakfast &amp; Brunch, Salad, Restaurants, Cafes, Event Planning &amp; Services, Caterers, Chicken Wings, American (New)</t>
  </si>
  <si>
    <t>Cafe South</t>
  </si>
  <si>
    <t>7901 Forest Pine Dr</t>
  </si>
  <si>
    <t>1T0uhB3fMsmkfsECmbYkvA</t>
  </si>
  <si>
    <t>Motherland Cuisine &amp; Market</t>
  </si>
  <si>
    <t>6024 The Plz, Ste A</t>
  </si>
  <si>
    <t>D2ojX9bvE0_-aIj9BhdZZA</t>
  </si>
  <si>
    <t>Breakfast &amp; Brunch, Seafood, Nightlife, Wine Bars, American (New), Sandwiches, Bars, Restaurants, Pizza</t>
  </si>
  <si>
    <t>300 East</t>
  </si>
  <si>
    <t>300 East Blvd</t>
  </si>
  <si>
    <t>Lu2JB7jgvrrYqba1grvkFw</t>
  </si>
  <si>
    <t>Captain Steve's</t>
  </si>
  <si>
    <t>8517 Monroe Rd</t>
  </si>
  <si>
    <t>V0iYi5OjdRcz82m95jV7vQ</t>
  </si>
  <si>
    <t>Food, Bakeries, Restaurants, Desserts, French</t>
  </si>
  <si>
    <t>Renaissance Patisserie</t>
  </si>
  <si>
    <t>6401 Morrison Blvd, Ste 4A</t>
  </si>
  <si>
    <t>PJnrRUbeUod82qAjW_8J_Q</t>
  </si>
  <si>
    <t>El Bohio Tipico Restaurant</t>
  </si>
  <si>
    <t>3600 N Sharon Amity Rd</t>
  </si>
  <si>
    <t>9bfuS3rmaLUgElvmbMy30w</t>
  </si>
  <si>
    <t>Barbeque, Restaurants, Food Stands</t>
  </si>
  <si>
    <t>Red's BBQ</t>
  </si>
  <si>
    <t>YCq8VGDRHO3JkiyUzQbyIw</t>
  </si>
  <si>
    <t>Desserts, Restaurants, Salad, Food, Indian</t>
  </si>
  <si>
    <t>Diners, Breakfast &amp; Brunch, American (Traditional), Restaurants</t>
  </si>
  <si>
    <t>Mattie's Diner</t>
  </si>
  <si>
    <t>915 Hamilton St</t>
  </si>
  <si>
    <t>HmGFMFsrwu7UhzGjtog9NQ</t>
  </si>
  <si>
    <t>American (Traditional), Sandwiches, Burgers, Restaurants, American (New), Desserts, Breakfast &amp; Brunch, Food</t>
  </si>
  <si>
    <t>134 W Woodlawn Rd</t>
  </si>
  <si>
    <t>z7NIceJU_4vSk-EJ8H6hQA</t>
  </si>
  <si>
    <t>Indian, Salad, Restaurants, Desserts, Seafood, Food</t>
  </si>
  <si>
    <t>Bombay Grille</t>
  </si>
  <si>
    <t>Vc736i4U68KH31qEfArj7A</t>
  </si>
  <si>
    <t>Food, Cafes, Coffee &amp; Tea, Restaurants</t>
  </si>
  <si>
    <t>TK Cafe</t>
  </si>
  <si>
    <t>MKUpzdjfDqC_Z1Y_hNmz3w</t>
  </si>
  <si>
    <t>Parkway House Family Restaurant</t>
  </si>
  <si>
    <t>5821 E Wt Harris Blvd</t>
  </si>
  <si>
    <t>JogUSDKa1xyG3lLEmD4Xjg</t>
  </si>
  <si>
    <t>Restaurants, Italian, Food</t>
  </si>
  <si>
    <t>Fiamma</t>
  </si>
  <si>
    <t>2418 Park Rd</t>
  </si>
  <si>
    <t>fyw7Ht1OXnA6b6rrXEpwdQ</t>
  </si>
  <si>
    <t>Ikos Fresh Aegean Grill</t>
  </si>
  <si>
    <t>13736 Conlan Cir</t>
  </si>
  <si>
    <t>WnF8_egpcWaxRQK5CKTf7g</t>
  </si>
  <si>
    <t>Foskoskies on Shamrock</t>
  </si>
  <si>
    <t>2121 Shamrock Dr, Ste A</t>
  </si>
  <si>
    <t>L_X5eAd4moE40AsX6Havhg</t>
  </si>
  <si>
    <t>5110-1E Park Rd</t>
  </si>
  <si>
    <t>f0W6bna3rd1q7Qwli1Iqiw</t>
  </si>
  <si>
    <t>Restaurants, Breakfast &amp; Brunch, American (Traditional), Diners</t>
  </si>
  <si>
    <t>4541 Sunset Rd</t>
  </si>
  <si>
    <t>6kZfsRDVaLE7ByADH2dTmw</t>
  </si>
  <si>
    <t>Restaurants, Sports Bars, Nightlife, Bars</t>
  </si>
  <si>
    <t>Midtown Sundries</t>
  </si>
  <si>
    <t>7mgNBuU68N5fzdG3JxN1XQ</t>
  </si>
  <si>
    <t>Restaurants, Indian, Food</t>
  </si>
  <si>
    <t>3130 Driwood Ct, Ste B</t>
  </si>
  <si>
    <t>GhGYQ5WI4LdH53591fUMMA</t>
  </si>
  <si>
    <t>Chinese, Local Flavor, Asian Fusion, Japanese, Thai, Restaurants</t>
  </si>
  <si>
    <t>WAM Asian Grill</t>
  </si>
  <si>
    <t>cnRMezUuLesmJHruUpAECA</t>
  </si>
  <si>
    <t>Food, Chinese, Food Delivery Services, Asian Fusion, Restaurants</t>
  </si>
  <si>
    <t>Wok Bar</t>
  </si>
  <si>
    <t>SBPttAVjzEnN3VE6sKiaMg</t>
  </si>
  <si>
    <t>Jo Jo China Bistro</t>
  </si>
  <si>
    <t>suJ-eo5Gkvcg0iXVQw4RyA</t>
  </si>
  <si>
    <t>Hotels &amp; Travel, Event Planning &amp; Services, Steakhouses, Restaurants, Hotels</t>
  </si>
  <si>
    <t>Embassy Suites by Hilton Charlotte</t>
  </si>
  <si>
    <t>c9sB3U6aAJ8_5GFkcbuKQg</t>
  </si>
  <si>
    <t>American (New), Delis, Sandwiches, Salad, Restaurants</t>
  </si>
  <si>
    <t>9864 Rea Rd, Ste A</t>
  </si>
  <si>
    <t>YaGkCO51sV6MLavJ3XUmWw</t>
  </si>
  <si>
    <t>5716-A Wyalong Dr</t>
  </si>
  <si>
    <t>MPHTTk4kA_qOHholB53H5w</t>
  </si>
  <si>
    <t>Chicken Shop, Breakfast &amp; Brunch, Chicken Wings, Restaurants, Fast Food</t>
  </si>
  <si>
    <t>Church's Chicken</t>
  </si>
  <si>
    <t>3443 Wilkinson Blvd</t>
  </si>
  <si>
    <t>X9XT0Y8wHMOYpV9uFD-xlQ</t>
  </si>
  <si>
    <t>Japanese, Sushi Bars, Asian Fusion, Restaurants</t>
  </si>
  <si>
    <t>6434 W Sugar Creek Rd, Ste D</t>
  </si>
  <si>
    <t>o3Kd6hNWY5ikm1hre_BLGw</t>
  </si>
  <si>
    <t>Nightlife, Bars, Wine Bars, Tapas/Small Plates, Restaurants, American (New)</t>
  </si>
  <si>
    <t>Threes Tap Room Wine Bar Cafe</t>
  </si>
  <si>
    <t>749MsdV9v1SijXaLrY23pw</t>
  </si>
  <si>
    <t>Candy Stores, Delis, Desserts, Bakeries, Chocolatiers &amp; Shops, Beer, Wine &amp; Spirits, Restaurants, Coffee &amp; Tea, Specialty Food, Grocery, Cheese Shops, Food</t>
  </si>
  <si>
    <t>Dean &amp; DeLuca</t>
  </si>
  <si>
    <t>6903 Phillips Pl Ct</t>
  </si>
  <si>
    <t>ykNux6Q2Fpo4iCNi93aHdQ</t>
  </si>
  <si>
    <t>American (New), Seafood, Restaurants, Live/Raw Food, Bars, Nightlife</t>
  </si>
  <si>
    <t>Bankers Raw Bar</t>
  </si>
  <si>
    <t>Coffee &amp; Tea, Burgers, Breakfast &amp; Brunch, Food, Restaurants</t>
  </si>
  <si>
    <t>Silver Bullet Diner</t>
  </si>
  <si>
    <t>aD83v5anImc1vTH-bp3KBw</t>
  </si>
  <si>
    <t>11630 Waverly Center Dr</t>
  </si>
  <si>
    <t>RbMo9QIPDWP7nAAolS7IFA</t>
  </si>
  <si>
    <t>Bars, Sports Bars, Food, Irish, Restaurants, American (Traditional), Nightlife, Beer, Wine &amp; Spirits</t>
  </si>
  <si>
    <t>Kennedy's Premium Bar and Grill</t>
  </si>
  <si>
    <t>366 N Caswell St</t>
  </si>
  <si>
    <t>ofpuVYCw6VCkybFVIdwYEQ</t>
  </si>
  <si>
    <t>Bagels, Food, Breakfast &amp; Brunch, Delis, Restaurants</t>
  </si>
  <si>
    <t>Poppy's Bagels &amp; More</t>
  </si>
  <si>
    <t>2921 Providence Rd, Ste 102</t>
  </si>
  <si>
    <t>Xg7Gt8vlSPxSypDQQSVsAA</t>
  </si>
  <si>
    <t>Mi Pueblo Mexican Grill</t>
  </si>
  <si>
    <t>1820 Sardis Rd N</t>
  </si>
  <si>
    <t>AY19WQ4S096AVPV6YeB9sQ</t>
  </si>
  <si>
    <t>4335 Park Rd</t>
  </si>
  <si>
    <t>EVCLVY5Jazha-XXDwQavqw</t>
  </si>
  <si>
    <t>Marco's Pizza</t>
  </si>
  <si>
    <t>12820 S Tryon St, Ste120</t>
  </si>
  <si>
    <t>Rs-VhTqmuAdHg3CGGUr4Dg</t>
  </si>
  <si>
    <t>Shopping, Specialty Food, Restaurants, Food, Cheese Shops, Sandwiches</t>
  </si>
  <si>
    <t>Orrman's Cheese Shop</t>
  </si>
  <si>
    <t>V05RCDj9Me-1O7VHpT1oXw</t>
  </si>
  <si>
    <t>Mediterranean, Greek, Seafood, Breakfast &amp; Brunch, Restaurants, Tapas Bars</t>
  </si>
  <si>
    <t>M5 Modern Mediterranean</t>
  </si>
  <si>
    <t>4310 Sharon Road</t>
  </si>
  <si>
    <t>OqhMk3pIe-q-_ixiC6TNjw</t>
  </si>
  <si>
    <t>Soup, Breakfast &amp; Brunch, Salad, Bagels, Food, Bakeries, Sandwiches, Coffee &amp; Tea, Restaurants</t>
  </si>
  <si>
    <t>9321 Jw Clay Blvd</t>
  </si>
  <si>
    <t>9pJi6KG-GHZILKA_r9uZvQ</t>
  </si>
  <si>
    <t>Fast Food, Mexican, Restaurants</t>
  </si>
  <si>
    <t>4400 Sharon Rd, Space G41</t>
  </si>
  <si>
    <t>39AOOQM4Ff6rWXW8b9ZPvw</t>
  </si>
  <si>
    <t>Restaurants, Chinese, Buffets, Sushi Bars</t>
  </si>
  <si>
    <t>Chen's Bistro</t>
  </si>
  <si>
    <t>wAq7H1WDWdClOxh_MMJhZQ</t>
  </si>
  <si>
    <t>10365 Park Rd</t>
  </si>
  <si>
    <t>up8W0NlzhwbmrWNxny18Gg</t>
  </si>
  <si>
    <t>Italian, Restaurants, Specialty Food, Pasta Shops, Food</t>
  </si>
  <si>
    <t>DeSarnos</t>
  </si>
  <si>
    <t>6420 Rea Rd, B4</t>
  </si>
  <si>
    <t>QShxCR0mR1vvZIylInZDAQ</t>
  </si>
  <si>
    <t>Udipi Indian Cuisine</t>
  </si>
  <si>
    <t>OYB1niC3P2qP8Jf0bigB7A</t>
  </si>
  <si>
    <t>2109 South Blvd</t>
  </si>
  <si>
    <t>6kq9oLduJAYkb2WjAb36KA</t>
  </si>
  <si>
    <t>Vietnamese, Restaurants, Sandwiches</t>
  </si>
  <si>
    <t>Le's Sandwiches &amp; Cafe</t>
  </si>
  <si>
    <t>4520 N Tryon St</t>
  </si>
  <si>
    <t>Y7lpoA_lJ1rx3NNqHMgGwA</t>
  </si>
  <si>
    <t>Burgers, Asian Fusion, Restaurants</t>
  </si>
  <si>
    <t>Nom Nom Burger</t>
  </si>
  <si>
    <t>1600 E Woodlawn Rd, Ste 270</t>
  </si>
  <si>
    <t>zMnev6ayIxndjTKTazMcpw</t>
  </si>
  <si>
    <t>American (Traditional), American (New), Breakfast &amp; Brunch, Restaurants, Burgers</t>
  </si>
  <si>
    <t>16015-A Lancaster Hwy</t>
  </si>
  <si>
    <t>WKK4pVmSvlZu-oUT63fwNQ</t>
  </si>
  <si>
    <t>Delis, Restaurants, Fast Food, Sandwiches</t>
  </si>
  <si>
    <t>8516 S Tryon St, Ste 105</t>
  </si>
  <si>
    <t>H3VefbNVj3vLw7w5aC7d8w</t>
  </si>
  <si>
    <t>Spanish, Basque, Latin American, Restaurants, Peruvian</t>
  </si>
  <si>
    <t>Machu Picchu</t>
  </si>
  <si>
    <t>4715 E Independence Blvd.</t>
  </si>
  <si>
    <t>HzGeL_H3rkm5W9DkN9FQBw</t>
  </si>
  <si>
    <t>Seafood, Chinese, Soup, Restaurants</t>
  </si>
  <si>
    <t>Golden Wok</t>
  </si>
  <si>
    <t>1535 Remount Rd</t>
  </si>
  <si>
    <t>XRT9dhzPS1n9iqmb_8eJjw</t>
  </si>
  <si>
    <t>Sandwiches, Breakfast &amp; Brunch, Restaurants, Bagels, Food</t>
  </si>
  <si>
    <t>8706 Pineville-Matthews Rd, Ste 100</t>
  </si>
  <si>
    <t>FoZQW4WpXAEOOVZ9MepnZA</t>
  </si>
  <si>
    <t>Food, Vegetarian, Restaurants, American (Traditional), Desserts</t>
  </si>
  <si>
    <t>Switchin' Kitchens</t>
  </si>
  <si>
    <t>8025 Ardrey Kell Rd</t>
  </si>
  <si>
    <t>6ZvyA9xE0bKGanHOTjLioA</t>
  </si>
  <si>
    <t>American (Traditional), Burgers, Steakhouses, Sandwiches, Barbeque, Restaurants</t>
  </si>
  <si>
    <t>Smokey Bones Bar &amp; Fire Grill</t>
  </si>
  <si>
    <t>8760 JM Keynes Dr</t>
  </si>
  <si>
    <t>gI6rLFU0jwO-wHEsl__5QQ</t>
  </si>
  <si>
    <t>Mexican, Restaurants, Sandwiches, Event Planning &amp; Services, Fast Food, Caterers</t>
  </si>
  <si>
    <t>8200 Providence Rd, Ste 100</t>
  </si>
  <si>
    <t>ryhFIQc4NbAZIfq3JUvf1Q</t>
  </si>
  <si>
    <t>Restaurants, American (Traditional), Desserts, Cheesesteaks, Food</t>
  </si>
  <si>
    <t>CCs Sweet Potato Pies</t>
  </si>
  <si>
    <t>tshN5rYRrzanHu4ZiwCVrA</t>
  </si>
  <si>
    <t>Restaurants, Italian, Wine Bars, Bars, Salad, Nightlife</t>
  </si>
  <si>
    <t>Olive Garden Italian Restaurant</t>
  </si>
  <si>
    <t>8225 Northlake Commons Blvd</t>
  </si>
  <si>
    <t>tInrGCzll4k9hF34Ye1rvQ</t>
  </si>
  <si>
    <t>Venues &amp; Event Spaces, Vegetarian, Buffets, Restaurants, Event Planning &amp; Services, Brazilian, Nightlife, Bars, Steakhouses, Cocktail Bars</t>
  </si>
  <si>
    <t>Chima Steakhouse</t>
  </si>
  <si>
    <t>139 S Tryon St</t>
  </si>
  <si>
    <t>dy9VGj4N-sJD1bGse9y9Zw</t>
  </si>
  <si>
    <t>Specialty Food, Seafood, Seafood Markets, Restaurants, Food</t>
  </si>
  <si>
    <t>Deep Sea Seafood Market</t>
  </si>
  <si>
    <t>IVbvOKxV9mN1OuZBl-3_rA</t>
  </si>
  <si>
    <t>Restaurants, Southern, Soul Food</t>
  </si>
  <si>
    <t>La'Wan's</t>
  </si>
  <si>
    <t>7520 S Tryon St, Ste 19</t>
  </si>
  <si>
    <t>ngjl1kOSXpdP38gZHCGY5Q</t>
  </si>
  <si>
    <t>Restaurants, Vegetarian, Ethiopian, Caribbean, Hookah Bars, Nightlife, Bars</t>
  </si>
  <si>
    <t>Queen Sheba Bar &amp; Restaurant</t>
  </si>
  <si>
    <t>67IWr5jwskv0-RwWAhkTaA</t>
  </si>
  <si>
    <t>Chinese, Noodles, Restaurants, Thai, Italian, Fast Food, Asian Fusion, Comfort Food, American (Traditional)</t>
  </si>
  <si>
    <t>8016 Providence Rd</t>
  </si>
  <si>
    <t>sVoeqb0-JCf82n4z9cUJLA</t>
  </si>
  <si>
    <t>Pizza, Sandwiches, Salad, Restaurants, American (New)</t>
  </si>
  <si>
    <t>Crisp</t>
  </si>
  <si>
    <t>1412F East Blvd</t>
  </si>
  <si>
    <t>QH2OSulslnQ7Yn8Xs81SPg</t>
  </si>
  <si>
    <t>American (Traditional), Restaurants, Nightlife, Beer Bar, American (New), Pubs, Bars</t>
  </si>
  <si>
    <t>Growlers Pourhouse</t>
  </si>
  <si>
    <t>3120 N Davidson St</t>
  </si>
  <si>
    <t>CgCkOG9Z5gCO3fgq-ficpQ</t>
  </si>
  <si>
    <t>Restaurants, Breakfast &amp; Brunch, Pizza, Gluten-Free, Vegetarian, Salad</t>
  </si>
  <si>
    <t>eMYeEapscbKNqUDCx705hg</t>
  </si>
  <si>
    <t>Tex-Mex, Latin American, Restaurants, Mexican</t>
  </si>
  <si>
    <t>7510 Pineville Matthew Rd, Ste 10A-2</t>
  </si>
  <si>
    <t>9irqLgBwUal_HI0mNkqTEQ</t>
  </si>
  <si>
    <t>Palone's Pizza</t>
  </si>
  <si>
    <t>8133 Ardrey Kell Rd, Ste 103</t>
  </si>
  <si>
    <t>kFEqEz7xdkCNHlJJzenssA</t>
  </si>
  <si>
    <t>Zink American Kitchen</t>
  </si>
  <si>
    <t>VvXI3pyUFl1MAimZsX5RrA</t>
  </si>
  <si>
    <t>Lorenzo's Pizzeria</t>
  </si>
  <si>
    <t>16721 Orchard Stone Run, Ste 100</t>
  </si>
  <si>
    <t>uTJKfu-93DBqGfwb_k1-VQ</t>
  </si>
  <si>
    <t>Food, Sandwiches, Restaurants, Bakeries</t>
  </si>
  <si>
    <t>Great Harvest Bread</t>
  </si>
  <si>
    <t>6420 Rea Rd</t>
  </si>
  <si>
    <t>eGsKUwNePmHUM2CqGIuxUA</t>
  </si>
  <si>
    <t>Ice Cream &amp; Frozen Yogurt, Restaurants, Food</t>
  </si>
  <si>
    <t>Rita's Ice &amp; Custard</t>
  </si>
  <si>
    <t>Galleria Commons, 1605 Galleria Blvd, Ste 140</t>
  </si>
  <si>
    <t>QXu5iUDVCg4fQ7SmiMSj6A</t>
  </si>
  <si>
    <t>Restaurants, Burgers, Hot Dogs, Coffee &amp; Tea, Fast Food, Food</t>
  </si>
  <si>
    <t>1201 W Sugar Creek Rd</t>
  </si>
  <si>
    <t>WUGbiFUhH6Iil_GCD0XU4g</t>
  </si>
  <si>
    <t>American (Traditional), Comfort Food, Restaurants, Caterers, Event Planning &amp; Services</t>
  </si>
  <si>
    <t>829 Providence Rd</t>
  </si>
  <si>
    <t>AqM7xScMk-EyDHYmklALCA</t>
  </si>
  <si>
    <t>Adamary's Restaurante y Pupuseria</t>
  </si>
  <si>
    <t>3100 Central Ave, Ste 7</t>
  </si>
  <si>
    <t>wJnhUJCOYkncLPZAwaMffA</t>
  </si>
  <si>
    <t>Restaurants, Chinese, Sushi Bars, Soup, Asian Fusion</t>
  </si>
  <si>
    <t>Room 112</t>
  </si>
  <si>
    <t>112 S Tryon St</t>
  </si>
  <si>
    <t>JQAJTyQq7X1Tt2eH3-NThw</t>
  </si>
  <si>
    <t>Food, Restaurants, Southern, Fast Food, American (New)</t>
  </si>
  <si>
    <t>Bojangles'</t>
  </si>
  <si>
    <t>ACipqGe2moRp4MwANsxw-A</t>
  </si>
  <si>
    <t>Burgers, Restaurants, American (Traditional), Nightlife, Sports Bars, Bars</t>
  </si>
  <si>
    <t>Picasso's Sports Cafe</t>
  </si>
  <si>
    <t>L-CU_omta7blxdeh5JcMPg</t>
  </si>
  <si>
    <t>Fast Food, Pan Asian, Restaurants, Chinese</t>
  </si>
  <si>
    <t>5501 Josh Birmingham Pkwy, Gate 27, Concourse E</t>
  </si>
  <si>
    <t>VJ46ohh-N7iHKfEX1z7mcg</t>
  </si>
  <si>
    <t>Food, Breakfast &amp; Brunch, Coffee &amp; Tea, Desserts, Belgian, Restaurants</t>
  </si>
  <si>
    <t>Cast Iron Waffles</t>
  </si>
  <si>
    <t>4620 Piedmont Row Dr, Ste 100</t>
  </si>
  <si>
    <t>i1CjtZPz2h0Q8Y2-H_miuQ</t>
  </si>
  <si>
    <t>Bagels, Restaurants, Food</t>
  </si>
  <si>
    <t>Einstein's Bagels</t>
  </si>
  <si>
    <t>gIIEgpdUPm1IMs-yKl-91A</t>
  </si>
  <si>
    <t>Restaurants, Sandwiches, Cafes</t>
  </si>
  <si>
    <t>K&amp;W Cafeteria</t>
  </si>
  <si>
    <t>8652 Pineville-Matthews Rd</t>
  </si>
  <si>
    <t>wTM0rpskJ3JILGBs295X-A</t>
  </si>
  <si>
    <t>Restaurants, Hotels &amp; Travel, Event Planning &amp; Services, Hotels</t>
  </si>
  <si>
    <t>Dunhill Hotel</t>
  </si>
  <si>
    <t>237 N Tryon St</t>
  </si>
  <si>
    <t>sPwgafejYVdf8hd4-oDYVg</t>
  </si>
  <si>
    <t>Restaurants, Pubs, Bars, Cheesesteaks, Nightlife, Chicken Wings, Burgers</t>
  </si>
  <si>
    <t>DD Peckers</t>
  </si>
  <si>
    <t>10403 Park Rd, Ste E</t>
  </si>
  <si>
    <t>JJxI7OA8wgr8ZMuwaKborQ</t>
  </si>
  <si>
    <t>Rotisserie Pollo Rico</t>
  </si>
  <si>
    <t>pkPGkiFYWrB6guAM5BprkQ</t>
  </si>
  <si>
    <t>Delis, Italian, Specialty Food, Pasta Shops, Food, Grocery, Restaurants</t>
  </si>
  <si>
    <t>Pasta &amp; Provisions</t>
  </si>
  <si>
    <t>1600 S Mint St</t>
  </si>
  <si>
    <t>qcTaluNjodgXvSE-MFYvKQ</t>
  </si>
  <si>
    <t>Restaurants, Pizza, Food, Chicken Wings, American (Traditional), Desserts</t>
  </si>
  <si>
    <t>10823 John Price Rd</t>
  </si>
  <si>
    <t>CWIYnBcq-onxxcby8WJp0w</t>
  </si>
  <si>
    <t>Restaurants, Greek, American (Traditional)</t>
  </si>
  <si>
    <t>Showmars Steele Creek</t>
  </si>
  <si>
    <t>CnNMTUglX4WuXQPE_Ap2lg</t>
  </si>
  <si>
    <t>Nikko</t>
  </si>
  <si>
    <t>MkjEpBea6sArBdK8za8MIQ</t>
  </si>
  <si>
    <t>Nightlife, Restaurants, Bars, American (Traditional), Pubs, Sports Bars</t>
  </si>
  <si>
    <t>Carolina Ale House</t>
  </si>
  <si>
    <t>7404 Waverly Walk Ave, Ste I-1</t>
  </si>
  <si>
    <t>6PtDrXXQK9JyrN7M4nvZyA</t>
  </si>
  <si>
    <t>Fortune Cookie Chinese Restaurant</t>
  </si>
  <si>
    <t>7211-10 E Independence Blvd</t>
  </si>
  <si>
    <t>0HAgqWjNfT5nbbWk3Xy2Bw</t>
  </si>
  <si>
    <t>Peruvian, Latin American, Restaurants</t>
  </si>
  <si>
    <t>Genaro's Rotisserie &amp; Grill</t>
  </si>
  <si>
    <t>10405-B Park Rd</t>
  </si>
  <si>
    <t>0lCj9kOOyfpbbnc5VZglRQ</t>
  </si>
  <si>
    <t>Juice Bars &amp; Smoothies, Salad, Burgers, American (Traditional), Food, Restaurants</t>
  </si>
  <si>
    <t>14825 Ballantyne Village Way, Ste 150</t>
  </si>
  <si>
    <t>sR8abAg-zKxqE0HkICA-4A</t>
  </si>
  <si>
    <t>Southern, Soul Food, Restaurants</t>
  </si>
  <si>
    <t>Down To the Bone</t>
  </si>
  <si>
    <t>7945 N Tryon St</t>
  </si>
  <si>
    <t>I6Xa5eF9Jv9VM6ms_dkY8A</t>
  </si>
  <si>
    <t>Bars, Restaurants, Nightlife, Greek, Mediterranean</t>
  </si>
  <si>
    <t>8426 Park Rd</t>
  </si>
  <si>
    <t>dSqYhPGziZoJMGPSA1y0og</t>
  </si>
  <si>
    <t>Restaurants, Burgers, Fast Food</t>
  </si>
  <si>
    <t>310 E Trade St</t>
  </si>
  <si>
    <t>LQI8R7yYXmWzWKd7wLCf2Q</t>
  </si>
  <si>
    <t>Dish</t>
  </si>
  <si>
    <t>1220 Thomas Ave</t>
  </si>
  <si>
    <t>fEUkduphNffvbS8tDQjw7A</t>
  </si>
  <si>
    <t>Pizza, Restaurants, Tex-Mex, Caterers, Mexican, Salad, Event Planning &amp; Services</t>
  </si>
  <si>
    <t>Salsarita's Fresh Cantina</t>
  </si>
  <si>
    <t>320 S Tryon St, Ste 100A</t>
  </si>
  <si>
    <t>VH3WA7a-OVzFj2K_SP4BIw</t>
  </si>
  <si>
    <t>Soul Food, Food, American (Traditional), Bakeries, Restaurants, Southern</t>
  </si>
  <si>
    <t>The King's Kitchen</t>
  </si>
  <si>
    <t>129 W Trade St</t>
  </si>
  <si>
    <t>0-ybmpcCIDjh_v9XLBkeig</t>
  </si>
  <si>
    <t>Ethnic Food, Restaurants, Food, Caribbean, Specialty Food</t>
  </si>
  <si>
    <t>Island Paradise Jamaican Restaurant</t>
  </si>
  <si>
    <t>200 W Woodlawn Rd, Ste D</t>
  </si>
  <si>
    <t>4LP1fINwJGhLXF2dWxz5nw</t>
  </si>
  <si>
    <t>Fast Food, Restaurants, Mexican</t>
  </si>
  <si>
    <t>7800 Rea Rd</t>
  </si>
  <si>
    <t>MtSEQlqTj3Pup-wBY-dKfA</t>
  </si>
  <si>
    <t>Restaurants, Convenience Stores, Food, Bars, Pizza, Nightlife, Sandwiches, Beer, Wine &amp; Spirits</t>
  </si>
  <si>
    <t>1897 Market</t>
  </si>
  <si>
    <t>TH4F_uvWUCKMNPCYOsHY_Q</t>
  </si>
  <si>
    <t>Seafood, Vietnamese, Cajun/Creole, Asian Fusion, Restaurants</t>
  </si>
  <si>
    <t>Flamin' Crawfish</t>
  </si>
  <si>
    <t>1600 E Woodlawn Rd, Ste 170</t>
  </si>
  <si>
    <t>SjjyWMp91IZO2f4pgj5gCg</t>
  </si>
  <si>
    <t>Halal, Food Trucks, Restaurants, Food</t>
  </si>
  <si>
    <t>MI Barrio's Halal Food Cart</t>
  </si>
  <si>
    <t>9430 University City Blvd</t>
  </si>
  <si>
    <t>v4GMlJIStwPNuO_rHSFuLw</t>
  </si>
  <si>
    <t>Restaurants, Barbeque, Event Planning &amp; Services, Caterers</t>
  </si>
  <si>
    <t>1514 Galleria Blvd</t>
  </si>
  <si>
    <t>QCSH3qx5smsDlESxVNwfEg</t>
  </si>
  <si>
    <t>Food, Sandwiches, Restaurants</t>
  </si>
  <si>
    <t>14318 Rivergate View Dr, Ste 100</t>
  </si>
  <si>
    <t>vjm0zAgXHehrMmX1ivY6wg</t>
  </si>
  <si>
    <t>Food, Ice Cream &amp; Frozen Yogurt, Fast Food, Restaurants</t>
  </si>
  <si>
    <t>Dairy Queen</t>
  </si>
  <si>
    <t>1431 Central Ave</t>
  </si>
  <si>
    <t>dtqciEuR3wVBFXi3xJ2TCQ</t>
  </si>
  <si>
    <t>American (Traditional), American (New), Breakfast &amp; Brunch, Diners, Burgers, Fast Food, Restaurants</t>
  </si>
  <si>
    <t>6308 Banner Elk Dr</t>
  </si>
  <si>
    <t>Uftnd7njdHNFxhz_6rpUrA</t>
  </si>
  <si>
    <t>Restaurants, American (New), Seafood, Cocktail Bars, Breakfast &amp; Brunch, Bars, Live/Raw Food, Nightlife</t>
  </si>
  <si>
    <t>Sea Level NC</t>
  </si>
  <si>
    <t>129 E 5th St</t>
  </si>
  <si>
    <t>xNHmUmKED4kryU-7zTW3LQ</t>
  </si>
  <si>
    <t>Breakfast &amp; Brunch, Soul Food, Southern, Restaurants</t>
  </si>
  <si>
    <t>Imani's Fusion Cafe</t>
  </si>
  <si>
    <t>3535 Randolph Rd</t>
  </si>
  <si>
    <t>t86BtX-naB-OWXoKLCwPHw</t>
  </si>
  <si>
    <t>Pizza, Food, Restaurants, Italian</t>
  </si>
  <si>
    <t>Zucca Pizza Tavern</t>
  </si>
  <si>
    <t>2000 S Blvd</t>
  </si>
  <si>
    <t>inyA6bzULMTIZfNrXan4lg</t>
  </si>
  <si>
    <t>1729 Sardis Rd N</t>
  </si>
  <si>
    <t>XQRqEueK3br2lXRtBQPN6g</t>
  </si>
  <si>
    <t>11619 Waverly Center Dr</t>
  </si>
  <si>
    <t>r8u48_iu_xyHHD2ZH9GmhQ</t>
  </si>
  <si>
    <t>Frankie's 710 Trattoria</t>
  </si>
  <si>
    <t>yMopev-RPxfEXgqkJOvCGA</t>
  </si>
  <si>
    <t>Event Planning &amp; Services, Nightlife, Seafood, Arts &amp; Entertainment, Venues &amp; Event Spaces, Cajun/Creole, Jazz &amp; Blues, Restaurants, Breakfast &amp; Brunch</t>
  </si>
  <si>
    <t>Cajun Queen</t>
  </si>
  <si>
    <t>1800 E 7th St</t>
  </si>
  <si>
    <t>DeoLBmoxGVWGTfXAKLW5jA</t>
  </si>
  <si>
    <t>Beer, Wine &amp; Spirits, American (New), Home Decor, Home &amp; Garden, Southern, Specialty Food, Restaurants, Chocolatiers &amp; Shops, Breakfast &amp; Brunch, Coffee &amp; Tea, Food, Shopping, Kitchen &amp; Bath</t>
  </si>
  <si>
    <t>NOFO on Liz</t>
  </si>
  <si>
    <t>2um9bzTSvD3f2tkdBoA38g</t>
  </si>
  <si>
    <t>American (New), Mediterranean, Tapas/Small Plates, Barbeque, Seafood, Restaurants</t>
  </si>
  <si>
    <t>Kid Cashew</t>
  </si>
  <si>
    <t>1608 East Blvd</t>
  </si>
  <si>
    <t>Ak6yxRgKiiaKm2qIrsIxJg</t>
  </si>
  <si>
    <t>Cocktail Bars, Restaurants, Lounges, Gay Bars, Arts &amp; Entertainment, Bars, American (New), Performing Arts, Music Venues, Nightlife, Tapas Bars, American (Traditional)</t>
  </si>
  <si>
    <t>Boulevard 1820</t>
  </si>
  <si>
    <t>1820 South Blvd, Ste 106</t>
  </si>
  <si>
    <t>h0KYR6oAMRQh-Heh6GKMbQ</t>
  </si>
  <si>
    <t>Fast Food, Restaurants, Salad, Chicken Wings</t>
  </si>
  <si>
    <t>7508 S Tryon St</t>
  </si>
  <si>
    <t>JedOmSVVXavR76qH5KNR1Q</t>
  </si>
  <si>
    <t>Food, Fast Food, Burgers, Coffee &amp; Tea, Restaurants</t>
  </si>
  <si>
    <t>720 Meridian Ctr</t>
  </si>
  <si>
    <t>pnzETCn0-3ty_EVsgLtO_g</t>
  </si>
  <si>
    <t>Tapas Bars, Bars, Wine Bars, Tapas/Small Plates, Sushi Bars, Restaurants, Nightlife</t>
  </si>
  <si>
    <t>The Mandrake</t>
  </si>
  <si>
    <t>Cgkcz9XbvZsMm54vKTS_cg</t>
  </si>
  <si>
    <t>York Crossing Restaurant</t>
  </si>
  <si>
    <t>2301 Westinghouse Blvd, Ste 8</t>
  </si>
  <si>
    <t>JmpZULw4R6XxljHmTr3xMg</t>
  </si>
  <si>
    <t>Mizuho</t>
  </si>
  <si>
    <t>8320 Pineville Matthews, Ste 607</t>
  </si>
  <si>
    <t>rnMd9lccXgC_ESLUX2mlfg</t>
  </si>
  <si>
    <t>Burgers, Sports Bars, Nightlife, Bars, Restaurants</t>
  </si>
  <si>
    <t>Cafe Central</t>
  </si>
  <si>
    <t>1410 Central Ave</t>
  </si>
  <si>
    <t>eAZqT24e0Pk8apWzy3RsAQ</t>
  </si>
  <si>
    <t>Southern, Chicken Wings, Food, Barbeque, Restaurants</t>
  </si>
  <si>
    <t>McKoy's Smokehouse &amp; Saloon</t>
  </si>
  <si>
    <t>4630 Old Pineville Rd</t>
  </si>
  <si>
    <t>nDZWoEznY5-oSCc2HvoMtA</t>
  </si>
  <si>
    <t>Villa Francesca</t>
  </si>
  <si>
    <t>PCugqia4CsE9krMJyJ8UXw</t>
  </si>
  <si>
    <t>Salsarita's Express</t>
  </si>
  <si>
    <t>dWapY1yn-vG_ECu67AIEKg</t>
  </si>
  <si>
    <t>Food, Food Stands, Burgers, Food Trucks, Breweries, Restaurants</t>
  </si>
  <si>
    <t>Bebo's Mac Shack</t>
  </si>
  <si>
    <t>77UgkEWSP39EHE8B_41hPA</t>
  </si>
  <si>
    <t>10223 University City Blvd</t>
  </si>
  <si>
    <t>BWJEU3H4rP0RHNO6Ywv0Pw</t>
  </si>
  <si>
    <t>Restaurants, Gastropubs</t>
  </si>
  <si>
    <t>Kre8 Gastropub</t>
  </si>
  <si>
    <t>mqUgobkWrQgfYo3ri1foVA</t>
  </si>
  <si>
    <t>Food, Salad, Vegetarian, Sandwiches, Mediterranean, Desserts, Restaurants, Middle Eastern</t>
  </si>
  <si>
    <t>Kabab Je Rotisserie and Grille</t>
  </si>
  <si>
    <t>LVpDZytzMaf7Jxc9jBRxZA</t>
  </si>
  <si>
    <t>Burgers, Hot Dogs, Restaurants</t>
  </si>
  <si>
    <t>4100 Brookshire Blvd</t>
  </si>
  <si>
    <t>3APfiTxoXC3wIveJkoei1Q</t>
  </si>
  <si>
    <t>Cheesesteaks, Food, Restaurants, Sandwiches</t>
  </si>
  <si>
    <t>Philly Corner</t>
  </si>
  <si>
    <t>8535 Hankins Rd</t>
  </si>
  <si>
    <t>w0ucHqKjiLcUKOicN9Mp8A</t>
  </si>
  <si>
    <t>Seafood, Nightlife, Steakhouses, Lounges, Bars, Restaurants</t>
  </si>
  <si>
    <t>Eddie V's Prime Seafood</t>
  </si>
  <si>
    <t>TC6P9n3noJLR8KpE-i2OyA</t>
  </si>
  <si>
    <t>10525 Mallard Creek Rd</t>
  </si>
  <si>
    <t>6TcheR_XpQ7Hms87wMCa2Q</t>
  </si>
  <si>
    <t>Phipps Bistro</t>
  </si>
  <si>
    <t>42gnKgy6ryfQ4QBtmyVgqA</t>
  </si>
  <si>
    <t>Restaurants, Food, American (Traditional), Ice Cream &amp; Frozen Yogurt</t>
  </si>
  <si>
    <t>Happy Grill</t>
  </si>
  <si>
    <t>9229 Lawyers Rd, Ste E</t>
  </si>
  <si>
    <t>h6f3QbR0n0fpS2Tu9MJJTw</t>
  </si>
  <si>
    <t>Vietnamese, Thai, Restaurants, Noodles</t>
  </si>
  <si>
    <t>Viet-Thai Noodle House</t>
  </si>
  <si>
    <t>8314 Pineville-Matthews Rd, Ste 901</t>
  </si>
  <si>
    <t>FrMqrN-jIvc1abEBqn4HaA</t>
  </si>
  <si>
    <t>Restaurants, Indian, Vegetarian, Vegan, Buffets</t>
  </si>
  <si>
    <t>Madras Cafe</t>
  </si>
  <si>
    <t>3130 Driwood Ct, Ste A</t>
  </si>
  <si>
    <t>MrSHPvHVdE_VzVN7iRz45Q</t>
  </si>
  <si>
    <t>Lounges, Bars, Nightlife, Sushi Bars, Asian Fusion, Restaurants</t>
  </si>
  <si>
    <t>Enso Asian Bistro &amp; Sushi Bar</t>
  </si>
  <si>
    <t>210 E Trade St, Ste A-108</t>
  </si>
  <si>
    <t>tI_CdRQ-532FFZbqvuMH4w</t>
  </si>
  <si>
    <t>Bars, Lounges, Music Venues, Arts &amp; Entertainment, Restaurants, Wine Bars, Nightlife, Cocktail Bars</t>
  </si>
  <si>
    <t>Sydney's Martini and Wine Bar</t>
  </si>
  <si>
    <t>401 N Tryon St, Ste 104</t>
  </si>
  <si>
    <t>38OrCpBBQG-dzhxfXrFQWQ</t>
  </si>
  <si>
    <t>Zack's Hamburgers</t>
  </si>
  <si>
    <t>4009 South Blvd</t>
  </si>
  <si>
    <t>Xsfu3y0Wz-u7TRXQDTP0tQ</t>
  </si>
  <si>
    <t>7806 Forest Point Blvd</t>
  </si>
  <si>
    <t>ACRXKq6Ngtktnvf6rdcGwQ</t>
  </si>
  <si>
    <t>Southern, Comfort Food, Breakfast &amp; Brunch, Restaurants, Caterers, Diners, Event Planning &amp; Services, American (New), American (Traditional)</t>
  </si>
  <si>
    <t>Cracker Barrel Old Country Store</t>
  </si>
  <si>
    <t>3203 Queen City Dr</t>
  </si>
  <si>
    <t>gn9cc6-VLuCClqkWCtNcpg</t>
  </si>
  <si>
    <t>7003 University City Blvd</t>
  </si>
  <si>
    <t>INU7l2FWbISp9xnJpmqlsg</t>
  </si>
  <si>
    <t>Chicken Wings, Pizza, Restaurants, Italian</t>
  </si>
  <si>
    <t>9614 Monroe Rd</t>
  </si>
  <si>
    <t>gvyZFfaB2IO6DLXTZI7eag</t>
  </si>
  <si>
    <t>Bakeries, Coffee &amp; Tea, Food, Sandwiches, Restaurants</t>
  </si>
  <si>
    <t>ZJufvkLNtlAsQU9h_ttdNg</t>
  </si>
  <si>
    <t>Chinatown</t>
  </si>
  <si>
    <t>2910 Mount Holly Huntersville Rd, Ste A</t>
  </si>
  <si>
    <t>vq10VhKB1tfjMGrMLY6pgA</t>
  </si>
  <si>
    <t>Breakfast &amp; Brunch, Donuts, Restaurants, Food</t>
  </si>
  <si>
    <t>Rise Biscuits &amp; Donuts</t>
  </si>
  <si>
    <t>r1k3JVOrfF4vJJUWJrF8uQ</t>
  </si>
  <si>
    <t>Salad, Southern, American (Traditional), Sandwiches, Restaurants</t>
  </si>
  <si>
    <t>Showmar's - Providence Commons</t>
  </si>
  <si>
    <t>10612 Providence Rd, Ste A</t>
  </si>
  <si>
    <t>PVuBYiGaPtpF3VFpvjJ91g</t>
  </si>
  <si>
    <t>Restaurants, Salad, Caterers, Delis, Event Planning &amp; Services, Sandwiches</t>
  </si>
  <si>
    <t>1600 E Woodlawn Rd, Ste 200</t>
  </si>
  <si>
    <t>J3ZSl7xvnLM6KgLB763YCw</t>
  </si>
  <si>
    <t>6555 Morrison St</t>
  </si>
  <si>
    <t>_V-1gwVcw5Nd0e-8DsJ9RA</t>
  </si>
  <si>
    <t>Food, Ice Cream &amp; Frozen Yogurt, Restaurants, Fast Food</t>
  </si>
  <si>
    <t>2732 Wilkinson Blvd</t>
  </si>
  <si>
    <t>7Kalh9QVFTlrcGaufs2eag</t>
  </si>
  <si>
    <t>8433 Davis Lake Pkwy</t>
  </si>
  <si>
    <t>ySIsBnsZpcvmBoCOkjWruw</t>
  </si>
  <si>
    <t>Chicken Wings, Fast Food, Restaurants, Italian, Pizza</t>
  </si>
  <si>
    <t>850 Chancellor Park Dr, Ste D</t>
  </si>
  <si>
    <t>rV4hP5CdpsokQyMjsqxB0Q</t>
  </si>
  <si>
    <t>Ramen, Chinese, Japanese, Restaurants</t>
  </si>
  <si>
    <t>Sake Japan</t>
  </si>
  <si>
    <t>14021 Conlan Cir, Ste B-1</t>
  </si>
  <si>
    <t>trodK1jXLGIn5qjJCooIpQ</t>
  </si>
  <si>
    <t>Breakfast &amp; Brunch, American (New), Spanish, Tapas Bars, Food, Southern, Restaurants</t>
  </si>
  <si>
    <t>Rooster's at Southpark</t>
  </si>
  <si>
    <t>m4UZS7G8-Hq2KTxOrNZ1DQ</t>
  </si>
  <si>
    <t>Coffee &amp; Tea, Fast Food, Burgers, Food, Restaurants</t>
  </si>
  <si>
    <t>3315 Pineville Matthews Rd</t>
  </si>
  <si>
    <t>203Y0QZtgs0hYR1xV78qEA</t>
  </si>
  <si>
    <t>7320 The Plz, Ste A</t>
  </si>
  <si>
    <t>MMAqe5lQb1DZ0bpuvdkogg</t>
  </si>
  <si>
    <t>Fast Food, Mexican, Restaurants, Tex-Mex</t>
  </si>
  <si>
    <t>2405 South Blvd</t>
  </si>
  <si>
    <t>D0p4kpt1A950wQLOLs_j_Q</t>
  </si>
  <si>
    <t>8944 J M Keynes Dr</t>
  </si>
  <si>
    <t>x0Ec6gz07SBnWrBOQLisiA</t>
  </si>
  <si>
    <t>Restaurants, Food, Do-It-Yourself Food, American (New), Salad, Specialty Food, Vegetarian, Sandwiches</t>
  </si>
  <si>
    <t>4125 Park Rd</t>
  </si>
  <si>
    <t>sL08FgnWGwgCvSBUzfxCGg</t>
  </si>
  <si>
    <t>Colombian, Latin American, Food, Bakeries, Restaurants, Seafood</t>
  </si>
  <si>
    <t>Mi Tierra Restaurant</t>
  </si>
  <si>
    <t>816 E Arrowood Rd</t>
  </si>
  <si>
    <t>umP3CwDxK6OqXvVlEjZiJA</t>
  </si>
  <si>
    <t>2901 South Blvd</t>
  </si>
  <si>
    <t>bnRRQ17nLgfdIgtGWlFAeQ</t>
  </si>
  <si>
    <t>2700 W Mallard Creek Church Rd, Ste 220</t>
  </si>
  <si>
    <t>GWwa6DzhA-Z2_BDZbunYPw</t>
  </si>
  <si>
    <t>Food, Delis, Sandwiches, Bagels, Restaurants, American (Traditional), Burgers</t>
  </si>
  <si>
    <t>Katz Deli</t>
  </si>
  <si>
    <t>8624 A Camfield</t>
  </si>
  <si>
    <t>zDPVRMN6PJhD34RYhiySgw</t>
  </si>
  <si>
    <t>Mexican, Breakfast &amp; Brunch, Food, Restaurants, Desserts</t>
  </si>
  <si>
    <t>La Autentica</t>
  </si>
  <si>
    <t>16139 Lancaster Hwy, Ste 150</t>
  </si>
  <si>
    <t>MUIP2T5ZUUm4gvzTF0SVeQ</t>
  </si>
  <si>
    <t>Bars, Restaurants, Wine Bars, Nightlife, Sandwiches, American (New), Southern</t>
  </si>
  <si>
    <t>Andrew Blair's</t>
  </si>
  <si>
    <t>hj051yfX6Op81zZUvoZUfw</t>
  </si>
  <si>
    <t>Luca: Modern Italian Kitchen</t>
  </si>
  <si>
    <t>XR6xqv39_qxFIrD-CNQ8RQ</t>
  </si>
  <si>
    <t>The Porter's House</t>
  </si>
  <si>
    <t>7417 Waverly Walk Ave</t>
  </si>
  <si>
    <t>Dgt-m6N3wKf03Sdcrv18OQ</t>
  </si>
  <si>
    <t>1640 Sardis Rd N, Ste 140</t>
  </si>
  <si>
    <t>4I3qHlQLxl3dzzzdWzywog</t>
  </si>
  <si>
    <t>Restaurants, Chicken Wings, American (Traditional), Cheesesteaks</t>
  </si>
  <si>
    <t>5401 South Blvd</t>
  </si>
  <si>
    <t>mcihQ4K6zMykrY0PUF5g_g</t>
  </si>
  <si>
    <t>10121 N Tryon St</t>
  </si>
  <si>
    <t>3Q3zeeVM_kP954N_SjkHhg</t>
  </si>
  <si>
    <t>Sandwiches, Caterers, Barbeque, Event Planning &amp; Services, Desserts, Restaurants, Food</t>
  </si>
  <si>
    <t>Farmer's BBQ</t>
  </si>
  <si>
    <t>2700 W Mallard Creek Church Rd</t>
  </si>
  <si>
    <t>NQsw-lJvcsWJMCnPdrdhhA</t>
  </si>
  <si>
    <t>Japanese, Restaurants, Thai</t>
  </si>
  <si>
    <t>Bonzai Thai &amp; Japanese Cuisine</t>
  </si>
  <si>
    <t>4847 Shopton Rd, Ste F&amp;G</t>
  </si>
  <si>
    <t>B2S7o3tImoCPrDVvJikVpw</t>
  </si>
  <si>
    <t>Bars, Food Trucks, Coffee &amp; Tea, Event Planning &amp; Services, Food, Shopping, Books, Mags, Music &amp; Video, Hookah Bars, Venues &amp; Event Spaces, Bookstores, Nightlife, Arts &amp; Entertainment, Restaurants</t>
  </si>
  <si>
    <t>2424 N Davidson St, Ste 112A</t>
  </si>
  <si>
    <t>I-ZeRNHvun6P61vLvoR6hg</t>
  </si>
  <si>
    <t>American (Traditional), Sandwiches, Breakfast &amp; Brunch, Restaurants</t>
  </si>
  <si>
    <t>Phils Deli to Go</t>
  </si>
  <si>
    <t>eOsC02YH85POXsC8l3oy8w</t>
  </si>
  <si>
    <t>Gibson</t>
  </si>
  <si>
    <t>f_IQ80PAHE9qpjsWMABO2A</t>
  </si>
  <si>
    <t>Soul Food, Restaurants, Greek, Mediterranean</t>
  </si>
  <si>
    <t>House of Athens</t>
  </si>
  <si>
    <t>8652 Pineville-Matthews Rd, Ste1000</t>
  </si>
  <si>
    <t>zpGCFAt_MydbQN4EsXee6w</t>
  </si>
  <si>
    <t>Food, Bubble Tea, Juice Bars &amp; Smoothies, Restaurants, Vietnamese, Sandwiches</t>
  </si>
  <si>
    <t>Banh Mi Brothers</t>
  </si>
  <si>
    <t>230 Wt Harris Blvd, Ste A-7</t>
  </si>
  <si>
    <t>_D24o_hslw6Ez4xXfgbRVw</t>
  </si>
  <si>
    <t>Akropolis Cafe At Arboretum</t>
  </si>
  <si>
    <t>8200 Providence Rd, Ste 1100</t>
  </si>
  <si>
    <t>DUhU9wi7Ja4r1Hl4bQrYbw</t>
  </si>
  <si>
    <t>7GGnf6a8PkHg8niFWeLn5g</t>
  </si>
  <si>
    <t>Desserts, Restaurants, Nightlife, Bars, Italian, Wine Bars, Food</t>
  </si>
  <si>
    <t>Via Roma</t>
  </si>
  <si>
    <t>7416 Waverly Walk Ave, Ste H-2</t>
  </si>
  <si>
    <t>WyEOZy86iCOtcM7wdFXyfg</t>
  </si>
  <si>
    <t>Seafood, Restaurants, American (Traditional), Fish &amp; Chips, Fast Food</t>
  </si>
  <si>
    <t>3623 N Sharon Amity Rd</t>
  </si>
  <si>
    <t>b3ZZPx8jMC1DR2GR89ivzg</t>
  </si>
  <si>
    <t>UhdlNJz_ZNb-m3kF-YLSgw</t>
  </si>
  <si>
    <t>9211-12 North Tryon St, Ste 12</t>
  </si>
  <si>
    <t>7TRjx9FBlL3zVt1yGGfYiw</t>
  </si>
  <si>
    <t>2604 Little Rock Rd</t>
  </si>
  <si>
    <t>FQj5hV8LholM3T093ty_vQ</t>
  </si>
  <si>
    <t>Food, Juice Bars &amp; Smoothies, Restaurants</t>
  </si>
  <si>
    <t>I Love Juice Bar</t>
  </si>
  <si>
    <t>2907 Providence Rd, Ste 101</t>
  </si>
  <si>
    <t>uLHRvzarplBajOnekB8eiA</t>
  </si>
  <si>
    <t>Coffee &amp; Tea, Fast Food, Restaurants, Burgers, Food</t>
  </si>
  <si>
    <t>2301 Central Ave</t>
  </si>
  <si>
    <t>VwvIq1dyWje3j1i7lp-8sA</t>
  </si>
  <si>
    <t>Restaurants, American (Traditional), Wine Bars, Bars, Nightlife, Seafood, Steakhouses</t>
  </si>
  <si>
    <t>3920 Sharon Rd</t>
  </si>
  <si>
    <t>Oy2WnPyiOlPFvPKMIuOC8w</t>
  </si>
  <si>
    <t>Buffets, Japanese, Food, Restaurants, Korean, Chinese, Food Delivery Services, Asian Fusion</t>
  </si>
  <si>
    <t>Tin Tin</t>
  </si>
  <si>
    <t>10215 Park Rd</t>
  </si>
  <si>
    <t>e12r7KAEoZg6Brwi_Q7t0g</t>
  </si>
  <si>
    <t>Seafood, Fish &amp; Chips, Food, Food Trucks, Restaurants</t>
  </si>
  <si>
    <t>Oak City Fish And Chips Charlotte</t>
  </si>
  <si>
    <t>7qhPK-ubBkYRv0Qs9sd4kw</t>
  </si>
  <si>
    <t>Nightlife, Tex-Mex, American (Traditional), Bars, Burgers, American (New), Restaurants</t>
  </si>
  <si>
    <t>8302 Pineville Matthews Rd</t>
  </si>
  <si>
    <t>IiEv4DKmmGoF0b2C5c0oZQ</t>
  </si>
  <si>
    <t>Caterers, American (New), Restaurants, Food Trucks, Event Planning &amp; Services, Food</t>
  </si>
  <si>
    <t>The Hunter's Wife</t>
  </si>
  <si>
    <t>3000 South Tryon St</t>
  </si>
  <si>
    <t>uGzxwS3Q6QuyFw2ZnDvw0w</t>
  </si>
  <si>
    <t>Arts &amp; Entertainment, Bagels, Restaurants, American (Traditional), Food, Beer, Wine &amp; Spirits, Pubs, Nightlife, Breakfast &amp; Brunch, Bars, Music Venues</t>
  </si>
  <si>
    <t>JackBeagles</t>
  </si>
  <si>
    <t>3213 N Davidson St</t>
  </si>
  <si>
    <t>GbCoZiJLPbI-7bu0awyoZQ</t>
  </si>
  <si>
    <t>Live/Raw Food, Food, Vegan, Restaurants, Juice Bars &amp; Smoothies, Organic Stores</t>
  </si>
  <si>
    <t>One Life Raw Juice Bar</t>
  </si>
  <si>
    <t>2927 Selwyn Ave</t>
  </si>
  <si>
    <t>qbgDOIL4BN6cXahQB6ik5Q</t>
  </si>
  <si>
    <t>Mr. Pho</t>
  </si>
  <si>
    <t>8156 S Tryon St, Ste G</t>
  </si>
  <si>
    <t>roHEmKg-vyVWyDXSBdNXmA</t>
  </si>
  <si>
    <t>Food, Juice Bars &amp; Smoothies, Sandwiches, Restaurants</t>
  </si>
  <si>
    <t>5349 Ballantyne Commons Parkway, Suite 400</t>
  </si>
  <si>
    <t>x6n14NifL1K1-kimB83GVA</t>
  </si>
  <si>
    <t>Restaurants, Poke, Sushi Bars, Food, Hawaiian</t>
  </si>
  <si>
    <t>Seoul Poke Bowl</t>
  </si>
  <si>
    <t>3609 South Blvd, Ste D</t>
  </si>
  <si>
    <t>Restaurants, Breakfast &amp; Brunch, Sandwiches, Food, Bagels</t>
  </si>
  <si>
    <t>210 East Trade St, Ste 226</t>
  </si>
  <si>
    <t>S-V-belb3Gv7qrNVftLHwQ</t>
  </si>
  <si>
    <t>Steakhouses, Restaurants, Japanese, Sushi Bars</t>
  </si>
  <si>
    <t>Kabuto Japanese Steakhouse and Sushi Bar</t>
  </si>
  <si>
    <t>446 Tyvola Rd</t>
  </si>
  <si>
    <t>SgmcmNsJQ8IQ6balS_kotw</t>
  </si>
  <si>
    <t>4500 Park Rd, Ste 100</t>
  </si>
  <si>
    <t>RVQE2Z2uky4c0-njFQO66g</t>
  </si>
  <si>
    <t>Barbeque, Pizza, Restaurants, Smokehouse, Food, American (Traditional)</t>
  </si>
  <si>
    <t>1401 Central Ave</t>
  </si>
  <si>
    <t>vdT9HnEX9Bk4XjT9SWII_w</t>
  </si>
  <si>
    <t>2604 West Blvd</t>
  </si>
  <si>
    <t>3vkP6t_kKN3JT8MMUaBVEA</t>
  </si>
  <si>
    <t>Restaurants, Kosher, Creperies, Breakfast &amp; Brunch, American (Traditional)</t>
  </si>
  <si>
    <t>915 Charlottetowne Ave</t>
  </si>
  <si>
    <t>pgAbvxct5ysUXBDYXVTx6w</t>
  </si>
  <si>
    <t>Mediterranean, Restaurants, Middle Eastern, Halal, Moroccan</t>
  </si>
  <si>
    <t>Ajbani Moroccan Cuisine</t>
  </si>
  <si>
    <t>2903 - C Central Ave</t>
  </si>
  <si>
    <t>YDeN4OHayfKocEo7Tz4jMg</t>
  </si>
  <si>
    <t>La Tagliatella EpiCentre</t>
  </si>
  <si>
    <t>210 East Trade Ctr, Ste C-149</t>
  </si>
  <si>
    <t>zLAjobZ6B_0tgJsB41FNuQ</t>
  </si>
  <si>
    <t>Nightlife, Pizza, Italian, Sports Bars, Restaurants, Bars</t>
  </si>
  <si>
    <t>7319 Matthews Mint Hill Rd</t>
  </si>
  <si>
    <t>uz8ISWdE0OSJBjArw4P4Og</t>
  </si>
  <si>
    <t>Nightlife, Sandwiches, Gluten-Free, Restaurants, Pizza, Bars, Salad</t>
  </si>
  <si>
    <t>255 W Martin Luther King Blvd</t>
  </si>
  <si>
    <t>tlGgRylE0oUNLXJLyo5AaQ</t>
  </si>
  <si>
    <t>Sandwiches, Grocery, Restaurants, Food, Delis, Convenience Stores</t>
  </si>
  <si>
    <t>5831 South Blvd</t>
  </si>
  <si>
    <t>25YVFgR2pkt3u1f2fDBfnw</t>
  </si>
  <si>
    <t>Sports Bars, Bars, Nightlife, Restaurants, Sandwiches, American (Traditional)</t>
  </si>
  <si>
    <t>Jocks &amp; Jills Sports Grille</t>
  </si>
  <si>
    <t>4109 Southstream Blvd</t>
  </si>
  <si>
    <t>xlUoy-OVO-EgZzfiHJk1Hg</t>
  </si>
  <si>
    <t>8720 Rachel Freeman Way</t>
  </si>
  <si>
    <t>hWIQ6rl1uub-WVGTySvOsw</t>
  </si>
  <si>
    <t>Burgers, Hot Dogs, Barbeque, Restaurants, Fast Food</t>
  </si>
  <si>
    <t>13317 York Center Dr</t>
  </si>
  <si>
    <t>EPBEz9ifFo6JqPUUH_BdMg</t>
  </si>
  <si>
    <t>Thai Thai Takeout</t>
  </si>
  <si>
    <t>1412-C East Blvd</t>
  </si>
  <si>
    <t>M4BG7aWQTNNbVRUWRZwCMw</t>
  </si>
  <si>
    <t>lag81XHoHW4abcjLNKYw0Q</t>
  </si>
  <si>
    <t>8610-F Camfield St</t>
  </si>
  <si>
    <t>E0vZWNBWe-LwdECQFIjnug</t>
  </si>
  <si>
    <t>Bars, Sports Bars, Sandwiches, Nightlife, American (Traditional), Diners, Barbeque, Restaurants</t>
  </si>
  <si>
    <t>Boardwalk Billy's Raw Bar And Ribs</t>
  </si>
  <si>
    <t>9005 J M Keynes Dr, Ste 2</t>
  </si>
  <si>
    <t>3GY8CfKhEowAoTxmKBhQpA</t>
  </si>
  <si>
    <t>American (Traditional), Delis, Burgers, Restaurants</t>
  </si>
  <si>
    <t>Big Apple Deli</t>
  </si>
  <si>
    <t>201 W Arrowood Rd, Ste C</t>
  </si>
  <si>
    <t>XgRljuEUyaHBKIpIz-PRAA</t>
  </si>
  <si>
    <t>American (New), Burgers, Restaurants</t>
  </si>
  <si>
    <t>Bang Bang Burgers</t>
  </si>
  <si>
    <t>2001 E 7th St, Ste D</t>
  </si>
  <si>
    <t>k8K3Fk7YedH60gXyPn5ATw</t>
  </si>
  <si>
    <t>Fast Food, Food, Restaurants, Coffee &amp; Tea, Burgers</t>
  </si>
  <si>
    <t>8824 Pineville Matthews Rd</t>
  </si>
  <si>
    <t>31acLzszeCCpeXmyAnoTdg</t>
  </si>
  <si>
    <t>Italian, Restaurants, Nightlife, Bars</t>
  </si>
  <si>
    <t>Stagioni Four Seasons of Food</t>
  </si>
  <si>
    <t>5PyqkF8zZbfgFDyAcLUehQ</t>
  </si>
  <si>
    <t>Shopping Centers, Bars, Restaurants, Nightlife, Shopping</t>
  </si>
  <si>
    <t>The EpiCentre</t>
  </si>
  <si>
    <t>1hfYBwAI7pFz50l5n4JpqQ</t>
  </si>
  <si>
    <t>Beer, Wine &amp; Spirits, Delis, Specialty Food, Restaurants, Food, Sandwiches, Street Vendors</t>
  </si>
  <si>
    <t>Noda Bodega</t>
  </si>
  <si>
    <t>a0ZZDR7OBTfqxoRtWDza9Q</t>
  </si>
  <si>
    <t>Food, Food Delivery Services, Event Planning &amp; Services, Caterers, Restaurants, American (New)</t>
  </si>
  <si>
    <t>Brown Bag</t>
  </si>
  <si>
    <t>5231 Piper Station Dr</t>
  </si>
  <si>
    <t>iDdDQDyvjYJ-YxeUjBMFsg</t>
  </si>
  <si>
    <t>RmoAWAz1xKBoCfxfjHBKbw</t>
  </si>
  <si>
    <t>Presto Bar &amp; Grill</t>
  </si>
  <si>
    <t>IjxKGiOpGFgOmZywjfUw7g</t>
  </si>
  <si>
    <t>Restaurants, Fast Food, Tex-Mex, Mexican</t>
  </si>
  <si>
    <t>2834 Boyer Street</t>
  </si>
  <si>
    <t>DNfia9ds6fexTr5XtAw6TA</t>
  </si>
  <si>
    <t>8905 Albemarle Rd</t>
  </si>
  <si>
    <t>xSIkiqB2tuiyJwFmPyNR5Q</t>
  </si>
  <si>
    <t>10706 Providence Rd</t>
  </si>
  <si>
    <t>bZtukyhyV1oVmUU3yRBPbQ</t>
  </si>
  <si>
    <t>Restaurants, Vegan, Beer, Wine &amp; Spirits, Internet Cafes, Food, Desserts, Coffee Roasteries, Breakfast &amp; Brunch, Bagels, Coffee &amp; Tea</t>
  </si>
  <si>
    <t>Smelly Cat Coffee</t>
  </si>
  <si>
    <t>514 E 36th St</t>
  </si>
  <si>
    <t>aE-02jgBVhV56x0kbfvSIA</t>
  </si>
  <si>
    <t>Mediterranean, Food, Restaurants, Greek, Middle Eastern, Ethnic Food, Specialty Food</t>
  </si>
  <si>
    <t>720 Gov Morrison St, Ste 120</t>
  </si>
  <si>
    <t>yOBDY3fpaTpX4Q5JpmExMg</t>
  </si>
  <si>
    <t>Taqueria Mexico</t>
  </si>
  <si>
    <t>7001 South Blvd</t>
  </si>
  <si>
    <t>zMnojW6x-1-nVu0uCd60Ew</t>
  </si>
  <si>
    <t>Bars, American (New), Nightlife, Whiskey Bars, Restaurants, Pubs</t>
  </si>
  <si>
    <t>Whiskey Warehouse</t>
  </si>
  <si>
    <t>1221 The Plz</t>
  </si>
  <si>
    <t>tJHF0eta2A_z5e9nTpONQg</t>
  </si>
  <si>
    <t>Portuguese, Greek, Food Trucks, Mediterranean, Food, Restaurants</t>
  </si>
  <si>
    <t>Fresh Med Mediterranean Fusion Food Truck</t>
  </si>
  <si>
    <t>3fblSVANhY1YGnwGstRL8w</t>
  </si>
  <si>
    <t>Food, Coffee &amp; Tea, Restaurants, Juice Bars &amp; Smoothies, Breakfast &amp; Brunch</t>
  </si>
  <si>
    <t>4327 Park Rd</t>
  </si>
  <si>
    <t>S6LiVc0_LmpT1N0y9ZSAnA</t>
  </si>
  <si>
    <t>Restaurants, Fast Food, Hot Dogs, Chicken Shop, Breakfast &amp; Brunch, Chicken Wings</t>
  </si>
  <si>
    <t>1735 W Trade St</t>
  </si>
  <si>
    <t>f5mHBdlqxbqTCNhJ4QWnRg</t>
  </si>
  <si>
    <t>Caterers, Restaurants, Gluten-Free, Event Planning &amp; Services, Fast Food</t>
  </si>
  <si>
    <t>9010 Albemarle Rd</t>
  </si>
  <si>
    <t>xgz7GhRe9vldBQEjP7Fr2Q</t>
  </si>
  <si>
    <t>Caterers, Restaurants, Wedding Planning, Venues &amp; Event Spaces, Event Planning &amp; Services, Barbeque</t>
  </si>
  <si>
    <t>SMS Catering Services</t>
  </si>
  <si>
    <t>1764 Norland Rd</t>
  </si>
  <si>
    <t>KaxjIAYLhqXN8-p_iZwgBw</t>
  </si>
  <si>
    <t>Specialty Food, Desserts, Food, Restaurants, Delis, Pasta Shops</t>
  </si>
  <si>
    <t>4700 Park Rd</t>
  </si>
  <si>
    <t>u75PzfSOCGvXi5vqtx9DWQ</t>
  </si>
  <si>
    <t>Food, Restaurants, Breakfast &amp; Brunch, Creperies, Desserts</t>
  </si>
  <si>
    <t>9830 Rea Rd, Ste D</t>
  </si>
  <si>
    <t>R5Io6cHT9CC7V5Bb95Vc2Q</t>
  </si>
  <si>
    <t>Sandwiches, Fast Food, Restaurants, Event Planning &amp; Services, Caterers, Mexican</t>
  </si>
  <si>
    <t>230 E Wt Harris Blvd, Ste B1</t>
  </si>
  <si>
    <t>sH3UsolKjik01u0HlQ9_0Q</t>
  </si>
  <si>
    <t>Three Amigos Mexican Restaurant and Cantina</t>
  </si>
  <si>
    <t>2917 Central Ave</t>
  </si>
  <si>
    <t>3rlp1xCKSxF1-wGTyMxCZw</t>
  </si>
  <si>
    <t>Pubs, Nightlife, Pizza, Restaurants, Bars, American (Traditional)</t>
  </si>
  <si>
    <t>Big Al's Pub &amp; Grubberia</t>
  </si>
  <si>
    <t>ZlrHrg7jrbO6blqwfa0MkQ</t>
  </si>
  <si>
    <t>Baoding</t>
  </si>
  <si>
    <t>4722 Sharon Rd, Ste F</t>
  </si>
  <si>
    <t>T__zGJAcDyord_fBKOSMCA</t>
  </si>
  <si>
    <t>Food Trucks, Desserts, Food, Food Stands, Restaurants</t>
  </si>
  <si>
    <t>The Toasting Company</t>
  </si>
  <si>
    <t>jPcGeaxe2x8-V8t7KmEmcw</t>
  </si>
  <si>
    <t>Niyo</t>
  </si>
  <si>
    <t>3509 David Cox Rd, Ste H</t>
  </si>
  <si>
    <t>yf6lJ_zhJwawObRMS1OKdg</t>
  </si>
  <si>
    <t>Restaurants, Breakfast &amp; Brunch, Food, Bakeries, Donuts</t>
  </si>
  <si>
    <t>Joe's Doughs</t>
  </si>
  <si>
    <t>1721 N Davidson St</t>
  </si>
  <si>
    <t>8rIDfnWHSo-K0Xb9Y1gjrA</t>
  </si>
  <si>
    <t>Nightlife, Bars, Restaurants, Barbeque, Chicken Wings, Sandwiches, Korean</t>
  </si>
  <si>
    <t>The Improper Pig</t>
  </si>
  <si>
    <t>110 S Sharon Amity Rd</t>
  </si>
  <si>
    <t>_ZZs0xaIg_evDhtzgYFYtw</t>
  </si>
  <si>
    <t>Barbeque, Restaurants, Greek</t>
  </si>
  <si>
    <t>Mr G's</t>
  </si>
  <si>
    <t>5027 Morris Field Dr</t>
  </si>
  <si>
    <t>BXiB8DKi1nRmdyn39QjxQA</t>
  </si>
  <si>
    <t>Restaurants, American (Traditional), Burgers</t>
  </si>
  <si>
    <t>5821 Fairview Rd, Ste 104</t>
  </si>
  <si>
    <t>UzsXZoePcmt6RWo00qNNAw</t>
  </si>
  <si>
    <t>Nightlife, Restaurants, American (Traditional), Bars, Sports Bars</t>
  </si>
  <si>
    <t>201 S College St, Ste 100</t>
  </si>
  <si>
    <t>oyjkEn5fAqcGNsBbqc8LTw</t>
  </si>
  <si>
    <t>Sports Bars, Bars, Burgers, Restaurants, Nightlife, American (Traditional), Chicken Wings</t>
  </si>
  <si>
    <t>14157 Steele Creek Rd</t>
  </si>
  <si>
    <t>pX_Gr9L5gXhmNx3YQe23Nw</t>
  </si>
  <si>
    <t>New York Deli &amp; Restaurant</t>
  </si>
  <si>
    <t>ZpPOPR5BfxBRCIZGNFJFhw</t>
  </si>
  <si>
    <t>Restaurants, Event Planning &amp; Services, Breakfast &amp; Brunch, Caterers, American (Traditional)</t>
  </si>
  <si>
    <t>Famous Toastery Uptown</t>
  </si>
  <si>
    <t>330 S Tryon St</t>
  </si>
  <si>
    <t>v5kZsm1p6N2N3fwtxm3FHg</t>
  </si>
  <si>
    <t>Vegan, Soup, Sandwiches, Vegetarian, Chicken Wings, Restaurants, Vietnamese, Noodles</t>
  </si>
  <si>
    <t>iPho</t>
  </si>
  <si>
    <t>5110-1G Park Rd</t>
  </si>
  <si>
    <t>YjPWt-V5oMkakdRWrALb8g</t>
  </si>
  <si>
    <t>Imported Food, Specialty Food, Restaurants, Chinese, Ethnic Food, Dim Sum, Food</t>
  </si>
  <si>
    <t>Honey Bun's Cafeteria</t>
  </si>
  <si>
    <t>yatT2q_zmb4-yvzr9Bx5lA</t>
  </si>
  <si>
    <t>Pizza, Restaurants, Italian, Chicken Wings, Sandwiches</t>
  </si>
  <si>
    <t>Bisonte Pizza</t>
  </si>
  <si>
    <t>3EbGNDu48fktNVRViCSlkg</t>
  </si>
  <si>
    <t>Restaurants, Delis, Sandwiches, Fast Food, Food, Food Delivery Services</t>
  </si>
  <si>
    <t>4717-1B Sharon Rd</t>
  </si>
  <si>
    <t>vMKQaR8bI2saI7rz8H5MYg</t>
  </si>
  <si>
    <t>Sabor Latin Street Grill - Noda</t>
  </si>
  <si>
    <t>3205 N Davidson St, Ste 105</t>
  </si>
  <si>
    <t>0bBGxKBms4ovQinxQIL4vQ</t>
  </si>
  <si>
    <t>3920 Sharon Rd, Ste 130-B</t>
  </si>
  <si>
    <t>SYJq8ydGY9oStzpVuHu3uw</t>
  </si>
  <si>
    <t>Asian Fusion, Restaurants, Hawaiian, Japanese, Gluten-Free</t>
  </si>
  <si>
    <t>2700 West Mallard Creek Church Rd, Ste 200</t>
  </si>
  <si>
    <t>s8OLoPfOpB0FbK5frI3CkQ</t>
  </si>
  <si>
    <t>Asian Fusion, British, American (New), Gastropubs, Restaurants</t>
  </si>
  <si>
    <t>The Peculiar Rabbit</t>
  </si>
  <si>
    <t>1212 Pecan Ave</t>
  </si>
  <si>
    <t>u-urH3ZDub-EkXe4frPkaQ</t>
  </si>
  <si>
    <t>Tung's Chinese Restaurant</t>
  </si>
  <si>
    <t>4005 Sunset Rd</t>
  </si>
  <si>
    <t>oYDE-FP4oAjaM6KQk3FM2Q</t>
  </si>
  <si>
    <t>Food, Italian, Food Trucks, Hot Dogs, Restaurants</t>
  </si>
  <si>
    <t>My Sausage Buddy</t>
  </si>
  <si>
    <t>wvlF1x7Cm8UGu6iD0LgIJw</t>
  </si>
  <si>
    <t>Mexican, Salad, Restaurants, Fast Food</t>
  </si>
  <si>
    <t>5501 Rc Josh Birmingham Pkwy</t>
  </si>
  <si>
    <t>F9ZtvQlaWJrOQJW3QkRX_Q</t>
  </si>
  <si>
    <t>6BcIG-1lnc58bxTlxQq17A</t>
  </si>
  <si>
    <t>Mexican, Nightlife, Food, Restaurants, Bars</t>
  </si>
  <si>
    <t>Tres Pesos Bar and Grill</t>
  </si>
  <si>
    <t>122 W Woodlawn Rd</t>
  </si>
  <si>
    <t>8PNXDkWz3hyZFi7E4tYhjw</t>
  </si>
  <si>
    <t>DragonFly</t>
  </si>
  <si>
    <t>jNQnscvgn_dMTS954qW_9Q</t>
  </si>
  <si>
    <t>American (Traditional), Restaurants, Italian</t>
  </si>
  <si>
    <t>The World Famous Open Kitchen</t>
  </si>
  <si>
    <t>1318 W Morehead St</t>
  </si>
  <si>
    <t>jXBNc4tQTR1WtmDb6-GOQg</t>
  </si>
  <si>
    <t>Carnitas Guanajuato Mexican Restaurant</t>
  </si>
  <si>
    <t>5534 Albemarle Rd, Ste 101</t>
  </si>
  <si>
    <t>rC79v_3u4XuGxx2Yl6rBbw</t>
  </si>
  <si>
    <t>5540 University Pointe Blvd</t>
  </si>
  <si>
    <t>Vu8Z-zbNT_InsKm4IrdeCg</t>
  </si>
  <si>
    <t>4400 Randolph Rd</t>
  </si>
  <si>
    <t>RZir-47R_ggOuUWuc2AiNw</t>
  </si>
  <si>
    <t>Breakfast &amp; Brunch, Venues &amp; Event Spaces, Southern, Restaurants, Event Planning &amp; Services, Hotels &amp; Travel, Hotels, Bars, Nightlife, American (New)</t>
  </si>
  <si>
    <t>Coastal Kitchen &amp; Bar</t>
  </si>
  <si>
    <t>Inside Hilton Charlotte Center City, 222 E 3rd St</t>
  </si>
  <si>
    <t>dYRBbmjpzHd9jtZSuiFASA</t>
  </si>
  <si>
    <t>Gastropubs, American (Traditional), Restaurants</t>
  </si>
  <si>
    <t>9816 Rea Rd</t>
  </si>
  <si>
    <t>Xjp4BhSCg2LeuW-W-jDykg</t>
  </si>
  <si>
    <t>Breakfast &amp; Brunch, Bagels, Sandwiches, Restaurants, Food</t>
  </si>
  <si>
    <t>106 South Sharon Amity Rd</t>
  </si>
  <si>
    <t>Buko5LgWKnOen39NcoKHdQ</t>
  </si>
  <si>
    <t>Bars, American (Traditional), Restaurants, Nightlife, Lounges</t>
  </si>
  <si>
    <t>City Lights Rooftop</t>
  </si>
  <si>
    <t>7rh29SPJMkyeI2BJcjqzLQ</t>
  </si>
  <si>
    <t>Food, Restaurants, Chinese, Ethnic Food, Specialty Food</t>
  </si>
  <si>
    <t>Beijing Chinese Cuisine</t>
  </si>
  <si>
    <t>1603 S Blvd</t>
  </si>
  <si>
    <t>5zzuzWbt9_YrL95EIHobLA</t>
  </si>
  <si>
    <t>Best China</t>
  </si>
  <si>
    <t>9601 Brookdale Dr, Ste 100</t>
  </si>
  <si>
    <t>vMyeUHW3QxbXD4_KxmwduA</t>
  </si>
  <si>
    <t>Salsas Mexican Grille</t>
  </si>
  <si>
    <t>2015 Ayrsley Town Blvd</t>
  </si>
  <si>
    <t>rA0GXKkrUOle4KGdYfjiPA</t>
  </si>
  <si>
    <t>Comfort Food, Active Life, Golf, Bars, Sports Bars, Nightlife, Restaurants</t>
  </si>
  <si>
    <t>Highland Creek Golf Club</t>
  </si>
  <si>
    <t>7101 Highland Creek Pkwy</t>
  </si>
  <si>
    <t>wyyKQmlVdudrOQdfz8ZBhA</t>
  </si>
  <si>
    <t>Seafood, American (Traditional), Breakfast &amp; Brunch, Salad, Restaurants, Burgers</t>
  </si>
  <si>
    <t>6920 N Tryon St</t>
  </si>
  <si>
    <t>h1SkCP4VoHG6tsA7EXViTA</t>
  </si>
  <si>
    <t>Sandwiches, Restaurants, Hot Dogs, American (New)</t>
  </si>
  <si>
    <t>JJ's Red Hots - Ballantyne</t>
  </si>
  <si>
    <t>15105 John J Delaney Dr, Ste J</t>
  </si>
  <si>
    <t>ggd0cEaHFeKfOHgKZ2Qg4w</t>
  </si>
  <si>
    <t>Sporting Goods, Breakfast &amp; Brunch, Restaurants, Sports Wear, Sports Bars, Shopping, Fashion, Nightlife, Bars, American (Traditional)</t>
  </si>
  <si>
    <t>Jackalope Jack's Restaurant &amp; Bar</t>
  </si>
  <si>
    <t>1801 Commonwealth Ave</t>
  </si>
  <si>
    <t>DN3c3ANXoQ8E1tfrrDQSBg</t>
  </si>
  <si>
    <t>10822 Providence Rd, Ste 200B</t>
  </si>
  <si>
    <t>lBf_TcBWS7XF-TA4qT8MgQ</t>
  </si>
  <si>
    <t>Wine Bars, American (New), Nightlife, Diners, Food, Beer, Wine &amp; Spirits, Bars, Restaurants</t>
  </si>
  <si>
    <t>The Wine Shop</t>
  </si>
  <si>
    <t>s6lTNO57vXsfzyYrPfXOvA</t>
  </si>
  <si>
    <t>Vietnam Grille</t>
  </si>
  <si>
    <t>5615 South Blvd</t>
  </si>
  <si>
    <t>xwiSKs_tIp-zU4eZOO6IEA</t>
  </si>
  <si>
    <t>10211 Prosperity Park Dr, Ste 100</t>
  </si>
  <si>
    <t>yD0u3fnMfFeICN-3bdmCWg</t>
  </si>
  <si>
    <t>9518 University City Blvd</t>
  </si>
  <si>
    <t>_TO_9GAogPZaGO7_EhzeQA</t>
  </si>
  <si>
    <t>Soul Food, Restaurants, Arts &amp; Entertainment, Jazz &amp; Blues, Nightlife</t>
  </si>
  <si>
    <t>Delta's Restaurant</t>
  </si>
  <si>
    <t>S0mVCkES_gzWHst5EhRsRA</t>
  </si>
  <si>
    <t>Restaurants, Coffee &amp; Tea, Fast Food, Food, Burgers</t>
  </si>
  <si>
    <t>2625 South Blvd</t>
  </si>
  <si>
    <t>zr8Ojsm-yNhvfTzBzcKU9w</t>
  </si>
  <si>
    <t>Creperies, Specialty Food, Desserts, Food, Restaurants, Breakfast &amp; Brunch, Coffee &amp; Tea</t>
  </si>
  <si>
    <t>OISg1vUo1jVhUWZB3gv8oQ</t>
  </si>
  <si>
    <t>Restaurants, Indian, Pakistani, Buffets, Halal</t>
  </si>
  <si>
    <t>Tulips Indian Cuisine</t>
  </si>
  <si>
    <t>o5QDrg_kb4hgsWxV6cV_Uw</t>
  </si>
  <si>
    <t>Southern, Restaurants, Soul Food, Breakfast &amp; Brunch, American (New), Vegetarian</t>
  </si>
  <si>
    <t>The Flying Biscuit Cafe - Charlotte</t>
  </si>
  <si>
    <t>4241 Park Rd</t>
  </si>
  <si>
    <t>kp-FRmyPxjsAoEK1-21rSQ</t>
  </si>
  <si>
    <t>Food, Pizza, Restaurants, Italian</t>
  </si>
  <si>
    <t>Riccio's Italian Restaurant</t>
  </si>
  <si>
    <t>9213 Baybrook Ln</t>
  </si>
  <si>
    <t>JlGosKDSe9IQJbzkHiqIpA</t>
  </si>
  <si>
    <t>Bars, Restaurants, Sports Bars, Nightlife, American (Traditional)</t>
  </si>
  <si>
    <t>Tilted Kilt - Charlotte</t>
  </si>
  <si>
    <t>R8U89M5NjaL9wf-6k4H1xQ</t>
  </si>
  <si>
    <t>Restaurants, Local Services, Seafood, Dry Cleaning &amp; Laundry, Chinese</t>
  </si>
  <si>
    <t>Chef Kwo</t>
  </si>
  <si>
    <t>15105 John J Delaney Dr, Ste G</t>
  </si>
  <si>
    <t>Mbat8t9X0zPrpxd1mEGRcw</t>
  </si>
  <si>
    <t>Nakato Japanese Steakhouse</t>
  </si>
  <si>
    <t>wrs4Zbz17q_G49AIRxRPVw</t>
  </si>
  <si>
    <t>Seafood Connection</t>
  </si>
  <si>
    <t>630 University Center Blvd</t>
  </si>
  <si>
    <t>SEEy7DKuVbgw4Rai2BqEEQ</t>
  </si>
  <si>
    <t>Colombian, Restaurants, Latin American</t>
  </si>
  <si>
    <t>8318 Pineville-Matthews Rd</t>
  </si>
  <si>
    <t>J0NR4E4HAj6Zow-mF1dePA</t>
  </si>
  <si>
    <t>11116 S Tryon St, Unit A</t>
  </si>
  <si>
    <t>6DrRLqqff8rdhVYPsCbZ0A</t>
  </si>
  <si>
    <t>Sub Zone</t>
  </si>
  <si>
    <t>12007 Sam Roper Dr, Ste B</t>
  </si>
  <si>
    <t>P6bvtpWjiltJHsxtPAm2_g</t>
  </si>
  <si>
    <t>Burgers, Restaurants, Hot Dogs, Fast Food</t>
  </si>
  <si>
    <t>3524 Mount Holly Huntersville Rd</t>
  </si>
  <si>
    <t>Restaurants, Bistros, American (New)</t>
  </si>
  <si>
    <t>14185 John J Delany Dr</t>
  </si>
  <si>
    <t>rqjhez-ulSyMkr7lMGJwFA</t>
  </si>
  <si>
    <t>Sushi Bars, Restaurants, Steakhouses</t>
  </si>
  <si>
    <t>Red Ginger</t>
  </si>
  <si>
    <t>401 S Tryon St, Ste 130</t>
  </si>
  <si>
    <t>Z15a7_8FQ82_baSJiqMoIw</t>
  </si>
  <si>
    <t>Bars, American (Traditional), Nightlife, Restaurants, Wigs, Shopping, Chicken Wings, Sandwiches, Burgers, Sports Bars</t>
  </si>
  <si>
    <t>9539 Pinnacle Dr</t>
  </si>
  <si>
    <t>xGFJ_Uutj9iaH8LupRvF6A</t>
  </si>
  <si>
    <t>Beach Bars, Nightlife, Seafood Markets, Seafood, Bars, American (New), Restaurants, Beer, Wine &amp; Spirits, Specialty Food, Food, American (Traditional)</t>
  </si>
  <si>
    <t>MVP's Raw Bar &amp; Grill</t>
  </si>
  <si>
    <t>10916 Black Dog Ln</t>
  </si>
  <si>
    <t>IRyacVL0Oor-dnHcrG6llQ</t>
  </si>
  <si>
    <t>Mexican, Restaurants, Tacos</t>
  </si>
  <si>
    <t>Trade Street Taco</t>
  </si>
  <si>
    <t>ICUCAzUZFiWkYs7iCtNCQg</t>
  </si>
  <si>
    <t>Pakistani, Bars, Indian, Restaurants, Wine Bars, Nightlife</t>
  </si>
  <si>
    <t>Copper Modern Indian Cuisine</t>
  </si>
  <si>
    <t>311 East Blvd</t>
  </si>
  <si>
    <t>XXm8lwYNH9gQpKq1Xek_YQ</t>
  </si>
  <si>
    <t>6600 E Independence Blvd</t>
  </si>
  <si>
    <t>_sf5MgDqH9P5OnK3tsHfkg</t>
  </si>
  <si>
    <t>John's Family Restaurant</t>
  </si>
  <si>
    <t>2002 Westinghouse Blvd</t>
  </si>
  <si>
    <t>liLRXHaS5x4vy8EJq5fh9g</t>
  </si>
  <si>
    <t>Arthurs's At Wachovia</t>
  </si>
  <si>
    <t>1 Wachovia Ctr</t>
  </si>
  <si>
    <t>4cWrtMvfj-tomyEPgP7KFg</t>
  </si>
  <si>
    <t>French, Restaurants, Fondue, Salad</t>
  </si>
  <si>
    <t>The Melting Pot - Charlotte</t>
  </si>
  <si>
    <t>901 S Kings Dr, Ste 140B</t>
  </si>
  <si>
    <t>yrUDeng1LrDvgyyjI5GiHA</t>
  </si>
  <si>
    <t>Desserts, Food, Nightlife, Vietnamese, Bars, Restaurants, Beer Bar</t>
  </si>
  <si>
    <t>Pho Quynh</t>
  </si>
  <si>
    <t>bmcxT_geMvzExMb6Hpifgg</t>
  </si>
  <si>
    <t>Hot Dogs, Restaurants, Burgers</t>
  </si>
  <si>
    <t>The Counter: Custom Built Burgers</t>
  </si>
  <si>
    <t>cJ_pTcd93ABb7vVCwJplKA</t>
  </si>
  <si>
    <t>Taste of Havana</t>
  </si>
  <si>
    <t>5534 Ablemarle Rd</t>
  </si>
  <si>
    <t>zXRf_6Bs1yX9an_QKpzbHQ</t>
  </si>
  <si>
    <t>McDonalds</t>
  </si>
  <si>
    <t>901 E Arrowood Rd</t>
  </si>
  <si>
    <t>CzUUmNWYINyh4y0_7_elpA</t>
  </si>
  <si>
    <t>Yen's Chinese Restaurant</t>
  </si>
  <si>
    <t>9010 Monroe Rd, Ste A</t>
  </si>
  <si>
    <t>Lw-T4lHSd2hM9F2s78GloQ</t>
  </si>
  <si>
    <t>3020 Prosperity Church Rd, Ste D</t>
  </si>
  <si>
    <t>Rm-Vq0RF_cCcXsR6DaTkww</t>
  </si>
  <si>
    <t>Salad, Restaurants, Fast Food, Pizza</t>
  </si>
  <si>
    <t>8948 Jm Keynes Dr, Ste 400</t>
  </si>
  <si>
    <t>m9x3lP68vCe9EOB7EcA1lg</t>
  </si>
  <si>
    <t>Asian Wok</t>
  </si>
  <si>
    <t>10715 C Park Rd</t>
  </si>
  <si>
    <t>TUh95aNu9iDLUDzqSJNXQA</t>
  </si>
  <si>
    <t>Soul Food, American (New), Specialty Food, Food, Restaurants, Comfort Food, Seafood</t>
  </si>
  <si>
    <t>ERD's Eatery and Catering</t>
  </si>
  <si>
    <t>8432 Old Statesville Rd</t>
  </si>
  <si>
    <t>6RgvZLWdr89PagH8MOhDRw</t>
  </si>
  <si>
    <t>Quiznos Sub</t>
  </si>
  <si>
    <t>320 S Tryon St, Ste 110</t>
  </si>
  <si>
    <t>e79I3sSDUCrsfpKPvwnAsg</t>
  </si>
  <si>
    <t>Tex-Mex, Nightlife, Restaurants, Bars, American (Traditional), American (New)</t>
  </si>
  <si>
    <t>8136 Providence Rd</t>
  </si>
  <si>
    <t>Qq0rSY7QhCJiLUEkx0JTrA</t>
  </si>
  <si>
    <t>4400 Sharron Road, C7B</t>
  </si>
  <si>
    <t>BbywXzvF8CGg0BBHoXvg4Q</t>
  </si>
  <si>
    <t>Food, Specialty Food, Sandwiches, Meat Shops, Restaurants</t>
  </si>
  <si>
    <t>The New York Butcher Shoppe</t>
  </si>
  <si>
    <t>2904 Selwyn Ave</t>
  </si>
  <si>
    <t>nV0DXQHOZ-5ebM3-J8O-kw</t>
  </si>
  <si>
    <t>Delis, Restaurants, Pizza</t>
  </si>
  <si>
    <t>Rudino's Pizza &amp; Grinders</t>
  </si>
  <si>
    <t>8432 Old Statesville, Ste 300</t>
  </si>
  <si>
    <t>4ficqwBgX5rBsMZYby8ZuA</t>
  </si>
  <si>
    <t>3625 Mt Holly-Huntersville Rd, Unit 402</t>
  </si>
  <si>
    <t>6uQaCL5flPwh40Uaga7mWw</t>
  </si>
  <si>
    <t>Bars, Nightlife, Dive Bars, Restaurants, American (Traditional)</t>
  </si>
  <si>
    <t>Yesteryears Goodtime Pub</t>
  </si>
  <si>
    <t>gvCW53iarF1eG030zSKuRA</t>
  </si>
  <si>
    <t>American (Traditional), Fast Food, Chicken Wings, Sandwiches, Restaurants</t>
  </si>
  <si>
    <t>4050 N Tryon St</t>
  </si>
  <si>
    <t>wUHPgIh-rJThxPvxHPlsjQ</t>
  </si>
  <si>
    <t>Bars, Restaurants, American (Traditional), Nightlife</t>
  </si>
  <si>
    <t>Wet Willie's</t>
  </si>
  <si>
    <t>900 Seaboard St, Ste B</t>
  </si>
  <si>
    <t>LZWXP-D4YPlzsFjVx6b9XA</t>
  </si>
  <si>
    <t>Spice South</t>
  </si>
  <si>
    <t>ykI9GRWLoURzx4KK3mmxdQ</t>
  </si>
  <si>
    <t>Food, Beer, Wine &amp; Spirits, American (New), Restaurants</t>
  </si>
  <si>
    <t>Five Steps II</t>
  </si>
  <si>
    <t>CGgKHXAeEBpaQ2DvqxnpHA</t>
  </si>
  <si>
    <t>Pizza, Restaurants, Seafood, American (Traditional)</t>
  </si>
  <si>
    <t>BONZ Smoke &amp; Taphouse</t>
  </si>
  <si>
    <t>2100 South Blvd</t>
  </si>
  <si>
    <t>Y3vtXQz3zPc5AVyUAsAj5Q</t>
  </si>
  <si>
    <t>Vietnamese, Bars, Food, Nightlife, Bubble Tea, Cocktail Bars, Restaurants</t>
  </si>
  <si>
    <t>Pho Real Vietnamese Restaurant and Bar</t>
  </si>
  <si>
    <t>440 E McCullough Dr, Ste 206</t>
  </si>
  <si>
    <t>nRMo6UbjYzB9--P_UGtTdg</t>
  </si>
  <si>
    <t>Juice Bars &amp; Smoothies, Food, Restaurants, Sandwiches, Breakfast &amp; Brunch, Wraps</t>
  </si>
  <si>
    <t>6640 Carmel Drive</t>
  </si>
  <si>
    <t>QnJmteSnJgEc7PfJ45imOg</t>
  </si>
  <si>
    <t>Little China Restaurant</t>
  </si>
  <si>
    <t>3124 Eastway Dr, Ste 580</t>
  </si>
  <si>
    <t>OhcNR81DiJI9ajhk2oBtnA</t>
  </si>
  <si>
    <t>Restaurants, Asian Fusion, Sushi Bars, Japanese, Nightlife, Bars</t>
  </si>
  <si>
    <t>Yama</t>
  </si>
  <si>
    <t>11641 Waverly Center Dr, Ste K-2</t>
  </si>
  <si>
    <t>1rhDCtnYZNt8NSOqu6Riog</t>
  </si>
  <si>
    <t>Latin American, Restaurants, Peruvian</t>
  </si>
  <si>
    <t>Saltao Peruvian Fare</t>
  </si>
  <si>
    <t>R61ohx9M8sw_gHsPoDCgyw</t>
  </si>
  <si>
    <t>Restaurants, Sandwiches, Soup, Salad</t>
  </si>
  <si>
    <t>1000 Blythe Blvd</t>
  </si>
  <si>
    <t>56b2cOR7d3l-7fEnc-fGAg</t>
  </si>
  <si>
    <t>Food, Breakfast &amp; Brunch, Juice Bars &amp; Smoothies, American (Traditional), Soul Food, Restaurants</t>
  </si>
  <si>
    <t>Kiya's Cuizine</t>
  </si>
  <si>
    <t>10901 University City Blvd, Ste 106</t>
  </si>
  <si>
    <t>XlOI0qLdQch7YDAs5A011Q</t>
  </si>
  <si>
    <t>Beer Gardens, Beer Bar, Nightlife, Burgers, Bars, American (New), Restaurants</t>
  </si>
  <si>
    <t>Moo &amp; Brew</t>
  </si>
  <si>
    <t>qf3xjfldVqjUKYWrPE4dtg</t>
  </si>
  <si>
    <t>Fast Food, Restaurants, Pizza</t>
  </si>
  <si>
    <t>4830 Berewick Town Center Dr, Unit B</t>
  </si>
  <si>
    <t>ZdqiRrUik1GWAcMWb2iBdw</t>
  </si>
  <si>
    <t>Sandwiches, Nightlife, Food, Bars, Restaurants, Lounges, Coffee &amp; Tea</t>
  </si>
  <si>
    <t>Coco and the Director</t>
  </si>
  <si>
    <t>r83-QcXtk1cyne0YKt67-A</t>
  </si>
  <si>
    <t>10110 Johnston Rd</t>
  </si>
  <si>
    <t>T2PbLFe13pxBh6SY1y1hlg</t>
  </si>
  <si>
    <t>El Buen Gusto</t>
  </si>
  <si>
    <t>410 Westinghouse Blvd, Ste E</t>
  </si>
  <si>
    <t>0P7NqE6gxHjwgmOpBMnY6A</t>
  </si>
  <si>
    <t>Meskerem</t>
  </si>
  <si>
    <t>tRpcBgkb1hxVimvnuFfbGg</t>
  </si>
  <si>
    <t>Restaurants, Burgers, Ice Cream &amp; Frozen Yogurt, Fast Food, Food</t>
  </si>
  <si>
    <t>Sonic Drive-In</t>
  </si>
  <si>
    <t>7820 Forest Point Blvd</t>
  </si>
  <si>
    <t>VsEpjrGJu8RJhreGChT7Uw</t>
  </si>
  <si>
    <t>Bars, Cocktail Bars, Nightlife, American (New), Lounges, Restaurants</t>
  </si>
  <si>
    <t>NuvolÃƒÂ© Rooftop TwentyTwo</t>
  </si>
  <si>
    <t>220 E Trade St, Ste 2200</t>
  </si>
  <si>
    <t>CLl2D8uz-Oh7KZwBhqFXIQ</t>
  </si>
  <si>
    <t>2834 Boyer St</t>
  </si>
  <si>
    <t>gC_w4Drc1QuPryI5Cz89XA</t>
  </si>
  <si>
    <t>Sonoma Bistro</t>
  </si>
  <si>
    <t>129 W Trade St, Ste 100</t>
  </si>
  <si>
    <t>24UDZTAMDUaugpkchFk60w</t>
  </si>
  <si>
    <t>American (New), Food, Bars, Whiskey Bars, Restaurants, Nightlife</t>
  </si>
  <si>
    <t>Treehouse Whiskey &amp; Fork</t>
  </si>
  <si>
    <t>kCTA6XeITFE1-e_YkbFL2A</t>
  </si>
  <si>
    <t>Nightlife, Sports Bars, Restaurants, Burgers, Barbeque, Bars</t>
  </si>
  <si>
    <t>Pit Road Bar &amp; Grill</t>
  </si>
  <si>
    <t>2330 Tipton Dr, Ste 100, Victory Lane Karting</t>
  </si>
  <si>
    <t>WxuRZ-EV8lardPPmRK01Dw</t>
  </si>
  <si>
    <t>Restaurants, Sandwiches, Fast Food, Delis</t>
  </si>
  <si>
    <t>3607 Whitehall Park Dr</t>
  </si>
  <si>
    <t>9od7WQ6N7xwpUnGWu7J01Q</t>
  </si>
  <si>
    <t>Sandwiches, Fast Food, Restaurants, Event Planning &amp; Services, Caterers</t>
  </si>
  <si>
    <t>3117 Pineville Matthews Rd</t>
  </si>
  <si>
    <t>hTFsJ7piwau8axV_MXXyeg</t>
  </si>
  <si>
    <t>Restaurants, Pizza, Sandwiches, Fast Food, Chicken Wings</t>
  </si>
  <si>
    <t>10210 Couloak Dr, Suite G</t>
  </si>
  <si>
    <t>Avf-PGE8lkDY1jkRSUZErw</t>
  </si>
  <si>
    <t>Restaurants, Pizza, Italian, Bars, Nightlife</t>
  </si>
  <si>
    <t>5814 Highland Shoppes Dr</t>
  </si>
  <si>
    <t>f79Gdz4CpXyZT8Pjs8cEVA</t>
  </si>
  <si>
    <t>Restaurants, Sandwiches, Food, Caterers, Event Planning &amp; Services, Food Trucks</t>
  </si>
  <si>
    <t>Mel's BLT Kitchen</t>
  </si>
  <si>
    <t>gG2S0HPvInQDUKdCJmpfqA</t>
  </si>
  <si>
    <t>718 W Trade St, Ste G</t>
  </si>
  <si>
    <t>mQCT1psNh2pJT38ohSQDHA</t>
  </si>
  <si>
    <t>Chinese, Restaurants, Sushi Bars, Noodles, Japanese, Teppanyaki, Asian Fusion</t>
  </si>
  <si>
    <t>Japan 49</t>
  </si>
  <si>
    <t>10920 Winds Crossing Dr</t>
  </si>
  <si>
    <t>ZibctB6IfQhvZJuq8W-OmA</t>
  </si>
  <si>
    <t>American (New), Restaurants, American (Traditional), Cafes, Diners</t>
  </si>
  <si>
    <t>Marketplace Cafe</t>
  </si>
  <si>
    <t>QSVePigp6hjMKP-5tmTUIw</t>
  </si>
  <si>
    <t>Bakeries, Event Planning &amp; Services, Restaurants, Caterers, Food</t>
  </si>
  <si>
    <t>Edible Art of Charlotte</t>
  </si>
  <si>
    <t>2906 Selwyn Ave</t>
  </si>
  <si>
    <t>QHe9ZMcryK0tcJu1Eyylsw</t>
  </si>
  <si>
    <t>JP Charlotte at Westin</t>
  </si>
  <si>
    <t>Restaurants, Food, Seafood</t>
  </si>
  <si>
    <t>Pier 51</t>
  </si>
  <si>
    <t>8332 Pineville-Matthews Rd, Ste 201-203</t>
  </si>
  <si>
    <t>OvR4X_qSjkgpHdNn9w7GrQ</t>
  </si>
  <si>
    <t>Fast Food, Chicken Shop, Chicken Wings, Restaurants, Breakfast &amp; Brunch</t>
  </si>
  <si>
    <t>3217 Eastway Dr</t>
  </si>
  <si>
    <t>3nRaWjtgTxoqtpHKJy5u4g</t>
  </si>
  <si>
    <t>Breakfast &amp; Brunch, Chicken Shop, Food, Fast Food, Chicken Wings, Restaurants, Sandwiches</t>
  </si>
  <si>
    <t>9417 Steele Creek Rd</t>
  </si>
  <si>
    <t>4C-qogCJWE5Or9yc-AUegw</t>
  </si>
  <si>
    <t>Seafood, American (Traditional), Breakfast &amp; Brunch, Restaurants</t>
  </si>
  <si>
    <t>PsUi2HK5l-Qwzfwy9g3vQg</t>
  </si>
  <si>
    <t>Chick-Fil-A</t>
  </si>
  <si>
    <t>5501 Birmingham Pkwy</t>
  </si>
  <si>
    <t>bcTeQtSdHW5pyLjXz05QEg</t>
  </si>
  <si>
    <t>American (Traditional), Restaurants, Sandwiches, American (New)</t>
  </si>
  <si>
    <t>Fran's Filling Station</t>
  </si>
  <si>
    <t>2410 Park Rd</t>
  </si>
  <si>
    <t>AjSS_4c_pVZqrEu-U3edSQ</t>
  </si>
  <si>
    <t>Ole Smokehouse 1</t>
  </si>
  <si>
    <t>x2iDANjTtHvhCPJ2EzlMCQ</t>
  </si>
  <si>
    <t>Cafes, Caterers, Food, Sandwiches, Event Planning &amp; Services, Restaurants, Delis, Specialty Food, Meat Shops</t>
  </si>
  <si>
    <t>7649 Pineville-Matthews Rd.</t>
  </si>
  <si>
    <t>UITPqkoDytnHT4kxaAyDeA</t>
  </si>
  <si>
    <t>Hibachi Express</t>
  </si>
  <si>
    <t>7945 N Tryon St, Ste 100</t>
  </si>
  <si>
    <t>qf4w82L2F7xJwh1i82uYHA</t>
  </si>
  <si>
    <t>Yeung's Lotus Express</t>
  </si>
  <si>
    <t>6801 N Lake Mall Dr, #209</t>
  </si>
  <si>
    <t>ZpCAP2EJcMBfhetlLW_YIQ</t>
  </si>
  <si>
    <t>Burmese, American (New), Burgers, Restaurants, Fast Food</t>
  </si>
  <si>
    <t>2201 South Blvd, Ste 130</t>
  </si>
  <si>
    <t>cydzZL5xw01hmSY1hU-sRQ</t>
  </si>
  <si>
    <t>Hookah Bars, Bars, Restaurants, Cafes, Nightlife, Lounges</t>
  </si>
  <si>
    <t>Hookah Hotspot</t>
  </si>
  <si>
    <t>2600 Central Ave, Unit H</t>
  </si>
  <si>
    <t>Hot Dogs, Restaurants, Burgers, Sandwiches, Fast Food</t>
  </si>
  <si>
    <t>6438 Albemarle Rd</t>
  </si>
  <si>
    <t>luj1TiybkoXB-kkBmlD43g</t>
  </si>
  <si>
    <t>Pet Stores, Food, Butcher, Delis, Meat Shops, Local Fish Stores, Restaurants, Pets, Specialty Food, Seafood Markets</t>
  </si>
  <si>
    <t>Meat &amp; Fish Company</t>
  </si>
  <si>
    <t>919 S Mcdowell St</t>
  </si>
  <si>
    <t>JM9GL7hbCqwsJdRGw-ef4g</t>
  </si>
  <si>
    <t>American (Traditional), Breakfast &amp; Brunch, Cafes, American (New), Restaurants</t>
  </si>
  <si>
    <t>3920 Sharon Rd, Ste 160</t>
  </si>
  <si>
    <t>cy3Or8iSsDOmHBBu2MwnOg</t>
  </si>
  <si>
    <t>Toscana</t>
  </si>
  <si>
    <t>6401 Morrison Blvd, Ste 6B</t>
  </si>
  <si>
    <t>qSQcLjgY6bjUPC-BSMfTPQ</t>
  </si>
  <si>
    <t>4426 S Tryon St</t>
  </si>
  <si>
    <t>UkCVJrOlW1CPJ6go3teoJA</t>
  </si>
  <si>
    <t>Frankie's Italian Grille</t>
  </si>
  <si>
    <t>800 E Morehead St</t>
  </si>
  <si>
    <t>IUrtJeDhJOvdBJXt--mHXg</t>
  </si>
  <si>
    <t>Mr3s Crabpot Seafood Takeout</t>
  </si>
  <si>
    <t>401 Bradford Dr</t>
  </si>
  <si>
    <t>KbLI0QELlAwbfDUVwo43DQ</t>
  </si>
  <si>
    <t>Salad, Cajun/Creole, Restaurants, American (New)</t>
  </si>
  <si>
    <t>Cajun Yard Dog</t>
  </si>
  <si>
    <t>8036 Providence Rd, Ste 900</t>
  </si>
  <si>
    <t>HzvCskRg2IdWFfBcEY5Ryw</t>
  </si>
  <si>
    <t>Breakfast &amp; Brunch, Comfort Food, Southern, Restaurants</t>
  </si>
  <si>
    <t>Holler &amp; Dash Biscuit House</t>
  </si>
  <si>
    <t>2725 South Blvd, Ste A</t>
  </si>
  <si>
    <t>OXoHU8Bd-CW3b_ZwvEx9DQ</t>
  </si>
  <si>
    <t>A Mouthful Concessions &amp; Catering</t>
  </si>
  <si>
    <t>2601 B Tuckaseegee Rd</t>
  </si>
  <si>
    <t>12speFaaT2nuz04Ckb1mbg</t>
  </si>
  <si>
    <t>Home Services, Windows Installation, Siding, Contractors, Roofing, Hawaiian, Restaurants</t>
  </si>
  <si>
    <t>Owl Remodeling</t>
  </si>
  <si>
    <t>627 Minuet Ln, Ste D</t>
  </si>
  <si>
    <t>ugGwVOx0MOIHFBLFV3oYUg</t>
  </si>
  <si>
    <t>Bakeries, Restaurants, Food, Middle Eastern</t>
  </si>
  <si>
    <t>Golden Bakery</t>
  </si>
  <si>
    <t>3145-B N Sharon Amity Rd</t>
  </si>
  <si>
    <t>McPoJcxawsLOq_PPRC0rQg</t>
  </si>
  <si>
    <t>Bubba's Barbecue</t>
  </si>
  <si>
    <t>4400 Sunset Rd</t>
  </si>
  <si>
    <t>yysM4mgm-xu40msmh3dHUw</t>
  </si>
  <si>
    <t>Carmella's Pizza Grill</t>
  </si>
  <si>
    <t>8124 S Tryon St, Ste A-1</t>
  </si>
  <si>
    <t>srIy6x9Z_6hEHuGPE6L0dw</t>
  </si>
  <si>
    <t>Rudy's Italian Restaurant and Bar</t>
  </si>
  <si>
    <t>fzRxHv7XnnDqTmX25tVbJg</t>
  </si>
  <si>
    <t>Nightlife, Chicken Wings, American (New), Sports Bars, American (Traditional), Restaurants, Bars</t>
  </si>
  <si>
    <t>4626 Piedmont Row Dr, Bldg E Ste 115</t>
  </si>
  <si>
    <t>JFyhCn3DUlHAvVb97iugXw</t>
  </si>
  <si>
    <t>Grocery, Restaurants, Delis, Food, Kosher</t>
  </si>
  <si>
    <t>Gleiberman's Kosher Mart &amp; Restaurant</t>
  </si>
  <si>
    <t>862 International Dr</t>
  </si>
  <si>
    <t>GXe7InSmhsozK_0hf1-YnQ</t>
  </si>
  <si>
    <t>Grandma's Country Kitchen</t>
  </si>
  <si>
    <t>6615 N Tryon St</t>
  </si>
  <si>
    <t>d9GA1unKbggz-VrGw3-JQQ</t>
  </si>
  <si>
    <t>Cafe International</t>
  </si>
  <si>
    <t>r5pBbEFHWxlBBHs3N8QiPA</t>
  </si>
  <si>
    <t>Restaurants, Chicken Wings, Fast Food, Sandwiches</t>
  </si>
  <si>
    <t>Wing Zone</t>
  </si>
  <si>
    <t>pZBgTHK_fTf7W8vYzW4Ckg</t>
  </si>
  <si>
    <t>Bistro 7</t>
  </si>
  <si>
    <t>South Park Mall, 4400 Sharon Rd</t>
  </si>
  <si>
    <t>UIP5QLIzaoIaeJ7BroGNRA</t>
  </si>
  <si>
    <t>American (Traditional), Burgers, Restaurants</t>
  </si>
  <si>
    <t>Ruby Tuesday Restaurant</t>
  </si>
  <si>
    <t>Morrocroft Village, 3904 Colony Rd</t>
  </si>
  <si>
    <t>0lgXb6kIisS0ONXiwr6_jw</t>
  </si>
  <si>
    <t>Food, Bakeries, Restaurants, Pretzels, Fast Food</t>
  </si>
  <si>
    <t>O5vXNIody0SMddowzrAMXQ</t>
  </si>
  <si>
    <t>3734 W T Harris Blvd</t>
  </si>
  <si>
    <t>kp9egPu3SivT5gsBiyKOCA</t>
  </si>
  <si>
    <t>Cheesesteaks, Burgers, Fast Food, Restaurants, Food</t>
  </si>
  <si>
    <t>3210 Wilkinson Blvd, Ste B-3</t>
  </si>
  <si>
    <t>pXqyJQISv5N_9Of5Nnfs6g</t>
  </si>
  <si>
    <t>Oriental Cuisine</t>
  </si>
  <si>
    <t>7705 S Tryon St</t>
  </si>
  <si>
    <t>TJwMIZiGB2FA5bJvn444EA</t>
  </si>
  <si>
    <t>Event Planning &amp; Services, Venues &amp; Event Spaces, American (Traditional), Bars, Nightlife, Cocktail Bars, Restaurants, Breakfast &amp; Brunch, American (New)</t>
  </si>
  <si>
    <t>204 North Kitchen &amp; Cocktails</t>
  </si>
  <si>
    <t>204 N Tryon</t>
  </si>
  <si>
    <t>xQGaXNANL8IrC7Dz56k6ow</t>
  </si>
  <si>
    <t>Food, Chocolatiers &amp; Shops, Desserts, Bakeries, Cafes, Specialty Food, Restaurants</t>
  </si>
  <si>
    <t>Nona's Sweets Bakery &amp; Cafe</t>
  </si>
  <si>
    <t>1520 Overland Park Ln, Ste 107</t>
  </si>
  <si>
    <t>wt4GzkxZtTyGu7g7DlOZsw</t>
  </si>
  <si>
    <t>Donna K's Southern Cooking</t>
  </si>
  <si>
    <t>1820 Milton Rd</t>
  </si>
  <si>
    <t>gV-XGe6oxUa-hlY6f2DZtA</t>
  </si>
  <si>
    <t>Ice Cream &amp; Frozen Yogurt, Food, Burgers, Restaurants</t>
  </si>
  <si>
    <t>Derita Dairy Bar</t>
  </si>
  <si>
    <t>l_jQTJ0Y5GC7_xr7dpiOeQ</t>
  </si>
  <si>
    <t>Moroccan, Mediterranean, Restaurants, Middle Eastern</t>
  </si>
  <si>
    <t>Casablanca Cafe</t>
  </si>
  <si>
    <t>a1v8QIdbA_HTg_YyNlBY_w</t>
  </si>
  <si>
    <t>Restaurants, Sushi Bars, Japanese, Noodles</t>
  </si>
  <si>
    <t>1730 E Woodlawn Rd, Ste F</t>
  </si>
  <si>
    <t>wqJ6eC0bmKsTK5bsSuYhcg</t>
  </si>
  <si>
    <t>Aquavina</t>
  </si>
  <si>
    <t>435 S Tryon St</t>
  </si>
  <si>
    <t>QZwVC3LsKDK-37iF6-X7hg</t>
  </si>
  <si>
    <t>Sandwiches, Pizza, Fast Food, Restaurants, Chicken Wings</t>
  </si>
  <si>
    <t>2515 Park Rd</t>
  </si>
  <si>
    <t>HZohvULalJecn5Y-g5gt3A</t>
  </si>
  <si>
    <t>Pizza, Sandwiches, Restaurants, Chicken Wings, Fast Food</t>
  </si>
  <si>
    <t>7211 East Independence Blvd, Suite 16</t>
  </si>
  <si>
    <t>83hb_woC2JEOA1ZEIZKJlA</t>
  </si>
  <si>
    <t>Food Delivery Services, Delis, American (Traditional), Food, Southern, Event Planning &amp; Services, Sandwiches, Restaurants, Caterers, Breakfast &amp; Brunch</t>
  </si>
  <si>
    <t>1730 Abbey Pl, Ste 4</t>
  </si>
  <si>
    <t>7tAVbCxJC0HJRf9TsozzYw</t>
  </si>
  <si>
    <t>Margarona Mexican Bar and Grill</t>
  </si>
  <si>
    <t>F1tOtPzcsQk8PqNOatVsCg</t>
  </si>
  <si>
    <t>CoffeeWorks</t>
  </si>
  <si>
    <t>fUzIKW2E5oLgXY4LzruPeQ</t>
  </si>
  <si>
    <t>Sushi Bars, American (New), Restaurants</t>
  </si>
  <si>
    <t>lB_PJ7DqcAA4Ku4EZdYg6g</t>
  </si>
  <si>
    <t>Restaurants, American (Traditional), Bars, Nightlife, Lounges, Burgers</t>
  </si>
  <si>
    <t>Smalls</t>
  </si>
  <si>
    <t>XTdjc6dQXk3vBYi6f-S_uQ</t>
  </si>
  <si>
    <t>Bars, Nightlife, Sports Bars, Hotels, Restaurants, Event Planning &amp; Services, Burgers, Hotels &amp; Travel</t>
  </si>
  <si>
    <t>Champions</t>
  </si>
  <si>
    <t>zrEmWr6ue5yfxnKr4E2_jg</t>
  </si>
  <si>
    <t>Street Vendors, Food Trucks, Food Stands, Event Planning &amp; Services, Restaurants, Caterers, Food, American (Traditional), Personal Chefs</t>
  </si>
  <si>
    <t>Bleu Barn Bistro</t>
  </si>
  <si>
    <t>1XCIfbACa4PRX3BDXizWQA</t>
  </si>
  <si>
    <t>6133 S Blvd</t>
  </si>
  <si>
    <t>tyWShmboVP-S0hVXSNUhDQ</t>
  </si>
  <si>
    <t>Karaoke, Event Planning &amp; Services, Pizza, Nightlife, Bars, Cocktail Bars, Venues &amp; Event Spaces, Restaurants</t>
  </si>
  <si>
    <t>8.2.0 Pizzeria &amp; Bar</t>
  </si>
  <si>
    <t>820 Hamilton St</t>
  </si>
  <si>
    <t>7G8eLlk-zh2SvxfsRKRI1w</t>
  </si>
  <si>
    <t>Sandwiches, Restaurants, Mexican, Food</t>
  </si>
  <si>
    <t>Zac Brown's Southern Ground</t>
  </si>
  <si>
    <t>707 Pavilion Blvd</t>
  </si>
  <si>
    <t>g_cUmXSd3P7G5JJlfrXwmA</t>
  </si>
  <si>
    <t>Creation</t>
  </si>
  <si>
    <t>5FD6PHDsuu93TGXhzWqrKw</t>
  </si>
  <si>
    <t>Desserts, Seafood, Restaurants, Food, Mexican</t>
  </si>
  <si>
    <t>Fiesta Jalisco</t>
  </si>
  <si>
    <t>7CWW3M8RhhpTV4EvqN7JWw</t>
  </si>
  <si>
    <t>Restaurants, Turkish</t>
  </si>
  <si>
    <t>Carolina Kebap</t>
  </si>
  <si>
    <t>LCEeye3tvTOtcTUg61mf1Q</t>
  </si>
  <si>
    <t>Mediterranean, Persian/Iranian, Restaurants, Greek</t>
  </si>
  <si>
    <t>Akropolis Kafe</t>
  </si>
  <si>
    <t>14027 Conlan Cir</t>
  </si>
  <si>
    <t>BZ8nUf9R4sa1S-9sU6AjRg</t>
  </si>
  <si>
    <t>China Town</t>
  </si>
  <si>
    <t>13000 S Tryon St, Ste B</t>
  </si>
  <si>
    <t>Restaurants, Tapas Bars, Nightlife, Distilleries, Barbeque, Food, Beer Bar, Venues &amp; Event Spaces, Cocktail Bars, Event Planning &amp; Services, Specialty Food, Bars, Whiskey Bars, American (New)</t>
  </si>
  <si>
    <t>The Broken Spoke</t>
  </si>
  <si>
    <t>227 Southside Dr</t>
  </si>
  <si>
    <t>YTpvX_-DIDXSj2G1QLj6Uw</t>
  </si>
  <si>
    <t>Food, Smokehouse, Restaurants, American (Traditional)</t>
  </si>
  <si>
    <t>Fox and Hound Smokehouse</t>
  </si>
  <si>
    <t>15235 John J Delaney Dr</t>
  </si>
  <si>
    <t>hki2ANG01mtefIb4rQm9UA</t>
  </si>
  <si>
    <t>Restaurants, Cheesesteaks</t>
  </si>
  <si>
    <t>Great Steak  &amp; Potato Co</t>
  </si>
  <si>
    <t>KYv5Rtc-ymw3TOp4_RA_mQ</t>
  </si>
  <si>
    <t>Sandwiches, Restaurants, American (New), Wraps</t>
  </si>
  <si>
    <t>Urban Cookhouse</t>
  </si>
  <si>
    <t>1601 E Woodlawn Rd, Ste B</t>
  </si>
  <si>
    <t>h4GIdwfCp0Zzf46q33UWEQ</t>
  </si>
  <si>
    <t>American (Traditional), Southern, Restaurants, Soul Food, Barbeque, American (New)</t>
  </si>
  <si>
    <t>Bobbee O's BBQ</t>
  </si>
  <si>
    <t>J3YktOV6HCQYIVRU_lVZJA</t>
  </si>
  <si>
    <t>Mexican, Fast Food, Food, Restaurants</t>
  </si>
  <si>
    <t>9335 N Tryon St, Ste 101</t>
  </si>
  <si>
    <t>Ava9H-t4scVmP7u_onh7pg</t>
  </si>
  <si>
    <t>Italian, Bars, American (New), Breakfast &amp; Brunch, Wine Bars, Nightlife, Food, Beer, Wine &amp; Spirits, Restaurants</t>
  </si>
  <si>
    <t>Napa on Providence</t>
  </si>
  <si>
    <t>srDd36n9WvTT6zTvxokv2A</t>
  </si>
  <si>
    <t>Restaurants, Soul Food</t>
  </si>
  <si>
    <t>Queen's Soul Food</t>
  </si>
  <si>
    <t>7308 D E Independence Blvd</t>
  </si>
  <si>
    <t>kWnxQuHCVq2lZGt-R2j6MA</t>
  </si>
  <si>
    <t>Restaurants, Pubs, Nightlife, Music Venues, American (Traditional), Arts &amp; Entertainment, Bars</t>
  </si>
  <si>
    <t>The Philosophers Stone Tavern</t>
  </si>
  <si>
    <t>1958 E 7th St</t>
  </si>
  <si>
    <t>jy7EdhKbfEYUrAc8nh_Aeg</t>
  </si>
  <si>
    <t>Encore Bistro &amp; Bar</t>
  </si>
  <si>
    <t>9824 Rea Rd</t>
  </si>
  <si>
    <t>mI2GqBeadATqOkLPhDNOfQ</t>
  </si>
  <si>
    <t>China Shuttle</t>
  </si>
  <si>
    <t>2R8gyJSYmLTu-UJgNfmpCA</t>
  </si>
  <si>
    <t>Food, Mexican, Ethnic Food, Restaurants, Specialty Food, Latin American</t>
  </si>
  <si>
    <t>1009 Chancellor Park Dr</t>
  </si>
  <si>
    <t>G7QGwPZjCVmvcEsC3ARoYg</t>
  </si>
  <si>
    <t>The Corner Bar</t>
  </si>
  <si>
    <t>2016 Ayrsley Town Blvd, Ste A1</t>
  </si>
  <si>
    <t>Restaurants, Barbeque, Southern, American (Traditional)</t>
  </si>
  <si>
    <t>Sticky Fingers Smokehouse</t>
  </si>
  <si>
    <t>12410 Johnston Rd</t>
  </si>
  <si>
    <t>KFB2_9imXDY8BfuGmo9ogQ</t>
  </si>
  <si>
    <t>Burgers, Restaurants, Chicken Wings, Delis</t>
  </si>
  <si>
    <t>3124 Eastway Dr, Ste 700</t>
  </si>
  <si>
    <t>Axf_3mlM19ox-VjmN3KZYw</t>
  </si>
  <si>
    <t>Restaurants, Nightlife, Bars, Lounges</t>
  </si>
  <si>
    <t>Sophia's Lounge</t>
  </si>
  <si>
    <t>127 N Tryon St, Ste D</t>
  </si>
  <si>
    <t>6iJ8yrsueJ8QH3HceGstxw</t>
  </si>
  <si>
    <t>Table 274</t>
  </si>
  <si>
    <t>xlN36ltgkgv50egfwEc3yQ</t>
  </si>
  <si>
    <t>Pollo Royal Restaurant</t>
  </si>
  <si>
    <t>5322 S Blvd</t>
  </si>
  <si>
    <t>h8cJUgjj9KxxJoj62fHWRA</t>
  </si>
  <si>
    <t>Spanish, Restaurants</t>
  </si>
  <si>
    <t>Malabar</t>
  </si>
  <si>
    <t>214 N Tryon St, Ste 3</t>
  </si>
  <si>
    <t>6zi7dAlnk7vgvlGbUMoKkA</t>
  </si>
  <si>
    <t>Bars, Restaurants, Nightlife, American (New), Mexican</t>
  </si>
  <si>
    <t>Maverick Rock Taco</t>
  </si>
  <si>
    <t>Ohm7MmbCtN6sgxmPiDE9jA</t>
  </si>
  <si>
    <t>Burgers, Restaurants, Sandwiches, Salad, Pizza</t>
  </si>
  <si>
    <t>Joe Mama's Pizza and Grill</t>
  </si>
  <si>
    <t>9124 S Tryon, Ste A</t>
  </si>
  <si>
    <t>GJcodz8-2m7_BWzUfqlccw</t>
  </si>
  <si>
    <t>TEA ReX</t>
  </si>
  <si>
    <t>4321 Stuart Andrew Blvd, Ste I</t>
  </si>
  <si>
    <t>ewaHMKX-W0zatENPv2oQRg</t>
  </si>
  <si>
    <t>American (Traditional), Sports Bars, Restaurants, Chicken Wings, Nightlife, Bars</t>
  </si>
  <si>
    <t>9807 South Blvd</t>
  </si>
  <si>
    <t>HMJ0-SIWhvzFIkoWb2H9hQ</t>
  </si>
  <si>
    <t>Salad, Tex-Mex, Caterers, Fast Food, Restaurants, Mexican, Event Planning &amp; Services</t>
  </si>
  <si>
    <t>304 S Sharon Amity Rd</t>
  </si>
  <si>
    <t>HvSLKc0uCDVt8HYLSzCJcA</t>
  </si>
  <si>
    <t>Coffee &amp; Tea, Sandwiches, Food, Restaurants</t>
  </si>
  <si>
    <t>blynk organic</t>
  </si>
  <si>
    <t>8A_GP28T-gqf91qJRI-lDQ</t>
  </si>
  <si>
    <t>qac2HimbgZNZ9ZTqkzyqsg</t>
  </si>
  <si>
    <t>Restaurants, Argentine</t>
  </si>
  <si>
    <t>Parrillada Che Gaucho</t>
  </si>
  <si>
    <t>4724 Old Pineville Rd</t>
  </si>
  <si>
    <t>bMIVYOyr0pOYHUDNsmSDwg</t>
  </si>
  <si>
    <t>Restaurants, Cocktail Bars, Food, American (New), American (Traditional), Nightlife, Coffee &amp; Tea, Breakfast &amp; Brunch, Breweries, Gastropubs, Pubs, Bars, Beer Bar</t>
  </si>
  <si>
    <t>The Suffolk Punch</t>
  </si>
  <si>
    <t>2911 Griffith St</t>
  </si>
  <si>
    <t>UvWWzU2g-Wq-c3wAcSeDPg</t>
  </si>
  <si>
    <t>Situl Indian Restaurant</t>
  </si>
  <si>
    <t>540 Brandywine Rd, Ste B</t>
  </si>
  <si>
    <t>KtrPzjAin1w1ASrp-sUSIQ</t>
  </si>
  <si>
    <t>Chicken Wings, Fast Food, Caterers, Restaurants, Event Planning &amp; Services</t>
  </si>
  <si>
    <t>1001 Blythe Blvd</t>
  </si>
  <si>
    <t>-R8-4JRe8mUDHc1pbWYgiQ</t>
  </si>
  <si>
    <t>Nightlife, Vegetarian, Restaurants, Arts &amp; Entertainment, Music Venues</t>
  </si>
  <si>
    <t>Feast at HOM</t>
  </si>
  <si>
    <t>mrzGyreS9XKOOTMo9LnlSA</t>
  </si>
  <si>
    <t>Hokkaido Japanese Express</t>
  </si>
  <si>
    <t>8170-G S Tryon St</t>
  </si>
  <si>
    <t>LP4zPEwL3lxYfJ2sePRMog</t>
  </si>
  <si>
    <t>Sandwiches, Fast Food, Delis, Restaurants, Food, Food Delivery Services</t>
  </si>
  <si>
    <t>3014 Driwood Ct</t>
  </si>
  <si>
    <t>DijWV3Y1RQZxe3oSe17tww</t>
  </si>
  <si>
    <t>Restaurants, Food Delivery Services, American (New), Delis, Sandwiches, Food, Fast Food</t>
  </si>
  <si>
    <t>8912 Pineville-Matthews Rd</t>
  </si>
  <si>
    <t>TxQBdyDktZSk1KVTWh71dw</t>
  </si>
  <si>
    <t>Cuban, Latin American, Restaurants, Tapas Bars, Mexican, Tapas/Small Plates</t>
  </si>
  <si>
    <t>Babalu Tapas &amp; Tacos</t>
  </si>
  <si>
    <t>1511 East Blvd</t>
  </si>
  <si>
    <t>gk-LCVaXPRNLkY6Y1BM1PQ</t>
  </si>
  <si>
    <t>CJ's Wing Shack</t>
  </si>
  <si>
    <t>sF9rVfyiVPOgV806iqQiqg</t>
  </si>
  <si>
    <t>Little Rock Deli</t>
  </si>
  <si>
    <t>xreWxVX3vOmb8eEPUIpQaw</t>
  </si>
  <si>
    <t>Sandwich Shop</t>
  </si>
  <si>
    <t>1235 E 34th St</t>
  </si>
  <si>
    <t>FamLURgBX-ICQBC3VzrFBg</t>
  </si>
  <si>
    <t>Restaurants, Nightlife, Arts &amp; Entertainment, Active Life, Event Planning &amp; Services, Summer Camps, Bowling, Arcades</t>
  </si>
  <si>
    <t>Sports Connection - Ballantyne</t>
  </si>
  <si>
    <t>11611 Ardrey Kell Rd</t>
  </si>
  <si>
    <t>Xrr19fzrUUgTTQBLUd2Gzg</t>
  </si>
  <si>
    <t>American (Traditional), Delis, Soup, Sandwiches, Restaurants</t>
  </si>
  <si>
    <t>Rusty's Deli &amp; Grille</t>
  </si>
  <si>
    <t>8512 Park Rd</t>
  </si>
  <si>
    <t>5hYLxV7F8HJPk3ZUkbXH8A</t>
  </si>
  <si>
    <t>Bars, American (Traditional), Pubs, American (New), Nightlife, Restaurants</t>
  </si>
  <si>
    <t>6840 Northlake Mall Dr</t>
  </si>
  <si>
    <t>D6i3DI6qwWlD6KZBAX6LnQ</t>
  </si>
  <si>
    <t>Latin American, Restaurants, Mexican</t>
  </si>
  <si>
    <t>Senor Taco</t>
  </si>
  <si>
    <t>1910 Milton Rd</t>
  </si>
  <si>
    <t>b6qKEYhc5cji_i04PjF6ww</t>
  </si>
  <si>
    <t>Ishi Japanese Restaurant</t>
  </si>
  <si>
    <t>8205 University City Blvd</t>
  </si>
  <si>
    <t>CITXSUcKxjFFWJitVhuS0A</t>
  </si>
  <si>
    <t>Fast Food, Ice Cream &amp; Frozen Yogurt, Restaurants, Burgers, Food</t>
  </si>
  <si>
    <t>Culver's</t>
  </si>
  <si>
    <t>7031 University City Blvd</t>
  </si>
  <si>
    <t>HRRQeHMo7VN53b9isQ_qdA</t>
  </si>
  <si>
    <t>Restaurants, American (New), American (Traditional)</t>
  </si>
  <si>
    <t>Sunset Grille</t>
  </si>
  <si>
    <t>Courtyard Shopping Ctr, 2400 Park Rd</t>
  </si>
  <si>
    <t>8CnhJoJZjs0p96kN5LwKDQ</t>
  </si>
  <si>
    <t>Nightlife, Fast Food, Sports Bars, Bars, Restaurants, American (Traditional)</t>
  </si>
  <si>
    <t>Sports Page Food &amp; Spirits</t>
  </si>
  <si>
    <t>8400 Bellhaven Blvd, Ste H</t>
  </si>
  <si>
    <t>zwg2PdDB6hac2mMjYkUhaQ</t>
  </si>
  <si>
    <t>Food Tours, Hotels &amp; Travel, Restaurants, American (New), Wine Bars, Tours, Bars, Nightlife</t>
  </si>
  <si>
    <t>Tour de Food</t>
  </si>
  <si>
    <t>S3kcGHznDcyzsxkOhSZeLg</t>
  </si>
  <si>
    <t>American (New), Restaurants, Sandwiches</t>
  </si>
  <si>
    <t>5mG8NptNZtvOJv1wriHCCA</t>
  </si>
  <si>
    <t>Spice Cafe</t>
  </si>
  <si>
    <t>IDW4QFw-fN_wk81G9OV-Mg</t>
  </si>
  <si>
    <t>Food, Salad, Noodles, Desserts, Gluten-Free, Chinese, Italian, Restaurants, Asian Fusion, Thai, Fast Food, American (Traditional)</t>
  </si>
  <si>
    <t>1605 Elizabeth Ave</t>
  </si>
  <si>
    <t>zzLX3791UVXwLlJZDkRSiQ</t>
  </si>
  <si>
    <t>Sandwiches, Burgers, Restaurants, Breakfast &amp; Brunch</t>
  </si>
  <si>
    <t>Bad Daddys</t>
  </si>
  <si>
    <t>Charlotte Douglass Airport</t>
  </si>
  <si>
    <t>__eb2f_wEBrEl0xCyLqDeQ</t>
  </si>
  <si>
    <t>Mr. Taco</t>
  </si>
  <si>
    <t>7705 South Tryon St</t>
  </si>
  <si>
    <t>jF4TNrr03o1y6PNwC-TwFg</t>
  </si>
  <si>
    <t>Caterers, Fast Food, Restaurants, Event Planning &amp; Services</t>
  </si>
  <si>
    <t>8032 S Tryon St</t>
  </si>
  <si>
    <t>T_olUY-8BnOuGSJ-5CD6jg</t>
  </si>
  <si>
    <t>2001 East 7th St</t>
  </si>
  <si>
    <t>nQv0vv8OfgDr2cjsOTC75g</t>
  </si>
  <si>
    <t>128 South Tryon St</t>
  </si>
  <si>
    <t>sv-PYw3Jh2Zee5hbwa_lgA</t>
  </si>
  <si>
    <t>Southern, Restaurants, Food, Coffee &amp; Tea</t>
  </si>
  <si>
    <t>The Coffee Cup</t>
  </si>
  <si>
    <t>914 S Clarkson</t>
  </si>
  <si>
    <t>zKeHgMw_yYcTuwxM4NDsbA</t>
  </si>
  <si>
    <t>Bojangles Restaurant</t>
  </si>
  <si>
    <t>9501 Stafford Rd</t>
  </si>
  <si>
    <t>A9gEF-JH-LHNkF1F_WjDdg</t>
  </si>
  <si>
    <t>Restaurants, French</t>
  </si>
  <si>
    <t>La Belle Helene</t>
  </si>
  <si>
    <t>Bf2pd8heYGYVJOQWclwv5Q</t>
  </si>
  <si>
    <t>The Garden Grille &amp; Bar</t>
  </si>
  <si>
    <t>508 E Martin Luther King Jr Blvd</t>
  </si>
  <si>
    <t>h5ihGbkb8127_lk9iNnV4Q</t>
  </si>
  <si>
    <t>Fast Food, Burgers, Sandwiches, Restaurants</t>
  </si>
  <si>
    <t>311 S Kings Dr</t>
  </si>
  <si>
    <t>krlBwPboTImWFS1xwPr70Q</t>
  </si>
  <si>
    <t>Mai Japanese Express</t>
  </si>
  <si>
    <t>2215 Ayrsley Town Blvd, Ste A</t>
  </si>
  <si>
    <t>Ib3r1WJ00wd7OwEQM36RBw</t>
  </si>
  <si>
    <t>Liberty East Restaurant</t>
  </si>
  <si>
    <t>5112 E Independence Blvd</t>
  </si>
  <si>
    <t>01fuY2NNscttoTxOYbuZXw</t>
  </si>
  <si>
    <t>Salad, American (Traditional), Restaurants, Burgers, Diners, Vegetarian</t>
  </si>
  <si>
    <t>Pinky's Westside Grill</t>
  </si>
  <si>
    <t>1600 W Morehead St</t>
  </si>
  <si>
    <t>ed1KHQwsAYyFDrlUdwqJBA</t>
  </si>
  <si>
    <t>China Bowl</t>
  </si>
  <si>
    <t>3101 The Plz</t>
  </si>
  <si>
    <t>9UU2DPhwmTmkuANzYiZSMQ</t>
  </si>
  <si>
    <t>Burgers, Seafood, Sandwiches, American (New), American (Traditional), Restaurants, Comfort Food</t>
  </si>
  <si>
    <t>Cheddar's Scratch Kitchen</t>
  </si>
  <si>
    <t>620 University Center Blvd</t>
  </si>
  <si>
    <t>NsWc7zJG5PN_frYqMOa9mQ</t>
  </si>
  <si>
    <t>Dance Clubs, Local Flavor, Bars, Cocktail Bars, Restaurants, American (New), Nightlife, Seafood</t>
  </si>
  <si>
    <t>Riverview Raw Bar and Chill</t>
  </si>
  <si>
    <t>10012 Moores Chapel Lp</t>
  </si>
  <si>
    <t>JnBMTs9K7Ez9NB9WCJ71rQ</t>
  </si>
  <si>
    <t>Diners, Restaurants, American (New), Mediterranean, American (Traditional), Burgers</t>
  </si>
  <si>
    <t>Maria's Grill</t>
  </si>
  <si>
    <t>2801 W Sugar Creek Rd</t>
  </si>
  <si>
    <t>SHn1WhdJJxxPWe4WOO04uw</t>
  </si>
  <si>
    <t>Food, Restaurants, Asian Fusion, Sushi Bars</t>
  </si>
  <si>
    <t>Eight Sushi &amp; Asian Kitchen</t>
  </si>
  <si>
    <t>1000 NC Music Factory Blvd, Ste C-1</t>
  </si>
  <si>
    <t>nLz62gXgiJL1-UCltZFFfA</t>
  </si>
  <si>
    <t>Convenience Stores, Beer, Wine &amp; Spirits, Food, Restaurants, Korean, Sandwiches</t>
  </si>
  <si>
    <t>Avenue Market</t>
  </si>
  <si>
    <t>210 N Church</t>
  </si>
  <si>
    <t>kwZ4yG8iYBHDa1t-Mc8ZCQ</t>
  </si>
  <si>
    <t>Michael Arthurs Pub</t>
  </si>
  <si>
    <t>jrwRDE-QhvDGHLXaTMSJyA</t>
  </si>
  <si>
    <t>Italian, Restaurants, Basque, French, Spanish</t>
  </si>
  <si>
    <t>Tria Terra</t>
  </si>
  <si>
    <t>7707 Pineville Matthews Rd</t>
  </si>
  <si>
    <t>imzF-HGZjYZ8RivljMZWEw</t>
  </si>
  <si>
    <t>Southern, Restaurants, American (New), Bars, Wine Bars, Lounges, Nightlife, Sports Bars, French</t>
  </si>
  <si>
    <t>NoCA Uptown</t>
  </si>
  <si>
    <t>ZxXXyWTe3z9D5Z49P6C-CQ</t>
  </si>
  <si>
    <t>Restaurants, Pubs, Bars, American (Traditional), Nightlife, Active Life, Sports Bars</t>
  </si>
  <si>
    <t>o2zNALB8VLGhsq-fjC5qsQ</t>
  </si>
  <si>
    <t>Salad, Tex-Mex, Mexican, Caribbean, Latin American, Dominican, Restaurants</t>
  </si>
  <si>
    <t>Sabor Latin Street Grill - SouthPark</t>
  </si>
  <si>
    <t>3920 Sharon Rd, Ste B130</t>
  </si>
  <si>
    <t>P9mTlJ40tH38Bl_-yoIfjg</t>
  </si>
  <si>
    <t>Sandwiches, Restaurants, Delis, Salad</t>
  </si>
  <si>
    <t>8943 S Tryon St, Ste A</t>
  </si>
  <si>
    <t>UGuMWFikv5elDN6sRI64pQ</t>
  </si>
  <si>
    <t>Breakfast &amp; Brunch, Beer, Wine &amp; Spirits, Food, Cafes, Coffee &amp; Tea, Restaurants, Beverage Store, Delis</t>
  </si>
  <si>
    <t>The People's Market at Dilworth</t>
  </si>
  <si>
    <t>1315 E Blvd</t>
  </si>
  <si>
    <t>lvoTojJLdtNHxrwVVkUe6w</t>
  </si>
  <si>
    <t>9456 Monroe Rd</t>
  </si>
  <si>
    <t>wNCmc346Z2qaXYXBaox9MQ</t>
  </si>
  <si>
    <t>Food, Soup, Salad, Bagels, Sandwiches, Breakfast &amp; Brunch, Restaurants</t>
  </si>
  <si>
    <t>9309 Center Lake Dr</t>
  </si>
  <si>
    <t>c24ZZshnU3sKqHQF8K_7Yg</t>
  </si>
  <si>
    <t>American (New), Restaurants, Nightlife, Seafood, Desserts, Bars, Food</t>
  </si>
  <si>
    <t>Bernardin's Restaurant At Ratcliffe</t>
  </si>
  <si>
    <t>435 S Tryon St, Ste 100, Ratcliffe</t>
  </si>
  <si>
    <t>B3nwV9J5KWp22FBvI6qxow</t>
  </si>
  <si>
    <t>Mexican, Restaurants, Fast Food, Tex-Mex</t>
  </si>
  <si>
    <t>1045 Sugar Creek</t>
  </si>
  <si>
    <t>YPbuIXRwoPMt2ABKXqM46Q</t>
  </si>
  <si>
    <t>Food Trucks, Restaurants, Food, Sandwiches, Street Vendors</t>
  </si>
  <si>
    <t>Clover Joe's Sandwich Shoppe</t>
  </si>
  <si>
    <t>50pDd3dmJCb6m9JxBUq7KA</t>
  </si>
  <si>
    <t>Local Flavor, Venues &amp; Event Spaces, Breweries, German, Restaurants, Food, Event Planning &amp; Services</t>
  </si>
  <si>
    <t>The Olde Mecklenburg Brewery</t>
  </si>
  <si>
    <t>215 Southside Dr</t>
  </si>
  <si>
    <t>wc-YmPkgF20y57vkvTPKJg</t>
  </si>
  <si>
    <t>Gluten-Free, Chinese, Asian Fusion, Restaurants</t>
  </si>
  <si>
    <t>8944 Jm Keynes Dr, Ste 300</t>
  </si>
  <si>
    <t>OOwG23cwNbSbxC1XOJd6aQ</t>
  </si>
  <si>
    <t>Mexican, Fast Food, Event Planning &amp; Services, Caterers, Restaurants</t>
  </si>
  <si>
    <t>16615 Lancaster Hwy, Ste 101</t>
  </si>
  <si>
    <t>Fast Food, Restaurants, American (Traditional), Sandwiches, Burgers</t>
  </si>
  <si>
    <t>4505 Randolph Rd</t>
  </si>
  <si>
    <t>dkvGGVFSILL_kmyOYRD-NQ</t>
  </si>
  <si>
    <t>Pizza, American (New), Sandwiches, American (Traditional), Restaurants</t>
  </si>
  <si>
    <t>Wolfgang Puck Carolina Bistro</t>
  </si>
  <si>
    <t>uDb1lOfDhl_VLmAbYvp-vQ</t>
  </si>
  <si>
    <t>Fast Food, Pizza, Restaurants, Italian</t>
  </si>
  <si>
    <t>Benny Pennello's</t>
  </si>
  <si>
    <t>2909 N Davidson St, Ste 100</t>
  </si>
  <si>
    <t>JePoHo0qm7lHd2Nsg3zA3w</t>
  </si>
  <si>
    <t>Caterers, Ethnic Food, Food, Grocery, Appliances, Home &amp; Garden, Restaurants, Beer, Wine &amp; Spirits, Event Planning &amp; Services, Soup, Delis, Shopping, Specialty Food, Pasta Shops</t>
  </si>
  <si>
    <t>1528 Providence Rd</t>
  </si>
  <si>
    <t>z5y2HCST-6ME_mrlpXG0UA</t>
  </si>
  <si>
    <t>8544 University City Blvd</t>
  </si>
  <si>
    <t>5fquJHY2hMX9tPRD5s0t5g</t>
  </si>
  <si>
    <t>American (New), French, Restaurants, Italian, American (Traditional)</t>
  </si>
  <si>
    <t>Rooster's Uptown</t>
  </si>
  <si>
    <t>150 N College St</t>
  </si>
  <si>
    <t>nzT22B3ad9L0oF2hVYXr8Q</t>
  </si>
  <si>
    <t>Chinese, Asian Fusion, Restaurants</t>
  </si>
  <si>
    <t>Hop Feng 2</t>
  </si>
  <si>
    <t>9229 Lawyers Rd, Ste G</t>
  </si>
  <si>
    <t>9X-Z0IH4hxmVA6AzKQ3pEg</t>
  </si>
  <si>
    <t>Soup, Cafes, Restaurants, Sandwiches</t>
  </si>
  <si>
    <t>Karma Kafe</t>
  </si>
  <si>
    <t>120 N Cedar St</t>
  </si>
  <si>
    <t>6lIsBN0xMFV6aS7erhNiCQ</t>
  </si>
  <si>
    <t>8816 University E Dr</t>
  </si>
  <si>
    <t>LDjEyjLqzmaMt7Gfe-wZXA</t>
  </si>
  <si>
    <t>Restaurants, Bars, Nightlife, Wine Bars, Tapas Bars, Beer, Wine &amp; Spirits, Dance Clubs, Lounges, Food</t>
  </si>
  <si>
    <t>Tutto Mondo Lounge</t>
  </si>
  <si>
    <t>1820 S Blvd</t>
  </si>
  <si>
    <t>hrkIQJhNISQEuo1EwfiugQ</t>
  </si>
  <si>
    <t>Sandwiches, Salad, Delis, Restaurants, American (New)</t>
  </si>
  <si>
    <t>7808 S Tryon St, Ste H</t>
  </si>
  <si>
    <t>796J51vX9eu6BONfDBQMzw</t>
  </si>
  <si>
    <t>Restaurants, Wine Bars, Bars, American (New), Nightlife</t>
  </si>
  <si>
    <t>Vine American Kitchen</t>
  </si>
  <si>
    <t>13735 Conlan Cir</t>
  </si>
  <si>
    <t>cyIfWWWVPy3k_MtBmNa_dQ</t>
  </si>
  <si>
    <t>Restaurants, Southern, African</t>
  </si>
  <si>
    <t>Floyd's Restaurant II</t>
  </si>
  <si>
    <t>NFm869_w6cvVaWaNpAzjeA</t>
  </si>
  <si>
    <t>Restaurants, Tapas Bars, Bars, Lounges, Nightlife, Gastropubs, Cocktail Bars</t>
  </si>
  <si>
    <t>Soul Gastrolounge</t>
  </si>
  <si>
    <t>1500-B Central Ave</t>
  </si>
  <si>
    <t>aIJqDWUt10iS45zYCr0KcQ</t>
  </si>
  <si>
    <t>Thai Taste</t>
  </si>
  <si>
    <t>324 East Blvd</t>
  </si>
  <si>
    <t>H49dwF7meLTuP0haqIhHCA</t>
  </si>
  <si>
    <t>Food, Breakfast &amp; Brunch, Sandwiches, Restaurants, Bagels, Salad, Bakeries, Soup</t>
  </si>
  <si>
    <t>dv6fnlssuYNDablfp0wGEQ</t>
  </si>
  <si>
    <t>Pizza, Sandwiches, Restaurants, Fast Food, Chicken Wings</t>
  </si>
  <si>
    <t>3716 W WTY Harris Blvd, Suite I</t>
  </si>
  <si>
    <t>Q_RpxG-YEMOk_yniWZfHCA</t>
  </si>
  <si>
    <t>Restaurants, Chicken Wings, Fast Food</t>
  </si>
  <si>
    <t>5525 E Independence Blvd</t>
  </si>
  <si>
    <t>SlQNMsVEOSxN-ciIn93LOw</t>
  </si>
  <si>
    <t>House Of Leng At Boardwalk</t>
  </si>
  <si>
    <t>8933 J M Keynes Dr</t>
  </si>
  <si>
    <t>Ug4bfhSadfb1Lm6fqym5ZA</t>
  </si>
  <si>
    <t>Hot Dogs, American (Traditional), Restaurants, Breakfast &amp; Brunch</t>
  </si>
  <si>
    <t>Green's Lunch</t>
  </si>
  <si>
    <t>309 W 4th St</t>
  </si>
  <si>
    <t>H71dQF--xtfPyIwNQMw5pQ</t>
  </si>
  <si>
    <t>1600 E Woodlawn Rd, Ste 260</t>
  </si>
  <si>
    <t>34lgzV2XYAKjl8dt8olYMA</t>
  </si>
  <si>
    <t>Restaurants, Seafood, Korean</t>
  </si>
  <si>
    <t>Korean Restaurant</t>
  </si>
  <si>
    <t>ZIFU068A8sc_Vs39CVb2zQ</t>
  </si>
  <si>
    <t>Sushi Bars, Chinese, Restaurants, Japanese</t>
  </si>
  <si>
    <t>Teriyaki II</t>
  </si>
  <si>
    <t>yR_mPDR9kNWmXADWk6-TLw</t>
  </si>
  <si>
    <t>Spice 9 Xpress Indian Cuisine</t>
  </si>
  <si>
    <t>127 N Tryon St, Ste 245</t>
  </si>
  <si>
    <t>g-ftCJsLjDZgYzrjUf7gng</t>
  </si>
  <si>
    <t>Hunan Express Chinese Restaurant</t>
  </si>
  <si>
    <t>901 N Wendover Rd, Ste C</t>
  </si>
  <si>
    <t>py4DxqgKWs5trUlKY9MP8A</t>
  </si>
  <si>
    <t>Restaurants, Japanese, Ramen, Asian Fusion, Sushi Bars</t>
  </si>
  <si>
    <t>Genji Sushi Bars</t>
  </si>
  <si>
    <t>7221 Waverly Walk Ave</t>
  </si>
  <si>
    <t>qJnjPNWWIy6Evq0LD5Biuw</t>
  </si>
  <si>
    <t>Sutton House</t>
  </si>
  <si>
    <t>9wgtfID8mrrd0-oeDpq7Hw</t>
  </si>
  <si>
    <t>Food, Nightlife, Bars, Restaurants, Beer, Wine &amp; Spirits, Burgers, Hot Dogs</t>
  </si>
  <si>
    <t>Queen City Bites &amp; Crafts</t>
  </si>
  <si>
    <t>135 Brevard Ct</t>
  </si>
  <si>
    <t>9-GNhPL4PBL2FOJc28KPMA</t>
  </si>
  <si>
    <t>Tacos, Restaurants, Mexican, Latin American</t>
  </si>
  <si>
    <t>Tamales La Pasadita</t>
  </si>
  <si>
    <t>3112 The Plz</t>
  </si>
  <si>
    <t>t31AKJ_LVLx_NoT9WTy8cQ</t>
  </si>
  <si>
    <t>Yorkmont Cafe</t>
  </si>
  <si>
    <t>2925 Yorkmont Rd</t>
  </si>
  <si>
    <t>zL_qwA1JgRPgI-LNewP1Ew</t>
  </si>
  <si>
    <t>Korean, Japanese, Sushi Bars, Restaurants</t>
  </si>
  <si>
    <t>Simplee Sushi</t>
  </si>
  <si>
    <t>8320 Pineville Matthews Rd, Ste 607</t>
  </si>
  <si>
    <t>dmT3MwT3_IILWZDxYnN1Ug</t>
  </si>
  <si>
    <t>Food, Juice Bars &amp; Smoothies, Vegetarian, Breakfast &amp; Brunch, Acai Bowls, Restaurants, Gluten-Free, Specialty Food</t>
  </si>
  <si>
    <t>Grabbagreen EpiCentre</t>
  </si>
  <si>
    <t>7_Eh1VvtKPmQvYNB1OTGWw</t>
  </si>
  <si>
    <t>Salad, Bagels, Food, Restaurants, Bakeries, Sandwiches, Breakfast &amp; Brunch, Soup</t>
  </si>
  <si>
    <t>6bFBYeXhFjFBtghEZPpPUA</t>
  </si>
  <si>
    <t>Chicken King Restaurant</t>
  </si>
  <si>
    <t>435 Bradford Dr</t>
  </si>
  <si>
    <t>oNQ6Q6IHh5GnLgllfM1dMQ</t>
  </si>
  <si>
    <t>Restaurants, Grocery, Seafood Markets, Seafood, Specialty Food, Food</t>
  </si>
  <si>
    <t>Catch On Seafood Market</t>
  </si>
  <si>
    <t>1801 A Commonwealth Ave</t>
  </si>
  <si>
    <t>CqERKXl7JB-FmlsiDekg0Q</t>
  </si>
  <si>
    <t>Restaurants, Food Trucks, Food, Cajun/Creole, Sandwiches</t>
  </si>
  <si>
    <t>Magnolia's Poboys</t>
  </si>
  <si>
    <t>u39P4LlGpCM-WvxrJEDS0A</t>
  </si>
  <si>
    <t>9749 Northlake Centre Pkwy</t>
  </si>
  <si>
    <t>Salad, Desserts, Fast Food, Breakfast &amp; Brunch, Food, Restaurants</t>
  </si>
  <si>
    <t>1540 E Woodlawn Rd</t>
  </si>
  <si>
    <t>wPEomRAqTXANuy0Fygsg8Q</t>
  </si>
  <si>
    <t>Food, Bagels, Delis, Restaurants, Sandwiches</t>
  </si>
  <si>
    <t>Bagel Bin &amp; Deli II</t>
  </si>
  <si>
    <t>16709 Orchard Stone Run</t>
  </si>
  <si>
    <t>TTmGJBXn4sGrnqFeu4mO9g</t>
  </si>
  <si>
    <t>Dickey's Barbecue Pit</t>
  </si>
  <si>
    <t>15201 B John J Delaney</t>
  </si>
  <si>
    <t>C6twek3zMzrjgnA7VWgH7A</t>
  </si>
  <si>
    <t>Sandwiches, Salad, Restaurants, Delis</t>
  </si>
  <si>
    <t>4130 Carmel Rd</t>
  </si>
  <si>
    <t>OHAMMo1sdmvFw9SsS-AZQg</t>
  </si>
  <si>
    <t>Southern, Chicken Wings, Soul Food, Restaurants, Cafes</t>
  </si>
  <si>
    <t>1331 W Sugar Creek Rd</t>
  </si>
  <si>
    <t>V1Dj3LL4kqf-nORQhlsAaA</t>
  </si>
  <si>
    <t>101 S Tryon St, Ste 18</t>
  </si>
  <si>
    <t>2k7HL2oAGr__WRJLhIoWwQ</t>
  </si>
  <si>
    <t>Gluten-Free, Pizza, Restaurants</t>
  </si>
  <si>
    <t>10012 Benfield Rd, Ste 304</t>
  </si>
  <si>
    <t>JWmWqa5qkrxKM3M29kPNHw</t>
  </si>
  <si>
    <t>Austin's Caribbean Cuisine</t>
  </si>
  <si>
    <t>M7ct9KxSDWoiwvOOYOaAyQ</t>
  </si>
  <si>
    <t>Restaurants, Fast Food, Juice Bars &amp; Smoothies, Food, Ice Cream &amp; Frozen Yogurt</t>
  </si>
  <si>
    <t>vhwkE0ql1g_uUkDtxCHzSA</t>
  </si>
  <si>
    <t>Restaurants, Salad, Tex-Mex, Fast Food, Mexican</t>
  </si>
  <si>
    <t>8536 University City Blvd</t>
  </si>
  <si>
    <t>viuM2vdATRCxI-wqlBHytA</t>
  </si>
  <si>
    <t>Active Life, Bars, Nightlife, American (New), Restaurants, Golf</t>
  </si>
  <si>
    <t>Topgolf</t>
  </si>
  <si>
    <t>8024 Savoy Corporate Dr</t>
  </si>
  <si>
    <t>3yymiTfNro2fmv6FedUW3w</t>
  </si>
  <si>
    <t>239 S Kings Dr, Ste B</t>
  </si>
  <si>
    <t>3MntE_HWbNNoyiLGxywjYA</t>
  </si>
  <si>
    <t>5033 South Blvd, Ste F</t>
  </si>
  <si>
    <t>VgRcUx2ezIk24DKMSH2YEA</t>
  </si>
  <si>
    <t>Food, Breakfast &amp; Brunch, Event Planning &amp; Services, Bakeries, Caterers, Sandwiches, Restaurants</t>
  </si>
  <si>
    <t>1824 E Arbors Dr, Ste 390</t>
  </si>
  <si>
    <t>ThZdaQiCbu8mL8rbLNyrgA</t>
  </si>
  <si>
    <t>Indian, Restaurants, Pakistani</t>
  </si>
  <si>
    <t>Saffron Indian Cuisine</t>
  </si>
  <si>
    <t>2135-B Ayrsley Town Blvd</t>
  </si>
  <si>
    <t>K86vnjM11Kkz8532qi0LqQ</t>
  </si>
  <si>
    <t>Vegetarian, Restaurants, African, Ethiopian, Food, Vegan, American (New)</t>
  </si>
  <si>
    <t>Enat Ethiopian Restaurant</t>
  </si>
  <si>
    <t>fjJeO9R5YLOBo15d3Ke2bQ</t>
  </si>
  <si>
    <t>Food, American (New), Restaurants, Sandwiches</t>
  </si>
  <si>
    <t>Chex Grill</t>
  </si>
  <si>
    <t>2734 Freedom Dr</t>
  </si>
  <si>
    <t>w8Eq5R1T-5ZdfhE3MvGGeg</t>
  </si>
  <si>
    <t>Food, Nightlife, Cafes, Arts &amp; Entertainment, Restaurants, Bars, Shopping, Art Galleries, Wine Bars, Coffee &amp; Tea</t>
  </si>
  <si>
    <t>FABO Coffee Art Bar</t>
  </si>
  <si>
    <t>8428 Park Rd</t>
  </si>
  <si>
    <t>vOdiLz0dTiyHmkbv61HYGQ</t>
  </si>
  <si>
    <t>Caribbean, Chicken Wings, Restaurants, Soul Food</t>
  </si>
  <si>
    <t>Ty's Wings &amp; Tings</t>
  </si>
  <si>
    <t>_2trMwFsh5-IqqEcQ-OLVA</t>
  </si>
  <si>
    <t>Nightlife, Sports Bars, Restaurants, American (Traditional), Bars, Chicken Wings, Barbeque</t>
  </si>
  <si>
    <t>Mac's Speed Shop - Steele Creek</t>
  </si>
  <si>
    <t>2414 Sandy Porter Rd</t>
  </si>
  <si>
    <t>9k0kY4_NNu66MHYiruokjQ</t>
  </si>
  <si>
    <t>Coffey Creek Cafe</t>
  </si>
  <si>
    <t>1700 Center Park Dr</t>
  </si>
  <si>
    <t>MCSvd8dUUSJdpU5bfz8POA</t>
  </si>
  <si>
    <t>Food Stands, Street Vendors, Restaurants, Food</t>
  </si>
  <si>
    <t>Chef &amp; Friends Food Truck</t>
  </si>
  <si>
    <t>U66Hketxx9udNd3dMmfPQA</t>
  </si>
  <si>
    <t>Zoewee's</t>
  </si>
  <si>
    <t>4112 N Tryon St</t>
  </si>
  <si>
    <t>dJfiXs0BwwkGKl0sXC3dzw</t>
  </si>
  <si>
    <t>Event Planning &amp; Services, Buffets, Caterers, Vegetarian, Indian, Restaurants</t>
  </si>
  <si>
    <t>Sithara</t>
  </si>
  <si>
    <t>9609 N Tryon St, Unit I</t>
  </si>
  <si>
    <t>tMlVZWa4SsI01qYMRQerKg</t>
  </si>
  <si>
    <t>Local Flavor, Wine Bars, Restaurants, Grocery, Food, Public Markets, Shopping, Farmers Market, Nightlife, Bars, Specialty Food, Beer Bar</t>
  </si>
  <si>
    <t>7th Street Public Market</t>
  </si>
  <si>
    <t>3XFKrCj8vPWO2ZIYYL3iyA</t>
  </si>
  <si>
    <t>Golden Corral Family Steak House</t>
  </si>
  <si>
    <t>7701 N Tryon St</t>
  </si>
  <si>
    <t>N9o1UKmI0Ng1qYkTBTxHmA</t>
  </si>
  <si>
    <t>Thai, Sandwiches, Restaurants, Noodles, Chinese</t>
  </si>
  <si>
    <t>8156 South Tryon St</t>
  </si>
  <si>
    <t>k6DhMtaqcnd7DP6_yQAF1w</t>
  </si>
  <si>
    <t>Southern, Bars, Nightlife, Soul Food, American (Traditional), Restaurants</t>
  </si>
  <si>
    <t>Rebecca's Taste of the South</t>
  </si>
  <si>
    <t>jk2XQVrZNLV0Puh1PilNaQ</t>
  </si>
  <si>
    <t>Juice Bars &amp; Smoothies, Restaurants, Food, Wraps, Sandwiches</t>
  </si>
  <si>
    <t>5815 Highland Shoppes Drive</t>
  </si>
  <si>
    <t>ZhhJtilWRDryTxeXF1kVWw</t>
  </si>
  <si>
    <t>Desserts, Tapas Bars, Coffee &amp; Tea, Bars, Food, Wine Bars, Restaurants, Arts &amp; Entertainment, Music Venues, Nightlife</t>
  </si>
  <si>
    <t>PJ's Coffee &amp; Lounge</t>
  </si>
  <si>
    <t>210 E Trade St, Building C</t>
  </si>
  <si>
    <t>JhrGRSeL0_ZhEbRFPBp3yw</t>
  </si>
  <si>
    <t>UULUeLPBYPRS9MbEWmUWdQ</t>
  </si>
  <si>
    <t>Venues &amp; Event Spaces, Arts &amp; Entertainment, Event Planning &amp; Services, Country Clubs, Restaurants, Golf, Active Life</t>
  </si>
  <si>
    <t>TPC Piper Glen</t>
  </si>
  <si>
    <t>4300 Piper Glen Dr</t>
  </si>
  <si>
    <t>fNWHcOdNAjuK7jpEsiYeNw</t>
  </si>
  <si>
    <t>Tex-Mex, Restaurants, Barbeque</t>
  </si>
  <si>
    <t>Jolina Tex Mex Kitchen &amp; BBQ</t>
  </si>
  <si>
    <t>Eg3TRdo2y9ZtiJhykaNqiA</t>
  </si>
  <si>
    <t>Kung Poa Express</t>
  </si>
  <si>
    <t>12007 Sam Roper Dr</t>
  </si>
  <si>
    <t>NwWYSYGHFyHQMmsXu0SiYA</t>
  </si>
  <si>
    <t>Bars, Sports Bars, Nightlife, Restaurants, Burgers</t>
  </si>
  <si>
    <t>The Burger Company</t>
  </si>
  <si>
    <t>1500C W Morehead St</t>
  </si>
  <si>
    <t>E0HOsxXZ_o6ocemK57BoWA</t>
  </si>
  <si>
    <t>Restaurants, Cuban</t>
  </si>
  <si>
    <t>A Piece Of Havana</t>
  </si>
  <si>
    <t>11126 S Tryon St</t>
  </si>
  <si>
    <t>kRWmJMC06q2J4avAUzxLag</t>
  </si>
  <si>
    <t>Delis, Pizza, Fast Food, Food Delivery Services, Food, Restaurants, Sandwiches</t>
  </si>
  <si>
    <t>7qnFJVAAmSYmmzC9kio-4w</t>
  </si>
  <si>
    <t>5518 South Blvd</t>
  </si>
  <si>
    <t>3CG7oBD_k85M8jJ_JlhL-A</t>
  </si>
  <si>
    <t>Nightlife, Bars, American (Traditional), Restaurants, Dive Bars, Diners</t>
  </si>
  <si>
    <t>The Penguin Drive-In</t>
  </si>
  <si>
    <t>1921 Commonwealth Ave</t>
  </si>
  <si>
    <t>UOuitzP3wKaLOzJSPN38ZA</t>
  </si>
  <si>
    <t>Qn5QMHOV6f5uHbxvrTPGRA</t>
  </si>
  <si>
    <t>Food Trucks, Chinese, Noodles, Specialty Food, Food Delivery Services, Ethnic Food, Event Planning &amp; Services, Restaurants, Caterers, Szechuan, Food</t>
  </si>
  <si>
    <t>The Dumpling Lady</t>
  </si>
  <si>
    <t>HAX1zec191t7QkT2sBZ76A</t>
  </si>
  <si>
    <t>La Isla Cuban Restaurant</t>
  </si>
  <si>
    <t>1816 Galerea Blvd, Ste D</t>
  </si>
  <si>
    <t>AHosGBveeXx9YjsQvdJgeg</t>
  </si>
  <si>
    <t>Restaurants, Steakhouses, French, Event Planning &amp; Services, Venues &amp; Event Spaces, Seafood, American (Traditional)</t>
  </si>
  <si>
    <t>Bentley's on 27</t>
  </si>
  <si>
    <t>201 S College St, Fl 27</t>
  </si>
  <si>
    <t>VHaSjiRqAjrcIFpgG9VUww</t>
  </si>
  <si>
    <t>7724 Pineville Mathews Rd, Unit B</t>
  </si>
  <si>
    <t>m_dQ8QWbiEbMBzPP-i5vEg</t>
  </si>
  <si>
    <t>Cheese Steak Place</t>
  </si>
  <si>
    <t>8535 Hankins Rd, Ste G</t>
  </si>
  <si>
    <t>YORKRM2BzF8z9qDGAH0Tgg</t>
  </si>
  <si>
    <t>Tanners Restaurant</t>
  </si>
  <si>
    <t>WAZN1Q8oJFHlIUzxWduzfA</t>
  </si>
  <si>
    <t>Breakfast &amp; Brunch, American (New), American (Traditional), Sandwiches, Food, Chicken Wings, Nightlife, Sports Bars, Burgers, Karaoke, Beer, Wine &amp; Spirits, Irish Pub, Cocktail Bars, Restaurants, Bars</t>
  </si>
  <si>
    <t>Whooli's Grill</t>
  </si>
  <si>
    <t>7146 E Independence Blvd</t>
  </si>
  <si>
    <t>xKhjhko44Wr7IjMLnsV43g</t>
  </si>
  <si>
    <t>Cocktail Bars, Bars, Restaurants, Wine Bars, Diners, Pubs, American (Traditional), Nightlife</t>
  </si>
  <si>
    <t>Blue Cave</t>
  </si>
  <si>
    <t>uOWWk2duBzNao8fiQFWkJQ</t>
  </si>
  <si>
    <t>Thai, Japanese, Asian Fusion, Sushi Bars, Restaurants</t>
  </si>
  <si>
    <t>Wild East</t>
  </si>
  <si>
    <t>3ma_7W3vZSD2fd6EosN3yQ</t>
  </si>
  <si>
    <t>Bars, British, Pubs, Nightlife, Sports Bars, Restaurants</t>
  </si>
  <si>
    <t>Big Ben British Restaurant &amp; Pub</t>
  </si>
  <si>
    <t>2000 South Blvd, Ste 530</t>
  </si>
  <si>
    <t>8OEBKC_ujPGh7YyfjDJOFQ</t>
  </si>
  <si>
    <t>4321 Sunset Rd</t>
  </si>
  <si>
    <t>SQII8W75fv4wJYhmAiDPWg</t>
  </si>
  <si>
    <t>Sandwiches, Burgers, Restaurants, Caribbean</t>
  </si>
  <si>
    <t>The Jerk Joint</t>
  </si>
  <si>
    <t>4841 Shopton Rd, Ste A</t>
  </si>
  <si>
    <t>heyU2rq-K2soH-V0SVMHVQ</t>
  </si>
  <si>
    <t>Restaurants, Asian Fusion, Chinese</t>
  </si>
  <si>
    <t>Mama Fu's Asian House</t>
  </si>
  <si>
    <t>yuwmVUmsFVawe4zxnWZfNg</t>
  </si>
  <si>
    <t>Chicken Wings, Food, Caterers, Fast Food, Beer, Wine &amp; Spirits, Restaurants, Event Planning &amp; Services, American (Traditional)</t>
  </si>
  <si>
    <t>Flip-a-LoÃ¢â‚¬â„¢s</t>
  </si>
  <si>
    <t>7629 Pineville-matthews Rd, Ste A</t>
  </si>
  <si>
    <t>ShnXvNkJKsDIQaGJeM0L6w</t>
  </si>
  <si>
    <t>Food, Restaurants, Barbeque, Specialty Food, Meat Shops, Chinese</t>
  </si>
  <si>
    <t>Hong Kong BBQ</t>
  </si>
  <si>
    <t>4520 N Tryon St, Ste 25</t>
  </si>
  <si>
    <t>WxtjFPaPK1WGBHGQhq2bBA</t>
  </si>
  <si>
    <t>Salad, Burgers, Food, Nightlife, Restaurants, Beer Bar, Bars, Beer, Wine &amp; Spirits, American (Traditional)</t>
  </si>
  <si>
    <t>Eastfield Bar &amp; Grill</t>
  </si>
  <si>
    <t>8709 Arbor Creek Dr</t>
  </si>
  <si>
    <t>sQZ7qgxPJD-7xMdowTdSdA</t>
  </si>
  <si>
    <t>Sandwiches, Restaurants, Soup, Salad</t>
  </si>
  <si>
    <t>Blimpie America's Sub Shop</t>
  </si>
  <si>
    <t>230 E Wt Harris Blvd, Ste A7</t>
  </si>
  <si>
    <t>6C-UycW07vavAvk-BFzTsA</t>
  </si>
  <si>
    <t>Chicken Wings, Restaurants, Fast Food, Chicken Shop, American (New)</t>
  </si>
  <si>
    <t>9010 S Tryon St</t>
  </si>
  <si>
    <t>0rgIGqS5t26BMrRd73P6QA</t>
  </si>
  <si>
    <t>Mexican, Puerto Rican, Latin American, Caterers, Event Planning &amp; Services, Breakfast &amp; Brunch, Caribbean, Cuban, Restaurants</t>
  </si>
  <si>
    <t>El Rinconcito</t>
  </si>
  <si>
    <t>201 W Arrowood Rd, Ste F, Galaxy Food Center</t>
  </si>
  <si>
    <t>Nicky's Kitchen</t>
  </si>
  <si>
    <t>2416 Freedom Dr</t>
  </si>
  <si>
    <t>jXHmmircEbhQmZjWDR1xIA</t>
  </si>
  <si>
    <t>Breakfast &amp; Brunch, Brasseries, Tapas/Small Plates, Desserts, Food, Mediterranean, Modern European, Restaurants</t>
  </si>
  <si>
    <t>Bistro La Bon</t>
  </si>
  <si>
    <t>1322 Central Ave</t>
  </si>
  <si>
    <t>HrZthBWIpMna37S22odfDA</t>
  </si>
  <si>
    <t>Delis, Food, Restaurants, Shopping, Flowers &amp; Gifts, Drugstores, Grocery</t>
  </si>
  <si>
    <t>1227 East Blvd</t>
  </si>
  <si>
    <t>gOOdzjVxP7Z7bGjsstRjcw</t>
  </si>
  <si>
    <t>American (Traditional), Bars, Nightlife, Sandwiches, Restaurants, Pubs</t>
  </si>
  <si>
    <t>Flying Saucer Draught Emporium</t>
  </si>
  <si>
    <t>9605 N Tryon St, Ste A</t>
  </si>
  <si>
    <t>YOy1tOiMMOkrCQ4mO2i3eQ</t>
  </si>
  <si>
    <t>Restaurants, Diners, Breakfast &amp; Brunch, American (Traditional)</t>
  </si>
  <si>
    <t>Metro Diner</t>
  </si>
  <si>
    <t>8334 Pineville-Matthews Rd, Ste 110</t>
  </si>
  <si>
    <t>efFnl1-5begkKc-UebO6IQ</t>
  </si>
  <si>
    <t>Seafood, Chicken Wings, Restaurants, Hot Dogs</t>
  </si>
  <si>
    <t>Queen City Wings</t>
  </si>
  <si>
    <t>607 Baldwin Ave</t>
  </si>
  <si>
    <t>3709 N Tryon St</t>
  </si>
  <si>
    <t>o2O4qWlo4O0aI5oEZsUHBQ</t>
  </si>
  <si>
    <t>Sushi Bars, Restaurants, Asian Fusion</t>
  </si>
  <si>
    <t>Jade Asian Fusion</t>
  </si>
  <si>
    <t>14815 Ballantyne Village Way, Fl 2nd ,Ste 250</t>
  </si>
  <si>
    <t>b8fEuQPrf383f6pzdm8-1w</t>
  </si>
  <si>
    <t>Vida Mexican Kitchen y Cantina</t>
  </si>
  <si>
    <t>210 E Trade St, Ste 104A</t>
  </si>
  <si>
    <t>jslGoWrJQtpC1UgEve0YgA</t>
  </si>
  <si>
    <t>1205 Thomas Ave</t>
  </si>
  <si>
    <t>auMF_BbvTus2k_o_iz2Jzw</t>
  </si>
  <si>
    <t>Smokehouse, Food, Southern, Restaurants, Barbeque, Chicken Wings</t>
  </si>
  <si>
    <t>2316 Lasalle St</t>
  </si>
  <si>
    <t>FKOF8_OMvoPoDHOplDd7tQ</t>
  </si>
  <si>
    <t>Nightlife, Beer, Wine &amp; Spirits, Burgers, Bars, Active Life, Restaurants, Food</t>
  </si>
  <si>
    <t>Kickstand Burgers &amp; Bar</t>
  </si>
  <si>
    <t>HBvaHgTOvOi6Ir_qmpCazA</t>
  </si>
  <si>
    <t>Joel's Pizza</t>
  </si>
  <si>
    <t>5668 International Dr, Ste A</t>
  </si>
  <si>
    <t>ZdFl7MqnF09dcifG1j7l_w</t>
  </si>
  <si>
    <t>Chicken Wings, Restaurants, Burgers, Sports Bars, American (Traditional), Nightlife, Bars, Steakhouses</t>
  </si>
  <si>
    <t>Applebee's Grill + Bar</t>
  </si>
  <si>
    <t>8700 J. W Clay</t>
  </si>
  <si>
    <t>Lu5hB_5YtX5Re2067Zf3cg</t>
  </si>
  <si>
    <t>Mezzanotte Ristorante</t>
  </si>
  <si>
    <t>2907 Providence Rd, Ste 100</t>
  </si>
  <si>
    <t>a9vzUNNZS6Z75ONo_p-WaA</t>
  </si>
  <si>
    <t>14145 Rivergate Pkwy, Ste 200</t>
  </si>
  <si>
    <t>kWclF3kJdLYPaoz-pepCDg</t>
  </si>
  <si>
    <t>y2AZh1mypbKz_uE_OjYjkw</t>
  </si>
  <si>
    <t>Food, Food Stands, Street Vendors, Restaurants</t>
  </si>
  <si>
    <t>Napolitano's</t>
  </si>
  <si>
    <t>XHrdHR8lPP6VKQVnMUdlhw</t>
  </si>
  <si>
    <t>Burgers, Bars, Wine Bars, Gastropubs, Nightlife, American (New), Restaurants, Tapas/Small Plates</t>
  </si>
  <si>
    <t>Queen City Craft and Gourmet</t>
  </si>
  <si>
    <t>5349 Ballantyne Commons Pkwy, Ste 100</t>
  </si>
  <si>
    <t>ghKN6NeyIBn9xxS0fO7SQQ</t>
  </si>
  <si>
    <t>Bar-B-Q King</t>
  </si>
  <si>
    <t>2900 Wilkinson Blvd</t>
  </si>
  <si>
    <t>ItJubFPMOuc1MWoKqRgygA</t>
  </si>
  <si>
    <t>125 Remount Rd, Unit D</t>
  </si>
  <si>
    <t>ycmlMco3w3A5D3Qeqk9jyw</t>
  </si>
  <si>
    <t>Restaurants, American (New), Active Life</t>
  </si>
  <si>
    <t>River's Edge Bar and Grill</t>
  </si>
  <si>
    <t>5000 Whitewater Center Pkwy</t>
  </si>
  <si>
    <t>eqLnu2upLynB4UGohc6KEQ</t>
  </si>
  <si>
    <t>Burgers, Nightlife, Pool Halls, Bars, Restaurants, Sports Bars, Pizza, American (Traditional)</t>
  </si>
  <si>
    <t>230 E W T Harris Blvd</t>
  </si>
  <si>
    <t>S7fA-BQsqQk31ZqRN5of-w</t>
  </si>
  <si>
    <t>Nightlife, Bars, Wine Bars, Mediterranean, Restaurants, Beer, Wine &amp; Spirits, Food</t>
  </si>
  <si>
    <t>Dolcetto Wine Room</t>
  </si>
  <si>
    <t>4625 Piedmont Row Dr, Ste 115 D</t>
  </si>
  <si>
    <t>MfmBd9C7tUfOkGu2eJpK2w</t>
  </si>
  <si>
    <t>Sunflower Family Restaurant</t>
  </si>
  <si>
    <t>5400 Statesville Rd</t>
  </si>
  <si>
    <t>pLPV7vybH3FMnT-Um7IQhQ</t>
  </si>
  <si>
    <t>Nightlife, Arts &amp; Entertainment, Music Venues, Restaurants, Beer Gardens</t>
  </si>
  <si>
    <t>Flight</t>
  </si>
  <si>
    <t>314 N College St</t>
  </si>
  <si>
    <t>P4sgzDqlbQ1Rjmb3yWE8tA</t>
  </si>
  <si>
    <t>Salsarita's Ballantyne</t>
  </si>
  <si>
    <t>ireHTdAh1d4lmGiieMfV_A</t>
  </si>
  <si>
    <t>Bars, Sports Bars, Restaurants, Burgers, Nightlife, American (Traditional)</t>
  </si>
  <si>
    <t>8500 PinevilleMathews Road</t>
  </si>
  <si>
    <t>L8vRIeRorFl1kah1hyR8Kg</t>
  </si>
  <si>
    <t>Sports Bars, Bars, Restaurants, American (Traditional), Nightlife</t>
  </si>
  <si>
    <t>The Press Box</t>
  </si>
  <si>
    <t>wDfz8ap9xWzj46mtNDcT9A</t>
  </si>
  <si>
    <t>American (Traditional), Restaurants, Mexican</t>
  </si>
  <si>
    <t>Miguel's Mexican and American Restaurant</t>
  </si>
  <si>
    <t>4252 Business Center Dr</t>
  </si>
  <si>
    <t>iiixGVZ0tcuVO_SKUE02qA</t>
  </si>
  <si>
    <t>3213 Eastway Dr</t>
  </si>
  <si>
    <t>YM0PtCoW9-j-0kc_PVn-wQ</t>
  </si>
  <si>
    <t>Chicken Wings, Event Planning &amp; Services, Caterers, Fast Food, Restaurants</t>
  </si>
  <si>
    <t>MktnqEPUq09KAxUcrS-w1A</t>
  </si>
  <si>
    <t>Restaurants, Mediterranean, Greek</t>
  </si>
  <si>
    <t>Clucker's Greek Cuisine</t>
  </si>
  <si>
    <t>8318 Pineville Matthews Rd, Unit 704/703</t>
  </si>
  <si>
    <t>_giuQJ5eYQNxE_wtcNDm_A</t>
  </si>
  <si>
    <t>Mexican, Restaurants, Latin American, Salvadoran, Honduran</t>
  </si>
  <si>
    <t>5906 South Blvd</t>
  </si>
  <si>
    <t>bgGOdnZ5xhfTOYwhgiauBg</t>
  </si>
  <si>
    <t>Food Trucks, Italian, Restaurants, Food</t>
  </si>
  <si>
    <t>TOLA Rose Italian Eats</t>
  </si>
  <si>
    <t>4SnS6705jmVnZO6mbFmpWw</t>
  </si>
  <si>
    <t>Soul Food, Restaurants, American (New)</t>
  </si>
  <si>
    <t>Floyd's III</t>
  </si>
  <si>
    <t>4122 N Graham St</t>
  </si>
  <si>
    <t>GwAHQJP5bqBxPVPCS211KA</t>
  </si>
  <si>
    <t>Restaurants, Cafes, Greek, Mediterranean</t>
  </si>
  <si>
    <t>Akropolis Cafe</t>
  </si>
  <si>
    <t>8500 University City Blvd</t>
  </si>
  <si>
    <t>7ig1QGYCgJV-L_5iMtVdgw</t>
  </si>
  <si>
    <t>Kosher, Food, Restaurants, Grocery, Delis</t>
  </si>
  <si>
    <t>5668-D International Dr</t>
  </si>
  <si>
    <t>I3Saf0s5ybDKprYPPNWqtA</t>
  </si>
  <si>
    <t>Restaurants, American (New), Waxing, Massage Therapy, Tea Rooms, Beauty &amp; Spas, Reflexology, Massage, Day Spas, Food, Health &amp; Medical, Coffee &amp; Tea, Hair Removal, Skin Care</t>
  </si>
  <si>
    <t>Urbana Spa</t>
  </si>
  <si>
    <t>7510 Pineville-Matthews Rd, Ste 5-B</t>
  </si>
  <si>
    <t>DtNxNpyxy2ctvxpg-LCS_w</t>
  </si>
  <si>
    <t>Pubs, Sports Bars, Beer Bar, Bars, Nightlife, Burgers, Restaurants</t>
  </si>
  <si>
    <t>Steamers Sports Pub</t>
  </si>
  <si>
    <t>1513 Pierson Dr</t>
  </si>
  <si>
    <t>I5cGJJw5-VXJtxO58WfuLA</t>
  </si>
  <si>
    <t>China Inn</t>
  </si>
  <si>
    <t>5630 N Graham St, Unit A</t>
  </si>
  <si>
    <t>tnQdyQZSNpjue1XsOEnISQ</t>
  </si>
  <si>
    <t>Nightlife, Restaurants, Cocktail Bars, Bars, American (Traditional), Burgers, Chicken Wings</t>
  </si>
  <si>
    <t>DB's Tavern</t>
  </si>
  <si>
    <t>LUnlSLV2wMJM0-svcfHCTw</t>
  </si>
  <si>
    <t>5304 Sunset Rd, Ste A</t>
  </si>
  <si>
    <t>2HJhfjU1flynaBmp1HrrKA</t>
  </si>
  <si>
    <t>American (Traditional), Southern, Restaurants, Sandwiches</t>
  </si>
  <si>
    <t>1332 Central Ave</t>
  </si>
  <si>
    <t>ny8YcGEViSGKWxo69xfiiA</t>
  </si>
  <si>
    <t>Restaurants, Sandwiches, Pizza, American (Traditional), Barbeque, Food, Southern</t>
  </si>
  <si>
    <t>Sauceman's</t>
  </si>
  <si>
    <t>228 W Blvd</t>
  </si>
  <si>
    <t>UHjQiqea7ReZRjrkPBG8pw</t>
  </si>
  <si>
    <t>Topz Healthier Burger Grill</t>
  </si>
  <si>
    <t>Old Lancaster Shopping Ctr, 15025 Lancaster Hwy</t>
  </si>
  <si>
    <t>D3vC024Q8CLuiI3iGQ-zPw</t>
  </si>
  <si>
    <t>Food, Desserts, Italian, American (Traditional), Chicken Wings, Restaurants</t>
  </si>
  <si>
    <t>The Red House Cafe</t>
  </si>
  <si>
    <t>3046 N Davidson St</t>
  </si>
  <si>
    <t>dJUhEAq8SP-0vQ1aVU7vVA</t>
  </si>
  <si>
    <t>Food, Beer, Wine &amp; Spirits, Event Planning &amp; Services, Restaurants, Grocery, Caterers, Cafes</t>
  </si>
  <si>
    <t>Dean &amp; DeLuca - Stonecrest Cafe</t>
  </si>
  <si>
    <t>gkjs1qpyERMW5VyIsp-dUw</t>
  </si>
  <si>
    <t>3117 Freedom Drive</t>
  </si>
  <si>
    <t>1zIPHXKJGnzYraLEXQebig</t>
  </si>
  <si>
    <t>American (Traditional), Southern, Breakfast &amp; Brunch, Sandwiches, Restaurants</t>
  </si>
  <si>
    <t>The Charlotte Cafe</t>
  </si>
  <si>
    <t>4127 Park Rd</t>
  </si>
  <si>
    <t>nv-w-aL2Jn9TRJAH0mMz1w</t>
  </si>
  <si>
    <t>Mexican, Event Planning &amp; Services, Salad, Caterers, Restaurants, Tex-Mex</t>
  </si>
  <si>
    <t>8400 Park Rd</t>
  </si>
  <si>
    <t>cwCLcQns_SSExsBCzWNQDA</t>
  </si>
  <si>
    <t>1537 Camden Rd</t>
  </si>
  <si>
    <t>aMideuLMeA0YujekFIE-Pg</t>
  </si>
  <si>
    <t>1910 Sardis Rd N</t>
  </si>
  <si>
    <t>lUBbHenxYd9JinUJPP7eqg</t>
  </si>
  <si>
    <t>Diners, Restaurants, Breakfast &amp; Brunch, Greek, American (New)</t>
  </si>
  <si>
    <t>Park Place Restaurant</t>
  </si>
  <si>
    <t>10517 Park Rd</t>
  </si>
  <si>
    <t>170EB5mUxLCj-Tn_5t-_kw</t>
  </si>
  <si>
    <t>Restaurants, Cantonese, Chinese, Szechuan</t>
  </si>
  <si>
    <t>Chin Garden</t>
  </si>
  <si>
    <t>4420 The Plz, Ste D</t>
  </si>
  <si>
    <t>0_o7OBAmcBS5A352zm8Hxw</t>
  </si>
  <si>
    <t>9009 Albemarle Rd, Ste 100</t>
  </si>
  <si>
    <t>bpK5y21d-i74v-1ID2uAGQ</t>
  </si>
  <si>
    <t>American (Traditional), Shopping, Restaurants, Food, American (New), Kiosk</t>
  </si>
  <si>
    <t>Harvest Moon Grille</t>
  </si>
  <si>
    <t>The Dunhill Hotel, 237 N Tryon St</t>
  </si>
  <si>
    <t>Im8C3n4D_W9ItRfmAwyxTA</t>
  </si>
  <si>
    <t>Turkish, Restaurants</t>
  </si>
  <si>
    <t>Metropolitan Cafe &amp; Catering</t>
  </si>
  <si>
    <t>138 Brevard Ct</t>
  </si>
  <si>
    <t>AC6CRT62_sie9UpmqeGyvw</t>
  </si>
  <si>
    <t>Food, Beer, Wine &amp; Spirits, Bars, American (New), Restaurants, Nightlife</t>
  </si>
  <si>
    <t>Joe Hoopers Neighborhood Pub</t>
  </si>
  <si>
    <t>pGHydF1JEdUlI-8I0lm1_g</t>
  </si>
  <si>
    <t>8300 Bellhaven Blvd</t>
  </si>
  <si>
    <t>2rgQ1TULwVoY7TnUlnH7Yw</t>
  </si>
  <si>
    <t>Taiwanese, Chinese, Japanese, Thai, Asian Fusion, Restaurants</t>
  </si>
  <si>
    <t>Taiyo Pacific and Sushi Bar</t>
  </si>
  <si>
    <t>Eo7L1EEaumQ6Pnl9nduBUg</t>
  </si>
  <si>
    <t>Food, Restaurants, Juice Bars &amp; Smoothies, Sandwiches</t>
  </si>
  <si>
    <t>McHealthy</t>
  </si>
  <si>
    <t>2042 Ayrsley Town Blvd</t>
  </si>
  <si>
    <t>5GJ60TyviQnyg2257CAGuA</t>
  </si>
  <si>
    <t>Sandwiches, Restaurants, Waffles, Delis</t>
  </si>
  <si>
    <t>FÃ…Â«D at Salud</t>
  </si>
  <si>
    <t>3306A N Davidson St</t>
  </si>
  <si>
    <t>htukE-iB6K8Yn2q5W4bI_A</t>
  </si>
  <si>
    <t>Cheese Mo'z Coal Fired Pizza</t>
  </si>
  <si>
    <t>8410 Rea Rd., Ste. 100</t>
  </si>
  <si>
    <t>WIV0FGUqg-4dEMO_sYfEDQ</t>
  </si>
  <si>
    <t>Fiji Sushi Bar &amp; Lounge</t>
  </si>
  <si>
    <t>4X4a-TJnivv8YtK1YGxcQQ</t>
  </si>
  <si>
    <t>La Catrina Mexican Grill</t>
  </si>
  <si>
    <t>hskVqZCPqy-omm9CHi44xQ</t>
  </si>
  <si>
    <t>Sandwiches, Restaurants, Fast Food, Pizza, Chicken Wings</t>
  </si>
  <si>
    <t>6420 Rea Rd, Suite B1</t>
  </si>
  <si>
    <t>0iJcWcDjaC4CVpR0uQFe5Q</t>
  </si>
  <si>
    <t>Empress of China II</t>
  </si>
  <si>
    <t>7308 E Independence Blvd, Ste D</t>
  </si>
  <si>
    <t>4xsgyzyQ5K50AMkc4CoZEA</t>
  </si>
  <si>
    <t>Bars, Food, Nightlife, Wine Bars, Coffee &amp; Tea, Restaurants</t>
  </si>
  <si>
    <t>Corkscrew On 5th Wine &amp; Coffee</t>
  </si>
  <si>
    <t>412 W 5th St, Ste C120</t>
  </si>
  <si>
    <t>AYDpUX01dB-ZIjjysISKQg</t>
  </si>
  <si>
    <t>Aloha Hawaiian Bbq and Grill</t>
  </si>
  <si>
    <t>uqASi461Gv7sTHcvZ7-vwg</t>
  </si>
  <si>
    <t>Restaurants, Pizza, American (Traditional)</t>
  </si>
  <si>
    <t>Slices</t>
  </si>
  <si>
    <t>Ch7NAhB_MWSDwcNbcptEKg</t>
  </si>
  <si>
    <t>American (Traditional), Restaurants, American (New), Southern</t>
  </si>
  <si>
    <t>Mimosa Grill</t>
  </si>
  <si>
    <t>327 S Tryon St</t>
  </si>
  <si>
    <t>uFyGHNUoznuNKfsHkByBSg</t>
  </si>
  <si>
    <t>, I-485 &amp; Providence Rd</t>
  </si>
  <si>
    <t>jIyD5h_zVynrFx-yAko7Mg</t>
  </si>
  <si>
    <t>5600 E Independence Blvd</t>
  </si>
  <si>
    <t>Xt2l1M7zrUrpJzXp9A7Zbg</t>
  </si>
  <si>
    <t>Chicken Shop, Fast Food, Restaurants, Chicken Wings</t>
  </si>
  <si>
    <t>321 E Woodlawn Rd</t>
  </si>
  <si>
    <t>jkvKT1iAz9HswDXDe6ZEag</t>
  </si>
  <si>
    <t>Breakfast &amp; Brunch, Food, Restaurants, Desserts, Coffee &amp; Tea</t>
  </si>
  <si>
    <t>tZbnGfc9LckBuKgKoX8A7g</t>
  </si>
  <si>
    <t>Rotelli Pizza and Pasta</t>
  </si>
  <si>
    <t>oKDgBUyIdiutzkIK8a9Zew</t>
  </si>
  <si>
    <t>3909 South Blvd</t>
  </si>
  <si>
    <t>5AUQJvAZvU_QnySTZLDyZQ</t>
  </si>
  <si>
    <t>Laotian, Vietnamese, Restaurants</t>
  </si>
  <si>
    <t>Pho Daravan Restaurant</t>
  </si>
  <si>
    <t>4520 N Tryon St, Ste 6</t>
  </si>
  <si>
    <t>Mi1IdbjqjGoYK09oDu8JVw</t>
  </si>
  <si>
    <t>Yu Yu's Chinese Grill</t>
  </si>
  <si>
    <t>2908 Oak Lake Blvd, Ste 102</t>
  </si>
  <si>
    <t>f12Zv1B9crmSW58iyTR_mA</t>
  </si>
  <si>
    <t>Barbeque, Smokehouse, American (Traditional), Food, Restaurants</t>
  </si>
  <si>
    <t>n-AQFKbW6MnpamdtA6ECpQ</t>
  </si>
  <si>
    <t>Cinema, Nightlife, Restaurants, American (New), Bars, Arts &amp; Entertainment</t>
  </si>
  <si>
    <t>Cinebarre - Arboretum 11</t>
  </si>
  <si>
    <t>8008 Providence Rd</t>
  </si>
  <si>
    <t>LoV_W0p5l0r4zvuHs7F9FA</t>
  </si>
  <si>
    <t>Comfort Food, Restaurants, Fish &amp; Chips, Chicken Wings, American (Traditional), Burgers</t>
  </si>
  <si>
    <t>HhcBx0LSDkxRBKMkvkwSoA</t>
  </si>
  <si>
    <t>Thai, Soup, Sushi Bars, Restaurants, Noodles</t>
  </si>
  <si>
    <t>Deejai NoDa</t>
  </si>
  <si>
    <t>3629 N Davidson St</t>
  </si>
  <si>
    <t>ulAdVwQeAtKp7AdMTgDn7g</t>
  </si>
  <si>
    <t>3320 Potomac River Pkwy, Ste D</t>
  </si>
  <si>
    <t>AauHQkxZlGHWW4LhugYHxQ</t>
  </si>
  <si>
    <t>4343 Park Rd</t>
  </si>
  <si>
    <t>Tnc-QnFufxhnj32GC90C-Q</t>
  </si>
  <si>
    <t>Salad, Breakfast &amp; Brunch, Sandwiches, Restaurants, Food, Beer, Wine &amp; Spirits, Vegetarian, Delis</t>
  </si>
  <si>
    <t>1500 W Morehead St, Ste E</t>
  </si>
  <si>
    <t>J76qDaF8iPl-8y2tYFhXbw</t>
  </si>
  <si>
    <t>Food Trucks, Nightlife, Restaurants, Food, American (Traditional), Beer Gardens, Pubs, Burgers, Bars</t>
  </si>
  <si>
    <t>The Local</t>
  </si>
  <si>
    <t>twGzzO3eek_cXtwdbOzAoQ</t>
  </si>
  <si>
    <t>Chicken Wings, Restaurants, Fast Food</t>
  </si>
  <si>
    <t>2929 Freedom Dr</t>
  </si>
  <si>
    <t>On5sceeptZSlLeGWDDGiwQ</t>
  </si>
  <si>
    <t>Emperor Chinese Restaurant</t>
  </si>
  <si>
    <t>337 S Kings Dr</t>
  </si>
  <si>
    <t>D3Ei0xJJRU8lex-ZqzMfDg</t>
  </si>
  <si>
    <t>The Clock Tower Restaurant</t>
  </si>
  <si>
    <t>2800 Coliseum Center Dr</t>
  </si>
  <si>
    <t>Qr9qVazDiyLENcQ6Jgk2Hg</t>
  </si>
  <si>
    <t>Cafes, Coffee &amp; Tea, Restaurants, Food</t>
  </si>
  <si>
    <t>Piccadilly by Rush Espresso</t>
  </si>
  <si>
    <t>5R3MmufV_Ay0zJ6Q7oNMaQ</t>
  </si>
  <si>
    <t>9020 Albemarle Rd, Suite A-2</t>
  </si>
  <si>
    <t>aY7oT4UZBQQoF-5LRob9Eg</t>
  </si>
  <si>
    <t>Bear Rock Cafe</t>
  </si>
  <si>
    <t>2706 W Mallard Creek Church Rd, Ste 100</t>
  </si>
  <si>
    <t>nGEM7icTn4GPFCKb1q1rkw</t>
  </si>
  <si>
    <t>Delis, Restaurants, Food</t>
  </si>
  <si>
    <t>Ciao Gourmet Market</t>
  </si>
  <si>
    <t>_5UAFrD3EDgJO1aZgRxH7w</t>
  </si>
  <si>
    <t>Restaurants, Southern, Caterers, Event Planning &amp; Services</t>
  </si>
  <si>
    <t>Price's Chicken Coop</t>
  </si>
  <si>
    <t>1614 Camden Rd</t>
  </si>
  <si>
    <t>8aYtKPYkv9EZa1aCBYQkcg</t>
  </si>
  <si>
    <t>Chicken Wings, Southern, Restaurants</t>
  </si>
  <si>
    <t>Louisiana Fried Chicken</t>
  </si>
  <si>
    <t>4450 The Plz, Ste E</t>
  </si>
  <si>
    <t>h8A8utBZmVWJC0EZtMcyQA</t>
  </si>
  <si>
    <t>Orient Express</t>
  </si>
  <si>
    <t>3200 N Graham St</t>
  </si>
  <si>
    <t>C0vKeUYBOmK0f-WaOhlj8g</t>
  </si>
  <si>
    <t>Hot Dogs, Restaurants, Fast Food</t>
  </si>
  <si>
    <t>Frankly Gourmet</t>
  </si>
  <si>
    <t>7os-CT7QI8P_sy1QKwhzjg</t>
  </si>
  <si>
    <t>Mexican, Salad, Soup, Restaurants</t>
  </si>
  <si>
    <t>La Fiesta Grande</t>
  </si>
  <si>
    <t>3Ui-76sC9_fNs2gu8ISAMw</t>
  </si>
  <si>
    <t>O_UiTH7YjqTS1UTk-shFnA</t>
  </si>
  <si>
    <t>Restaurants, Fruits &amp; Veggies, Specialty Food, Food, Vegetarian, Live/Raw Food, Vegan</t>
  </si>
  <si>
    <t>Real Food Charlotte</t>
  </si>
  <si>
    <t>2102 South Blvd, #150</t>
  </si>
  <si>
    <t>pSngeMoYShqw5icznsUyRg</t>
  </si>
  <si>
    <t>7828 E Rea Rd</t>
  </si>
  <si>
    <t>8jR1NYx1xPcz2_ocm1o8IA</t>
  </si>
  <si>
    <t>Restaurants, Cheesesteaks, Delis, Diners, Breakfast &amp; Brunch</t>
  </si>
  <si>
    <t>Philadelphia Deli Restaurants</t>
  </si>
  <si>
    <t>1025 S Kings Dr</t>
  </si>
  <si>
    <t>H3EBEKejPL8tsB1gQYG1Ew</t>
  </si>
  <si>
    <t>Chicken Wings, Fast Food, Event Planning &amp; Services, Restaurants, Caterers</t>
  </si>
  <si>
    <t>9801 South Blvd</t>
  </si>
  <si>
    <t>g4rkl-BorzlT1hIz_-vsew</t>
  </si>
  <si>
    <t>Sports Bars, Bars, American (New), Asian Fusion, Nightlife, Restaurants</t>
  </si>
  <si>
    <t>Icehouse</t>
  </si>
  <si>
    <t>2100 S Blvd</t>
  </si>
  <si>
    <t>xrBtePtFw32nYIPhgU7I8w</t>
  </si>
  <si>
    <t>Barbeque, Restaurants, Smokehouse, Food, Steakhouses, Food Trucks, Caterers, Event Planning &amp; Services, Party &amp; Event Planning</t>
  </si>
  <si>
    <t>T2C Smokehouse</t>
  </si>
  <si>
    <t>U2m2dWLuo2QfuYKvRAJ6GA</t>
  </si>
  <si>
    <t>Italian, Restaurants, Southern, American (New), Breakfast &amp; Brunch</t>
  </si>
  <si>
    <t>Monticello Restaurant</t>
  </si>
  <si>
    <t>235 N. Tryon Street</t>
  </si>
  <si>
    <t>CyKsmdixwdmqYPXzzSkU6Q</t>
  </si>
  <si>
    <t>Breakfast &amp; Brunch, Bars, Southern, Nightlife, Restaurants, American (Traditional)</t>
  </si>
  <si>
    <t>Edgewater Bar &amp; Grille</t>
  </si>
  <si>
    <t>8629 J M Keynes Dr</t>
  </si>
  <si>
    <t>GxA47kwAz_fMU-giHGFSDQ</t>
  </si>
  <si>
    <t>624 Tyvola Rd 101, Ste F11</t>
  </si>
  <si>
    <t>aN0SmxOpInSTeZZButA5ZQ</t>
  </si>
  <si>
    <t>Bars, Nightlife, Restaurants, American (Traditional)</t>
  </si>
  <si>
    <t>Graduate Food &amp; Pub</t>
  </si>
  <si>
    <t>PmYZ85Nt3-kKe6iqFkImTw</t>
  </si>
  <si>
    <t>Burgers, Restaurants, Beer Bar, Bars, Nightlife</t>
  </si>
  <si>
    <t>Little Big Burger</t>
  </si>
  <si>
    <t>10012 Benfield Rd</t>
  </si>
  <si>
    <t>gsNzoJQb8VLLkkZJ9UEf8A</t>
  </si>
  <si>
    <t>Restaurants, Sushi Bars, Buffets</t>
  </si>
  <si>
    <t>Ichiban Sushi and Hibachi Buffet</t>
  </si>
  <si>
    <t>3302 Queen City Dr</t>
  </si>
  <si>
    <t>SzlzAjBwFcdbOwRPjNxaxw</t>
  </si>
  <si>
    <t>Spanish, Restaurants, Steakhouses, Mediterranean</t>
  </si>
  <si>
    <t>Miro Spanish Grille</t>
  </si>
  <si>
    <t>12239 N Community House Rd, Ste 102</t>
  </si>
  <si>
    <t>a0Jm-rlHOKk_1fm4hzxskg</t>
  </si>
  <si>
    <t>Wan Fu</t>
  </si>
  <si>
    <t>10719 Kettering Dr</t>
  </si>
  <si>
    <t>eZDXz_RylvdD0tHEA8I0NA</t>
  </si>
  <si>
    <t>Seafood, Sushi Bars, Asian Fusion, Restaurants</t>
  </si>
  <si>
    <t>New Zealand Cafe</t>
  </si>
  <si>
    <t>1717 N Sardis Rd, Ste 6A</t>
  </si>
  <si>
    <t>w2kUURKtymnYVvdwwyNe2w</t>
  </si>
  <si>
    <t>Bars, Lounges, Adult Entertainment, Caribbean, Restaurants, Nightlife, Chicken Wings</t>
  </si>
  <si>
    <t>Upscale Restaurant &amp; Lounge</t>
  </si>
  <si>
    <t>3108 E Independence Blvd</t>
  </si>
  <si>
    <t>IpH4Ngf30TLTBljWvOOt7A</t>
  </si>
  <si>
    <t>1501 Central Ave</t>
  </si>
  <si>
    <t>6HMwB2wCKezd7aKzQd5asA</t>
  </si>
  <si>
    <t>Love Sushi</t>
  </si>
  <si>
    <t>8662-5 Jw Clay Blvd</t>
  </si>
  <si>
    <t>ap5VGUkChf8BFAqtBYAPEw</t>
  </si>
  <si>
    <t>Pizza, Chicken Wings, Restaurants</t>
  </si>
  <si>
    <t>Toppers</t>
  </si>
  <si>
    <t>kFJOrVTTLtc619LkqKiD8Q</t>
  </si>
  <si>
    <t>Food, Restaurants, Ice Cream &amp; Frozen Yogurt, Fast Food</t>
  </si>
  <si>
    <t>108 S Sharon Amity Rd</t>
  </si>
  <si>
    <t>LRwkfgrkxxzLG24grsHkWw</t>
  </si>
  <si>
    <t>Restaurants, Sandwiches, Delis, Coffee Roasteries, Coffee &amp; Tea, Juice Bars &amp; Smoothies, Public Markets, Food, Shopping, Cafes, Burgers</t>
  </si>
  <si>
    <t>Toucan Louie's</t>
  </si>
  <si>
    <t>2753 Rozzelles Ferry Rd</t>
  </si>
  <si>
    <t>YXa0A7aXV9wWNR0qJVVSDg</t>
  </si>
  <si>
    <t>Bars, Nightlife, Breakfast &amp; Brunch, American (New), Burgers, Restaurants</t>
  </si>
  <si>
    <t>15105 John J Delaney Dr, Ste A</t>
  </si>
  <si>
    <t>tDst_Aj42Hc6FglopVs2Cg</t>
  </si>
  <si>
    <t>Burgers, American (New), Restaurants</t>
  </si>
  <si>
    <t>Bang Bang Burgers South End</t>
  </si>
  <si>
    <t>235 W Tremont Ave, Ste 101</t>
  </si>
  <si>
    <t>I_sjgmymoRJ8B0h7nN3hQw</t>
  </si>
  <si>
    <t>KLluzHXsTV0zCw48EJTEEg</t>
  </si>
  <si>
    <t>Londa's Place</t>
  </si>
  <si>
    <t>3635 Mt Holly-Huntersville Rd</t>
  </si>
  <si>
    <t>UqVq0X-aFI00SA-UYXNfUA</t>
  </si>
  <si>
    <t>Restaurants, Nightlife, Bars, Seafood, Dance Clubs</t>
  </si>
  <si>
    <t>Town Tavern</t>
  </si>
  <si>
    <t>200 N Tryon St</t>
  </si>
  <si>
    <t>lDB3YhlIABLv-52cgXvMug</t>
  </si>
  <si>
    <t>Bakeries, Restaurants, Food, Brasseries</t>
  </si>
  <si>
    <t>AmÃƒÂ©lie's Petite</t>
  </si>
  <si>
    <t>330 S Tryon</t>
  </si>
  <si>
    <t>0QdYrqcJTJTvQNk-1WsCbA</t>
  </si>
  <si>
    <t>Latin American, Mexican, Caribbean, Restaurants, Colombian</t>
  </si>
  <si>
    <t>Gil's Kitchen</t>
  </si>
  <si>
    <t>7631 Sharon Lake Rd, Ste J</t>
  </si>
  <si>
    <t>kG0N5urz2lkPEBDPjqFR3w</t>
  </si>
  <si>
    <t>Food, Desserts, Seafood, Pakistani, Restaurants, Indian</t>
  </si>
  <si>
    <t>Maharani Indian Cuisine</t>
  </si>
  <si>
    <t>zPfSGU3hzNPNV8twXBiayA</t>
  </si>
  <si>
    <t>Caterers, Restaurants, Event Planning &amp; Services</t>
  </si>
  <si>
    <t>Best Impressions Caterers</t>
  </si>
  <si>
    <t>2600 Youngblood St</t>
  </si>
  <si>
    <t>5mb-6Guz9xqNXMigh8noMQ</t>
  </si>
  <si>
    <t>Restaurants, Caterers, Salad, Italian, Pizza, Breakfast &amp; Brunch, Event Planning &amp; Services</t>
  </si>
  <si>
    <t>Brooklyn Pizza Parlor</t>
  </si>
  <si>
    <t>1fYWRuJVpCUT7qyy-tUi5g</t>
  </si>
  <si>
    <t>Restaurants, Sandwiches, Pizza, Chicken Wings</t>
  </si>
  <si>
    <t>Domino's Pizza</t>
  </si>
  <si>
    <t>16625 Lancaster Hwy, Ste 103</t>
  </si>
  <si>
    <t>EHhI07dgKDyMcGIRbz7YNA</t>
  </si>
  <si>
    <t>Bars, Restaurants, Nightlife, Salad, Steakhouses</t>
  </si>
  <si>
    <t>BLT Steak</t>
  </si>
  <si>
    <t>110 N College St</t>
  </si>
  <si>
    <t>LKuzbx5Yt3yqiokUFdjVhg</t>
  </si>
  <si>
    <t>Korean, Chinese, Restaurants</t>
  </si>
  <si>
    <t>China Wing</t>
  </si>
  <si>
    <t>808 E Arrowood Rd</t>
  </si>
  <si>
    <t>yfwVSuLEIDjRdMfypw9dxw</t>
  </si>
  <si>
    <t>WX_xvop_VLAIbUiIHPcsVg</t>
  </si>
  <si>
    <t>Nightlife, Restaurants, American (Traditional), Pubs, Bars</t>
  </si>
  <si>
    <t>9242 Albemarle Rd</t>
  </si>
  <si>
    <t>LpAdf_z1A9REhTQjr1B4cA</t>
  </si>
  <si>
    <t>Restaurants, American (Traditional), Steakhouses, Seafood, Wine Bars, Nightlife, Bars</t>
  </si>
  <si>
    <t>4335 Barclay Downs Dr</t>
  </si>
  <si>
    <t>Fh29V9jK6va7vJax5EKh6w</t>
  </si>
  <si>
    <t>Nightlife, Bars, Food, Restaurants, American (Traditional), Mediterranean, Italian, Gelato</t>
  </si>
  <si>
    <t>_KYN4kKRhP0ZNYnXpaKlwA</t>
  </si>
  <si>
    <t>Food Trucks, Street Vendors, Restaurants, Food, Fast Food, Food Stands</t>
  </si>
  <si>
    <t>Wingzza</t>
  </si>
  <si>
    <t>5li4Wxd__uYGrgB8_n_uzw</t>
  </si>
  <si>
    <t>Bamboo Garden</t>
  </si>
  <si>
    <t>231 Mtholly Huntersville Rd</t>
  </si>
  <si>
    <t>Sn6sKGagoqfP6Ecaj2IUlg</t>
  </si>
  <si>
    <t>Restaurants, Mexican, Fast Food, Tex-Mex</t>
  </si>
  <si>
    <t>HpIEmY43r-mnjmwj_qg-qg</t>
  </si>
  <si>
    <t>Chicken Wings, Burgers, Restaurants, American (Traditional)</t>
  </si>
  <si>
    <t>58Zb67Gl0X1IGNCAYKbrIA</t>
  </si>
  <si>
    <t>Sandwiches, Food, Comfort Food, Southern, Restaurants, Chicken Wings, Seafood, Fast Food</t>
  </si>
  <si>
    <t>5201 Nations Ford Rd</t>
  </si>
  <si>
    <t>WXWsYfHK4kF6Ci9-E50Ing</t>
  </si>
  <si>
    <t>4323 Park Rd</t>
  </si>
  <si>
    <t>FGWPyPsup1Sx1FqvZssVnA</t>
  </si>
  <si>
    <t>Restaurants, Chicken Shop, Chicken Wings, Fast Food, Breakfast &amp; Brunch</t>
  </si>
  <si>
    <t>7735 S Tryon St</t>
  </si>
  <si>
    <t>xDA6kzIDA0A9iMo5fEC6wQ</t>
  </si>
  <si>
    <t>Restaurants, Diners, Breakfast &amp; Brunch, American (Traditional), American (New)</t>
  </si>
  <si>
    <t>103 Stetson Dr</t>
  </si>
  <si>
    <t>Ijf7nlXhLYEzH1yXdevorw</t>
  </si>
  <si>
    <t>Sushi Bars, Restaurants, Japanese, Tapas/Small Plates</t>
  </si>
  <si>
    <t>Minoda's Japanese Steak House, Sushi Bar, &amp; Izakaya</t>
  </si>
  <si>
    <t>VL2C7v0Kq8ZlMQd_Wh3X3Q</t>
  </si>
  <si>
    <t>Restaurants, Food, Ice Cream &amp; Frozen Yogurt, Fast Food, Burgers</t>
  </si>
  <si>
    <t>265 Mt Holly-huntersville Rd</t>
  </si>
  <si>
    <t>T2_XXa8XwI0H4XLguw0FzA</t>
  </si>
  <si>
    <t>4819 Shopton Rd, Ste A</t>
  </si>
  <si>
    <t>3VlpKnVSTb0gPWq-IYnTmw</t>
  </si>
  <si>
    <t>Salad, Restaurants, Desserts, Pizza, Food</t>
  </si>
  <si>
    <t>Davinci's Pizza</t>
  </si>
  <si>
    <t>BToSTEiaK94G3h5_XROEcA</t>
  </si>
  <si>
    <t>Candy Stores, Mexican, Specialty Food, Food, Restaurants</t>
  </si>
  <si>
    <t>La Poblanita Mexican Restaurant &amp; Candy Store</t>
  </si>
  <si>
    <t>WEWkxK1bqOYkH1PvWoTTGA</t>
  </si>
  <si>
    <t>MbPCvZV36HpAhZuSgrsjoQ</t>
  </si>
  <si>
    <t>5005 Sunset Ln</t>
  </si>
  <si>
    <t>U9iNEzBVCsPLrzoJOwa32Q</t>
  </si>
  <si>
    <t>Fast Food, Restaurants, Tex-Mex, Event Planning &amp; Services, Mexican, Caterers</t>
  </si>
  <si>
    <t>8152 S Tryon St, Unit G, Space G</t>
  </si>
  <si>
    <t>5RYFYh5HkFUZkZ8L1-auiA</t>
  </si>
  <si>
    <t>Food, Breakfast &amp; Brunch, Coffee &amp; Tea, Bakeries, Beer, Wine &amp; Spirits, Restaurants</t>
  </si>
  <si>
    <t>Barista Craft</t>
  </si>
  <si>
    <t>5818 Highland Shoppes Dr, Ste C-9</t>
  </si>
  <si>
    <t>Chicken Wings, Restaurants, American (Traditional), Salad</t>
  </si>
  <si>
    <t>Chickie &amp; Pete's</t>
  </si>
  <si>
    <t>5zjYrtSK1NdVoWNmo96rYA</t>
  </si>
  <si>
    <t>Bars, Nightlife, Food, Restaurants, Desserts, Wine Bars, Italian</t>
  </si>
  <si>
    <t>Bravo! Cucina Italiana</t>
  </si>
  <si>
    <t>Y2DEuPMILo7wWNykBrSb8A</t>
  </si>
  <si>
    <t>DB1kg0GJZXNrFYZqsxeavg</t>
  </si>
  <si>
    <t>Restaurants, Vegetarian, Vegan</t>
  </si>
  <si>
    <t>Zizis Vegan Take-Out</t>
  </si>
  <si>
    <t>zpfLEkD3DuoPegq-EmH2Cg</t>
  </si>
  <si>
    <t>Ice Cream &amp; Frozen Yogurt, Cheesesteaks, Food, Burgers, Restaurants, Fast Food, American (Traditional), Chicken Wings</t>
  </si>
  <si>
    <t>5700 University Pointe Blvd</t>
  </si>
  <si>
    <t>ei0d6U-oU0W9HljXIXC5QA</t>
  </si>
  <si>
    <t>Food, Coffee &amp; Tea, Vietnamese, Creperies, Restaurants, American (New)</t>
  </si>
  <si>
    <t>Sizzlewich</t>
  </si>
  <si>
    <t>3607 Whitehall Park Dr, Ste 1200</t>
  </si>
  <si>
    <t>YpePlG2UW_mf-zhFaCgubA</t>
  </si>
  <si>
    <t>Spanish, Restaurants, Gastropubs, Tapas Bars</t>
  </si>
  <si>
    <t>Bulla Gastrobar</t>
  </si>
  <si>
    <t>4310 Sharon Road W01</t>
  </si>
  <si>
    <t>9Xm2GfG8Rnbb1_CmXyrm3g</t>
  </si>
  <si>
    <t>Argentine, Sandwiches, American (Traditional), Restaurants, Salad</t>
  </si>
  <si>
    <t>SThmy10YhS13oFgT990Xhw</t>
  </si>
  <si>
    <t>Coffee &amp; Tea, Restaurants, Breakfast &amp; Brunch, Food</t>
  </si>
  <si>
    <t>9604 Longstone Ln</t>
  </si>
  <si>
    <t>cVMZdxUhF25Xuxeon2yzDQ</t>
  </si>
  <si>
    <t>Island Cuisine</t>
  </si>
  <si>
    <t>5332 Prosperity Church Rd, Ste A</t>
  </si>
  <si>
    <t>j2Qh8_Xy5rytclGpId-bHg</t>
  </si>
  <si>
    <t>616 N Tryon St</t>
  </si>
  <si>
    <t>OxS3vO6dFwkCz_Zjl71M-w</t>
  </si>
  <si>
    <t>Restaurants, Seafood, Mexican, Latin American</t>
  </si>
  <si>
    <t>GSlY852DqQuYWCSZNORTnw</t>
  </si>
  <si>
    <t>Italian, Chicken Wings, Salad, Pizza, Restaurants, Food</t>
  </si>
  <si>
    <t>Farley's Crafted Pizzeria</t>
  </si>
  <si>
    <t>2025 E Arbors Dr, Ste 210</t>
  </si>
  <si>
    <t>FU4HTjT_aiuuHIpCbhtpfw</t>
  </si>
  <si>
    <t>Restaurants, Burgers, Pizza, American (Traditional)</t>
  </si>
  <si>
    <t>Yorkmont Deli</t>
  </si>
  <si>
    <t>sT_tzAQQ7h-JIb1XpnmjCQ</t>
  </si>
  <si>
    <t>Burgers, Restaurants, Coffee &amp; Tea, Food, Fast Food</t>
  </si>
  <si>
    <t>2518 Beatties Ford Rd</t>
  </si>
  <si>
    <t>dztcNrIVDg6D-6sFOOofDA</t>
  </si>
  <si>
    <t>Cafes, Bakeries, Restaurants, Breakfast &amp; Brunch, Sandwiches, Food</t>
  </si>
  <si>
    <t>220 East Blvd</t>
  </si>
  <si>
    <t>PqIutNyDB0bBVrT4hPPRFw</t>
  </si>
  <si>
    <t>Sandwiches, Food, Restaurants, Desserts, Coffee &amp; Tea</t>
  </si>
  <si>
    <t>gTn_YaXUYEC5py8ESrX5Wg</t>
  </si>
  <si>
    <t>Food Stands, Food Trucks, Street Vendors, Food, Mexican, Restaurants</t>
  </si>
  <si>
    <t>Maki Taco</t>
  </si>
  <si>
    <t>mDjdTAfU-b8IZGMQWISVHw</t>
  </si>
  <si>
    <t>Cajun/Creole, Restaurants</t>
  </si>
  <si>
    <t>Pepper's Louisiana Kitchen</t>
  </si>
  <si>
    <t>8432 Old Statesville Rd, Ste 300</t>
  </si>
  <si>
    <t>gfhWUixZ4MmEAC1DtTsodA</t>
  </si>
  <si>
    <t>American (Traditional), Restaurants, Seafood, Bars, Hotels, Nightlife, Hotels &amp; Travel, Event Planning &amp; Services</t>
  </si>
  <si>
    <t>Harbor Inn Seafood</t>
  </si>
  <si>
    <t>8805 University E Dr</t>
  </si>
  <si>
    <t>lYFnZv0MSaGzo3J0azs7gg</t>
  </si>
  <si>
    <t>Seafood Markets, Specialty Food, Seafood, Food, Restaurants</t>
  </si>
  <si>
    <t>Clean Catch Fish Market</t>
  </si>
  <si>
    <t>2820 Selwyn Ave, Ste 150</t>
  </si>
  <si>
    <t>avTIDv9lJHiNcg3mcwTxqg</t>
  </si>
  <si>
    <t>Bars, Restaurants, Italian, American (New), Nightlife</t>
  </si>
  <si>
    <t>Trio</t>
  </si>
  <si>
    <t>10709 McMullen Creek Pkwy</t>
  </si>
  <si>
    <t>jV5m3azDlev20jU8iS7oAg</t>
  </si>
  <si>
    <t>Mar Y Tierra</t>
  </si>
  <si>
    <t>3000 Yorkmont Rd</t>
  </si>
  <si>
    <t>7cnz3nRaVuwHLVTTaV5-PA</t>
  </si>
  <si>
    <t>Vietnamese, Restaurants, Local Flavor</t>
  </si>
  <si>
    <t>Ben Thanh</t>
  </si>
  <si>
    <t>3jlyMZjr7tQwXnoOsN_lQQ</t>
  </si>
  <si>
    <t>Pets, Pizza, Restaurants</t>
  </si>
  <si>
    <t>Marino's Philly Pizzeria &amp; Grill</t>
  </si>
  <si>
    <t>tgxJuRm9EZRfUipsb5rjqg</t>
  </si>
  <si>
    <t>Italian, Restaurants, Greek, Mediterranean, Pizza</t>
  </si>
  <si>
    <t>Alpha Omega Grill &amp; Pizzeria</t>
  </si>
  <si>
    <t>11524 N Tryon St, Ste 9</t>
  </si>
  <si>
    <t>tvXOFflGUCGSSzcxrpVBsA</t>
  </si>
  <si>
    <t>Bars, American (New), Restaurants, Sports Bars, Pubs, Nightlife, Beer Bar, Chicken Wings</t>
  </si>
  <si>
    <t>Growler USA - Charlotte</t>
  </si>
  <si>
    <t>12206 Copper Way, Ste 124</t>
  </si>
  <si>
    <t>xRlxQg13oVBhGKXyp3v_uA</t>
  </si>
  <si>
    <t>Food, Caterers, Bakeries, Restaurants, Event Planning &amp; Services, Cafes, Cupcakes, Coffee &amp; Tea</t>
  </si>
  <si>
    <t>Cosmic Cookie Bakery</t>
  </si>
  <si>
    <t>8535 Hankins Rd, Ste F</t>
  </si>
  <si>
    <t>DccXBfQGFMKK7oXqm_3vMg</t>
  </si>
  <si>
    <t>Breakfast &amp; Brunch, Fast Food, Burgers, Restaurants</t>
  </si>
  <si>
    <t>10730 S Tryon St</t>
  </si>
  <si>
    <t>8T5JnB9qL5y8RaCHH5zKSQ</t>
  </si>
  <si>
    <t>Comfort Food, Restaurants, Gluten-Free, Vegan, Vegetarian</t>
  </si>
  <si>
    <t>Bean Vegan Cuisine</t>
  </si>
  <si>
    <t>3001 E Independence Blvd</t>
  </si>
  <si>
    <t>80TTAvMtRsPPFtFFnXgskA</t>
  </si>
  <si>
    <t>Asian Fusion, Mongolian, Chinese, Restaurants</t>
  </si>
  <si>
    <t>11324 North Community House Rd, Ste 10</t>
  </si>
  <si>
    <t>HsOoxQvWuRecqEt1_jrfyg</t>
  </si>
  <si>
    <t>Sports Bars, Nightlife, Bars, American (Traditional), Restaurants</t>
  </si>
  <si>
    <t>Fox Sports Bar and Grill</t>
  </si>
  <si>
    <t>wZhCesbB532VOOfOoCbMvA</t>
  </si>
  <si>
    <t>Coffee &amp; Tea, Fast Food, Food, Burgers, Restaurants</t>
  </si>
  <si>
    <t>8560 Park Rd</t>
  </si>
  <si>
    <t>EYUfrPDk7qv76DPXec8iOA</t>
  </si>
  <si>
    <t>Mexican, Comfort Food, Churros, Bakeries, Cafeteria, Food, Restaurants</t>
  </si>
  <si>
    <t>La Espiga</t>
  </si>
  <si>
    <t>5025 N Tryon St, Ste 104</t>
  </si>
  <si>
    <t>fAwhBVaUNq47x_ZU-s5GcQ</t>
  </si>
  <si>
    <t>Cafes, Restaurants, Food, Sandwiches, Salad, Farmers Market</t>
  </si>
  <si>
    <t>Farmers Market</t>
  </si>
  <si>
    <t>vSB8Yrz0KslzqnlPEBfqNA</t>
  </si>
  <si>
    <t>Restaurants, Taiwanese, Chinese</t>
  </si>
  <si>
    <t>Tomi Chinese Restaurant</t>
  </si>
  <si>
    <t>qmSs5Ed7gN-d1Koc26Gvyw</t>
  </si>
  <si>
    <t>Chicken Shop, Breakfast &amp; Brunch, Restaurants, Southern, Fast Food, Chicken Wings</t>
  </si>
  <si>
    <t>231 E Woodlawn Rd</t>
  </si>
  <si>
    <t>QDwCkB580kFwmd8Sx44Kcw</t>
  </si>
  <si>
    <t>Simmons Restaurant</t>
  </si>
  <si>
    <t>INvlcoiBVyxS5DEQepyGDw</t>
  </si>
  <si>
    <t>7900 Arrowridge Blvd</t>
  </si>
  <si>
    <t>FHCNPBORRJ6gvNf3xBtnBA</t>
  </si>
  <si>
    <t>210 E Trade St, Ste C-246</t>
  </si>
  <si>
    <t>RL2MJ3QjT_uoiBv1D5py8g</t>
  </si>
  <si>
    <t>Dakshin Indian Grill</t>
  </si>
  <si>
    <t>KYxiIkANSVjLhdO939GK6A</t>
  </si>
  <si>
    <t>Chinese, Food, Restaurants, Tea Rooms</t>
  </si>
  <si>
    <t>China Tea Room</t>
  </si>
  <si>
    <t>11112 S Tryon St, Unit B</t>
  </si>
  <si>
    <t>pzcTI99QDRDDcVPaMmT0yQ</t>
  </si>
  <si>
    <t>4500 Park Rd</t>
  </si>
  <si>
    <t>24gFlV5KE-3bmMXAnu_nxQ</t>
  </si>
  <si>
    <t>Burgers, Coffee &amp; Tea, Restaurants, Fast Food, Food</t>
  </si>
  <si>
    <t>2820 Boyer St</t>
  </si>
  <si>
    <t>ZmMt4qCEJZKzC0bp5IGnvA</t>
  </si>
  <si>
    <t>Restaurant and Bakery Salvadorena</t>
  </si>
  <si>
    <t>l-HGrLblZ5HkagtjKqHYXg</t>
  </si>
  <si>
    <t>Vietnamese, Bars, Restaurants, Cocktail Bars, Nightlife</t>
  </si>
  <si>
    <t>Saigon Bay</t>
  </si>
  <si>
    <t>8662-3 Jw Clay Blvd</t>
  </si>
  <si>
    <t>pjmMrDDoPmox5vh8D34IUQ</t>
  </si>
  <si>
    <t>Fast Food, Hot Dogs, Burgers, Restaurants</t>
  </si>
  <si>
    <t>6018 E Independence Blvd</t>
  </si>
  <si>
    <t>74zJ7rM18WdKHWnvqY9Vbg</t>
  </si>
  <si>
    <t>Eat Here Now</t>
  </si>
  <si>
    <t>2016 Arysley Town Blvd</t>
  </si>
  <si>
    <t>q_Oe5sLa138EA-AY6nggeQ</t>
  </si>
  <si>
    <t>Chinese, Seafood, Restaurants, Hot Pot, Taiwanese</t>
  </si>
  <si>
    <t>BgZQzQlK5XB0hflgTl-3uw</t>
  </si>
  <si>
    <t>Italian, Cheesesteaks, Sandwiches, Restaurants</t>
  </si>
  <si>
    <t>14141 Steele Creek Rd, Ste 200</t>
  </si>
  <si>
    <t>bfVpHvjir2G2Z9wVeddw4w</t>
  </si>
  <si>
    <t>German, Breweries, Restaurants, Event Planning &amp; Services, Food, Venues &amp; Event Spaces</t>
  </si>
  <si>
    <t>4150 Yancey Rd</t>
  </si>
  <si>
    <t>0BjefkpgVu63rAmLysaMTw</t>
  </si>
  <si>
    <t>Southern, Chicken Wings, Restaurants, Soul Food</t>
  </si>
  <si>
    <t>Rudean's Restaurant</t>
  </si>
  <si>
    <t>2228 Beatties Ford Rd</t>
  </si>
  <si>
    <t>3vUUOXTq1HaevQiuaWY8jQ</t>
  </si>
  <si>
    <t>Sports Bars, Sandwiches, Bars, American (Traditional), Nightlife, Restaurants</t>
  </si>
  <si>
    <t>The Lodge</t>
  </si>
  <si>
    <t>EgAuMs5nY-NpvljxF2n-Uw</t>
  </si>
  <si>
    <t>Aroy Thai Restaurant</t>
  </si>
  <si>
    <t>5301 E Independence Blvd, Ste F</t>
  </si>
  <si>
    <t>7GA4LgzhnDi24Y1bp8pSaA</t>
  </si>
  <si>
    <t>Mexican, Tacos, Food, Fish &amp; Chips, Restaurants, Food Trucks</t>
  </si>
  <si>
    <t>RUE72clt</t>
  </si>
  <si>
    <t>1820 Harris Houston Rd, Ste 621666</t>
  </si>
  <si>
    <t>djPTbIprBXGqaV-D8eq77A</t>
  </si>
  <si>
    <t>Phillips Seafood</t>
  </si>
  <si>
    <t>TrCANCU0zzZi43Qb34YH8A</t>
  </si>
  <si>
    <t>Tapas/Small Plates, Pizza, Sandwiches, Restaurants, Italian, Seafood, Salad</t>
  </si>
  <si>
    <t>WP Kitchen + Bar</t>
  </si>
  <si>
    <t>6706 Phillips Pl Ct C</t>
  </si>
  <si>
    <t>1_02wXxt7euom-9hWZeReA</t>
  </si>
  <si>
    <t>Active Life, Bowling, Nightlife, Venues &amp; Event Spaces, Bars, Event Planning &amp; Services, American (Traditional), Restaurants, Arts &amp; Entertainment</t>
  </si>
  <si>
    <t>Queen Park Social</t>
  </si>
  <si>
    <t>4125 Yancey Rd</t>
  </si>
  <si>
    <t>fM2-R61IRhR-MkQ2zB1BrA</t>
  </si>
  <si>
    <t>Restaurants, Salad, Pizza, Sandwiches</t>
  </si>
  <si>
    <t>Da Vinci's Pizza</t>
  </si>
  <si>
    <t>Kscp3ryfYzQQZcvJQeAgbQ</t>
  </si>
  <si>
    <t>Restaurants, Nightlife, American (New), Sports Bars, Pizza, Bars</t>
  </si>
  <si>
    <t>YReWPXJZ7jOTE-FB2wYPvw</t>
  </si>
  <si>
    <t>Bakeries, Caterers, Event Planning &amp; Services, Food, Restaurants</t>
  </si>
  <si>
    <t>Hansel &amp; Gretel's Bakery and Catering</t>
  </si>
  <si>
    <t>eSUddfUno6dx5_Pz5YZg1w</t>
  </si>
  <si>
    <t>American (New), Restaurants, Food</t>
  </si>
  <si>
    <t>Microsoft Cafeteria</t>
  </si>
  <si>
    <t>8050 Microsoft Way</t>
  </si>
  <si>
    <t>dNvhq30uJonA8hWm89HbWw</t>
  </si>
  <si>
    <t>Rock-n-Lobster</t>
  </si>
  <si>
    <t>HsS34pXt9SAmaRa2aByNpw</t>
  </si>
  <si>
    <t>Hot Dogs, Burgers, Restaurants, Fast Food</t>
  </si>
  <si>
    <t>5715 N Sharon Amity Rd</t>
  </si>
  <si>
    <t>gb41qjfdymOAYV2HT1OTeA</t>
  </si>
  <si>
    <t>Bars, Restaurants, American (New), Tex-Mex, Nightlife</t>
  </si>
  <si>
    <t>Chili's Too!</t>
  </si>
  <si>
    <t>Charlotte / Douglas International Airport, 5501 Josh Birmingham Pkwy</t>
  </si>
  <si>
    <t>Ce5Y_Xl_A-QCilf5_3mkSw</t>
  </si>
  <si>
    <t>Restaurants, Desserts, Fast Food, Food, Halal, American (Traditional), Seafood</t>
  </si>
  <si>
    <t>The Fried Rooster</t>
  </si>
  <si>
    <t>3128 The Plz</t>
  </si>
  <si>
    <t>fLdLjrLfwWJ-hh4Uwz2zKA</t>
  </si>
  <si>
    <t>American (Traditional), Fast Food, Restaurants, Local Flavor</t>
  </si>
  <si>
    <t>Fresh Chef Kitchen</t>
  </si>
  <si>
    <t>NPFsOePej-_kfNsDf-SjpQ</t>
  </si>
  <si>
    <t>Restaurants, Chinese, Fast Food</t>
  </si>
  <si>
    <t>CHIN CHIN II</t>
  </si>
  <si>
    <t>9013 Albemarle Rd, Ste 200</t>
  </si>
  <si>
    <t>dJXFp02urBN7pMd5329D_g</t>
  </si>
  <si>
    <t>Restaurants, Food, Desserts, Breakfast &amp; Brunch, American (New), Soul Food</t>
  </si>
  <si>
    <t>Factory Cafe</t>
  </si>
  <si>
    <t>1000 Nc Music Factory Blvd</t>
  </si>
  <si>
    <t>UT22ExffDZjB1tzBDwSWfA</t>
  </si>
  <si>
    <t>Restaurants, Bars, Nightlife, American (Traditional), Comfort Food, Pubs, Sports Bars</t>
  </si>
  <si>
    <t>Rusty Bucket Restaurant &amp; Tavern</t>
  </si>
  <si>
    <t>4810 Ashley Park Ln</t>
  </si>
  <si>
    <t>Japanese</t>
  </si>
  <si>
    <t>Italian</t>
  </si>
  <si>
    <t>Greek</t>
  </si>
  <si>
    <t>Mediterranean</t>
  </si>
  <si>
    <t>French</t>
  </si>
  <si>
    <t>Mexican</t>
  </si>
  <si>
    <t>Chinese</t>
  </si>
  <si>
    <t>Vietnamese</t>
  </si>
  <si>
    <t>Korean</t>
  </si>
  <si>
    <t>Caribbean</t>
  </si>
  <si>
    <t>Indian</t>
  </si>
  <si>
    <t>LatinAmerican</t>
  </si>
  <si>
    <t>African</t>
  </si>
  <si>
    <t>Hawaiian</t>
  </si>
  <si>
    <t>TypeCuisine</t>
  </si>
  <si>
    <t>American</t>
  </si>
  <si>
    <t>Asian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</si>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</sst>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711"/>
  <sheetViews>
    <sheetView tabSelected="1" topLeftCell="C1" workbookViewId="0">
      <selection activeCell="K2720" sqref="K2720"/>
    </sheetView>
  </sheetViews>
  <sheetFormatPr defaultRowHeight="15" x14ac:dyDescent="0.25"/>
  <cols>
    <col min="2" max="2" width="47.140625" customWidth="1"/>
    <col min="3" max="3" width="51.7109375" bestFit="1" customWidth="1"/>
    <col min="4" max="4" width="64.140625" bestFit="1" customWidth="1"/>
    <col min="5" max="5" width="9.28515625" bestFit="1" customWidth="1"/>
    <col min="6" max="6" width="5.42578125" bestFit="1" customWidth="1"/>
    <col min="7" max="7" width="11.7109375" bestFit="1" customWidth="1"/>
    <col min="10" max="10" width="8" bestFit="1" customWidth="1"/>
    <col min="11" max="11" width="16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8934</v>
      </c>
    </row>
    <row r="2" spans="1:11" x14ac:dyDescent="0.2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>
        <v>28210</v>
      </c>
      <c r="H2" t="s">
        <v>16</v>
      </c>
      <c r="I2">
        <v>170</v>
      </c>
      <c r="J2">
        <v>1</v>
      </c>
      <c r="K2" t="s">
        <v>8920</v>
      </c>
    </row>
    <row r="3" spans="1:11" x14ac:dyDescent="0.25">
      <c r="A3" t="s">
        <v>17</v>
      </c>
      <c r="B3" t="s">
        <v>18</v>
      </c>
      <c r="C3" t="s">
        <v>19</v>
      </c>
      <c r="D3" t="s">
        <v>20</v>
      </c>
      <c r="E3" t="s">
        <v>14</v>
      </c>
      <c r="F3" t="s">
        <v>15</v>
      </c>
      <c r="G3">
        <v>28211</v>
      </c>
      <c r="H3" t="s">
        <v>21</v>
      </c>
      <c r="I3">
        <v>16</v>
      </c>
      <c r="J3">
        <v>0</v>
      </c>
      <c r="K3" t="s">
        <v>8921</v>
      </c>
    </row>
    <row r="4" spans="1:11" x14ac:dyDescent="0.25">
      <c r="A4" t="s">
        <v>22</v>
      </c>
      <c r="B4" t="s">
        <v>23</v>
      </c>
      <c r="C4" t="s">
        <v>24</v>
      </c>
      <c r="D4" t="s">
        <v>25</v>
      </c>
      <c r="E4" t="s">
        <v>14</v>
      </c>
      <c r="F4" t="s">
        <v>15</v>
      </c>
      <c r="G4">
        <v>28212</v>
      </c>
      <c r="H4" t="s">
        <v>26</v>
      </c>
      <c r="I4">
        <v>15</v>
      </c>
      <c r="J4">
        <v>0</v>
      </c>
      <c r="K4" t="s">
        <v>8923</v>
      </c>
    </row>
    <row r="5" spans="1:11" x14ac:dyDescent="0.25">
      <c r="A5" t="s">
        <v>27</v>
      </c>
      <c r="B5" t="s">
        <v>28</v>
      </c>
      <c r="C5" t="s">
        <v>29</v>
      </c>
      <c r="D5" t="s">
        <v>30</v>
      </c>
      <c r="E5" t="s">
        <v>14</v>
      </c>
      <c r="F5" t="s">
        <v>15</v>
      </c>
      <c r="G5">
        <v>28203</v>
      </c>
      <c r="H5" t="s">
        <v>16</v>
      </c>
      <c r="I5">
        <v>380</v>
      </c>
      <c r="J5">
        <v>1</v>
      </c>
      <c r="K5" t="s">
        <v>8935</v>
      </c>
    </row>
    <row r="6" spans="1:11" x14ac:dyDescent="0.25">
      <c r="A6" t="s">
        <v>31</v>
      </c>
      <c r="B6" t="s">
        <v>32</v>
      </c>
      <c r="C6" t="s">
        <v>33</v>
      </c>
      <c r="D6" t="s">
        <v>34</v>
      </c>
      <c r="E6" t="s">
        <v>14</v>
      </c>
      <c r="F6" t="s">
        <v>15</v>
      </c>
      <c r="G6">
        <v>28205</v>
      </c>
      <c r="H6" t="s">
        <v>26</v>
      </c>
      <c r="I6">
        <v>5</v>
      </c>
      <c r="J6">
        <v>0</v>
      </c>
      <c r="K6" t="s">
        <v>8923</v>
      </c>
    </row>
    <row r="7" spans="1:11" x14ac:dyDescent="0.25">
      <c r="A7" t="s">
        <v>35</v>
      </c>
      <c r="B7" t="s">
        <v>36</v>
      </c>
      <c r="C7" t="s">
        <v>37</v>
      </c>
      <c r="D7" t="s">
        <v>38</v>
      </c>
      <c r="E7" t="s">
        <v>14</v>
      </c>
      <c r="F7" t="s">
        <v>15</v>
      </c>
      <c r="G7">
        <v>28262</v>
      </c>
      <c r="H7" t="s">
        <v>39</v>
      </c>
      <c r="I7">
        <v>7</v>
      </c>
      <c r="J7">
        <v>1</v>
      </c>
      <c r="K7" t="s">
        <v>8935</v>
      </c>
    </row>
    <row r="8" spans="1:11" x14ac:dyDescent="0.25">
      <c r="A8" t="s">
        <v>40</v>
      </c>
      <c r="B8" t="s">
        <v>41</v>
      </c>
      <c r="C8" t="s">
        <v>42</v>
      </c>
      <c r="D8" t="s">
        <v>43</v>
      </c>
      <c r="E8" t="s">
        <v>14</v>
      </c>
      <c r="F8" t="s">
        <v>15</v>
      </c>
      <c r="G8">
        <v>28277</v>
      </c>
      <c r="H8" t="s">
        <v>16</v>
      </c>
      <c r="I8">
        <v>27</v>
      </c>
      <c r="J8">
        <v>0</v>
      </c>
      <c r="K8" t="s">
        <v>8931</v>
      </c>
    </row>
    <row r="9" spans="1:11" x14ac:dyDescent="0.25">
      <c r="A9" t="s">
        <v>44</v>
      </c>
      <c r="B9" t="s">
        <v>45</v>
      </c>
      <c r="C9" t="s">
        <v>46</v>
      </c>
      <c r="D9" t="s">
        <v>47</v>
      </c>
      <c r="E9" t="s">
        <v>14</v>
      </c>
      <c r="F9" t="s">
        <v>15</v>
      </c>
      <c r="G9">
        <v>28217</v>
      </c>
      <c r="H9" t="s">
        <v>48</v>
      </c>
      <c r="I9">
        <v>48</v>
      </c>
      <c r="J9">
        <v>1</v>
      </c>
      <c r="K9" t="s">
        <v>8935</v>
      </c>
    </row>
    <row r="10" spans="1:11" x14ac:dyDescent="0.25">
      <c r="A10" t="s">
        <v>49</v>
      </c>
      <c r="B10" t="s">
        <v>50</v>
      </c>
      <c r="C10" t="s">
        <v>51</v>
      </c>
      <c r="D10" t="s">
        <v>52</v>
      </c>
      <c r="E10" t="s">
        <v>14</v>
      </c>
      <c r="F10" t="s">
        <v>15</v>
      </c>
      <c r="G10">
        <v>28269</v>
      </c>
      <c r="H10" t="s">
        <v>26</v>
      </c>
      <c r="I10">
        <v>100</v>
      </c>
      <c r="J10">
        <v>1</v>
      </c>
      <c r="K10" t="s">
        <v>8935</v>
      </c>
    </row>
    <row r="11" spans="1:11" x14ac:dyDescent="0.25">
      <c r="A11" t="s">
        <v>53</v>
      </c>
      <c r="B11" t="s">
        <v>54</v>
      </c>
      <c r="C11" t="s">
        <v>55</v>
      </c>
      <c r="D11" t="s">
        <v>56</v>
      </c>
      <c r="E11" t="s">
        <v>14</v>
      </c>
      <c r="F11" t="s">
        <v>15</v>
      </c>
      <c r="G11">
        <v>28209</v>
      </c>
      <c r="H11" t="s">
        <v>39</v>
      </c>
      <c r="I11">
        <v>102</v>
      </c>
      <c r="J11">
        <v>1</v>
      </c>
      <c r="K11" t="s">
        <v>8935</v>
      </c>
    </row>
    <row r="12" spans="1:11" x14ac:dyDescent="0.25">
      <c r="A12" t="s">
        <v>57</v>
      </c>
      <c r="B12" t="s">
        <v>58</v>
      </c>
      <c r="C12" t="s">
        <v>59</v>
      </c>
      <c r="D12" t="s">
        <v>60</v>
      </c>
      <c r="E12" t="s">
        <v>14</v>
      </c>
      <c r="F12" t="s">
        <v>15</v>
      </c>
      <c r="G12">
        <v>28205</v>
      </c>
      <c r="H12" t="s">
        <v>26</v>
      </c>
      <c r="I12">
        <v>5</v>
      </c>
      <c r="J12">
        <v>1</v>
      </c>
      <c r="K12" t="s">
        <v>8935</v>
      </c>
    </row>
    <row r="13" spans="1:11" x14ac:dyDescent="0.25">
      <c r="A13" t="s">
        <v>61</v>
      </c>
      <c r="B13" t="s">
        <v>62</v>
      </c>
      <c r="C13" t="s">
        <v>63</v>
      </c>
      <c r="D13" t="s">
        <v>64</v>
      </c>
      <c r="E13" t="s">
        <v>14</v>
      </c>
      <c r="F13" t="s">
        <v>15</v>
      </c>
      <c r="G13">
        <v>28203</v>
      </c>
      <c r="H13" t="s">
        <v>16</v>
      </c>
      <c r="I13">
        <v>104</v>
      </c>
      <c r="J13">
        <v>1</v>
      </c>
      <c r="K13" t="s">
        <v>8935</v>
      </c>
    </row>
    <row r="14" spans="1:11" x14ac:dyDescent="0.25">
      <c r="A14" t="s">
        <v>65</v>
      </c>
      <c r="B14" t="s">
        <v>66</v>
      </c>
      <c r="C14" t="s">
        <v>67</v>
      </c>
      <c r="D14" t="s">
        <v>68</v>
      </c>
      <c r="E14" t="s">
        <v>14</v>
      </c>
      <c r="F14" t="s">
        <v>15</v>
      </c>
      <c r="G14">
        <v>28277</v>
      </c>
      <c r="H14" t="s">
        <v>21</v>
      </c>
      <c r="I14">
        <v>134</v>
      </c>
      <c r="J14">
        <v>1</v>
      </c>
      <c r="K14" t="s">
        <v>8935</v>
      </c>
    </row>
    <row r="15" spans="1:11" x14ac:dyDescent="0.25">
      <c r="A15" t="s">
        <v>69</v>
      </c>
      <c r="B15" t="s">
        <v>70</v>
      </c>
      <c r="C15" t="s">
        <v>71</v>
      </c>
      <c r="D15" t="s">
        <v>72</v>
      </c>
      <c r="E15" t="s">
        <v>14</v>
      </c>
      <c r="F15" t="s">
        <v>15</v>
      </c>
      <c r="G15">
        <v>28204</v>
      </c>
      <c r="H15" t="s">
        <v>26</v>
      </c>
      <c r="I15">
        <v>37</v>
      </c>
      <c r="J15">
        <v>1</v>
      </c>
      <c r="K15" t="s">
        <v>8923</v>
      </c>
    </row>
    <row r="16" spans="1:11" x14ac:dyDescent="0.25">
      <c r="A16" t="s">
        <v>73</v>
      </c>
      <c r="B16" t="s">
        <v>74</v>
      </c>
      <c r="C16" t="s">
        <v>75</v>
      </c>
      <c r="D16" t="s">
        <v>76</v>
      </c>
      <c r="E16" t="s">
        <v>14</v>
      </c>
      <c r="F16" t="s">
        <v>15</v>
      </c>
      <c r="G16">
        <v>28207</v>
      </c>
      <c r="H16" t="s">
        <v>39</v>
      </c>
      <c r="I16">
        <v>140</v>
      </c>
      <c r="J16">
        <v>0</v>
      </c>
      <c r="K16" t="s">
        <v>8924</v>
      </c>
    </row>
    <row r="17" spans="1:11" x14ac:dyDescent="0.25">
      <c r="A17" t="s">
        <v>77</v>
      </c>
      <c r="B17" t="s">
        <v>78</v>
      </c>
      <c r="C17" t="s">
        <v>79</v>
      </c>
      <c r="D17" t="s">
        <v>80</v>
      </c>
      <c r="E17" t="s">
        <v>14</v>
      </c>
      <c r="F17" t="s">
        <v>15</v>
      </c>
      <c r="G17">
        <v>28202</v>
      </c>
      <c r="H17" t="s">
        <v>39</v>
      </c>
      <c r="I17">
        <v>11</v>
      </c>
      <c r="J17">
        <v>0</v>
      </c>
      <c r="K17" t="s">
        <v>8935</v>
      </c>
    </row>
    <row r="18" spans="1:11" x14ac:dyDescent="0.25">
      <c r="A18" t="s">
        <v>81</v>
      </c>
      <c r="B18" t="s">
        <v>82</v>
      </c>
      <c r="C18" t="s">
        <v>83</v>
      </c>
      <c r="D18" t="s">
        <v>84</v>
      </c>
      <c r="E18" t="s">
        <v>14</v>
      </c>
      <c r="F18" t="s">
        <v>15</v>
      </c>
      <c r="G18">
        <v>28208</v>
      </c>
      <c r="H18" t="s">
        <v>48</v>
      </c>
      <c r="I18">
        <v>35</v>
      </c>
      <c r="J18">
        <v>1</v>
      </c>
      <c r="K18" t="s">
        <v>8935</v>
      </c>
    </row>
    <row r="19" spans="1:11" x14ac:dyDescent="0.25">
      <c r="A19" t="s">
        <v>85</v>
      </c>
      <c r="B19" t="s">
        <v>86</v>
      </c>
      <c r="C19" t="s">
        <v>87</v>
      </c>
      <c r="D19" t="s">
        <v>88</v>
      </c>
      <c r="E19" t="s">
        <v>14</v>
      </c>
      <c r="F19" t="s">
        <v>15</v>
      </c>
      <c r="G19">
        <v>28210</v>
      </c>
      <c r="H19" t="s">
        <v>26</v>
      </c>
      <c r="I19">
        <v>6</v>
      </c>
      <c r="J19">
        <v>0</v>
      </c>
      <c r="K19" t="s">
        <v>8935</v>
      </c>
    </row>
    <row r="20" spans="1:11" x14ac:dyDescent="0.25">
      <c r="A20" t="s">
        <v>89</v>
      </c>
      <c r="B20" t="s">
        <v>90</v>
      </c>
      <c r="C20" t="s">
        <v>91</v>
      </c>
      <c r="D20" t="s">
        <v>92</v>
      </c>
      <c r="E20" t="s">
        <v>14</v>
      </c>
      <c r="F20" t="s">
        <v>15</v>
      </c>
      <c r="G20">
        <v>28210</v>
      </c>
      <c r="H20" t="s">
        <v>16</v>
      </c>
      <c r="I20">
        <v>102</v>
      </c>
      <c r="J20">
        <v>1</v>
      </c>
      <c r="K20" t="s">
        <v>8935</v>
      </c>
    </row>
    <row r="21" spans="1:11" x14ac:dyDescent="0.25">
      <c r="A21" t="s">
        <v>93</v>
      </c>
      <c r="B21" t="s">
        <v>94</v>
      </c>
      <c r="C21" t="s">
        <v>95</v>
      </c>
      <c r="D21" t="s">
        <v>96</v>
      </c>
      <c r="E21" t="s">
        <v>14</v>
      </c>
      <c r="F21" t="s">
        <v>15</v>
      </c>
      <c r="G21">
        <v>28262</v>
      </c>
      <c r="H21" t="s">
        <v>21</v>
      </c>
      <c r="I21">
        <v>56</v>
      </c>
      <c r="J21">
        <v>1</v>
      </c>
      <c r="K21" t="s">
        <v>8922</v>
      </c>
    </row>
    <row r="22" spans="1:11" x14ac:dyDescent="0.25">
      <c r="A22" t="s">
        <v>97</v>
      </c>
      <c r="B22" t="s">
        <v>98</v>
      </c>
      <c r="C22" t="s">
        <v>99</v>
      </c>
      <c r="D22" t="s">
        <v>100</v>
      </c>
      <c r="E22" t="s">
        <v>14</v>
      </c>
      <c r="F22" t="s">
        <v>15</v>
      </c>
      <c r="G22">
        <v>28269</v>
      </c>
      <c r="H22" t="s">
        <v>101</v>
      </c>
      <c r="I22">
        <v>18</v>
      </c>
      <c r="J22">
        <v>1</v>
      </c>
      <c r="K22" t="s">
        <v>8935</v>
      </c>
    </row>
    <row r="23" spans="1:11" x14ac:dyDescent="0.25">
      <c r="A23" t="s">
        <v>102</v>
      </c>
      <c r="B23" t="s">
        <v>103</v>
      </c>
      <c r="C23" t="s">
        <v>104</v>
      </c>
      <c r="D23" t="s">
        <v>105</v>
      </c>
      <c r="E23" t="s">
        <v>14</v>
      </c>
      <c r="F23" t="s">
        <v>15</v>
      </c>
      <c r="G23">
        <v>28211</v>
      </c>
      <c r="H23" t="s">
        <v>39</v>
      </c>
      <c r="I23">
        <v>48</v>
      </c>
      <c r="J23">
        <v>1</v>
      </c>
      <c r="K23" t="s">
        <v>8921</v>
      </c>
    </row>
    <row r="24" spans="1:11" x14ac:dyDescent="0.25">
      <c r="A24" t="s">
        <v>106</v>
      </c>
      <c r="B24" t="s">
        <v>107</v>
      </c>
      <c r="C24" t="s">
        <v>108</v>
      </c>
      <c r="D24" t="s">
        <v>109</v>
      </c>
      <c r="E24" t="s">
        <v>14</v>
      </c>
      <c r="F24" t="s">
        <v>15</v>
      </c>
      <c r="G24">
        <v>28203</v>
      </c>
      <c r="H24" t="s">
        <v>21</v>
      </c>
      <c r="I24">
        <v>166</v>
      </c>
      <c r="J24">
        <v>1</v>
      </c>
      <c r="K24" t="s">
        <v>8921</v>
      </c>
    </row>
    <row r="25" spans="1:11" x14ac:dyDescent="0.25">
      <c r="A25" t="s">
        <v>110</v>
      </c>
      <c r="B25" t="s">
        <v>111</v>
      </c>
      <c r="C25" t="s">
        <v>112</v>
      </c>
      <c r="D25" t="s">
        <v>113</v>
      </c>
      <c r="E25" t="s">
        <v>14</v>
      </c>
      <c r="F25" t="s">
        <v>15</v>
      </c>
      <c r="G25">
        <v>28202</v>
      </c>
      <c r="H25" t="s">
        <v>21</v>
      </c>
      <c r="I25">
        <v>8</v>
      </c>
      <c r="J25">
        <v>0</v>
      </c>
      <c r="K25" t="s">
        <v>8935</v>
      </c>
    </row>
    <row r="26" spans="1:11" x14ac:dyDescent="0.25">
      <c r="A26" t="s">
        <v>114</v>
      </c>
      <c r="B26" t="s">
        <v>115</v>
      </c>
      <c r="C26" t="s">
        <v>116</v>
      </c>
      <c r="D26" t="s">
        <v>117</v>
      </c>
      <c r="E26" t="s">
        <v>14</v>
      </c>
      <c r="F26" t="s">
        <v>15</v>
      </c>
      <c r="G26">
        <v>28203</v>
      </c>
      <c r="H26" t="s">
        <v>21</v>
      </c>
      <c r="I26">
        <v>84</v>
      </c>
      <c r="J26">
        <v>0</v>
      </c>
      <c r="K26" t="s">
        <v>8921</v>
      </c>
    </row>
    <row r="27" spans="1:11" x14ac:dyDescent="0.25">
      <c r="A27" t="s">
        <v>118</v>
      </c>
      <c r="B27" t="s">
        <v>119</v>
      </c>
      <c r="C27" t="s">
        <v>120</v>
      </c>
      <c r="D27" t="s">
        <v>121</v>
      </c>
      <c r="E27" t="s">
        <v>14</v>
      </c>
      <c r="F27" t="s">
        <v>15</v>
      </c>
      <c r="G27">
        <v>28205</v>
      </c>
      <c r="H27" t="s">
        <v>39</v>
      </c>
      <c r="I27">
        <v>69</v>
      </c>
      <c r="J27">
        <v>1</v>
      </c>
      <c r="K27" t="s">
        <v>8935</v>
      </c>
    </row>
    <row r="28" spans="1:11" x14ac:dyDescent="0.25">
      <c r="A28" t="s">
        <v>122</v>
      </c>
      <c r="B28" t="s">
        <v>123</v>
      </c>
      <c r="C28" t="s">
        <v>124</v>
      </c>
      <c r="D28" t="s">
        <v>125</v>
      </c>
      <c r="E28" t="s">
        <v>14</v>
      </c>
      <c r="F28" t="s">
        <v>15</v>
      </c>
      <c r="G28">
        <v>28202</v>
      </c>
      <c r="H28" t="s">
        <v>16</v>
      </c>
      <c r="I28">
        <v>17</v>
      </c>
      <c r="J28">
        <v>0</v>
      </c>
      <c r="K28" t="s">
        <v>8925</v>
      </c>
    </row>
    <row r="29" spans="1:11" x14ac:dyDescent="0.25">
      <c r="A29" t="s">
        <v>126</v>
      </c>
      <c r="B29" t="s">
        <v>127</v>
      </c>
      <c r="C29" t="s">
        <v>128</v>
      </c>
      <c r="D29" t="s">
        <v>129</v>
      </c>
      <c r="E29" t="s">
        <v>14</v>
      </c>
      <c r="F29" t="s">
        <v>15</v>
      </c>
      <c r="G29">
        <v>28213</v>
      </c>
      <c r="H29" t="s">
        <v>21</v>
      </c>
      <c r="I29">
        <v>81</v>
      </c>
      <c r="J29">
        <v>1</v>
      </c>
      <c r="K29" t="s">
        <v>8921</v>
      </c>
    </row>
    <row r="30" spans="1:11" x14ac:dyDescent="0.25">
      <c r="A30" t="s">
        <v>130</v>
      </c>
      <c r="B30" t="s">
        <v>131</v>
      </c>
      <c r="C30" t="s">
        <v>132</v>
      </c>
      <c r="D30" t="s">
        <v>133</v>
      </c>
      <c r="E30" t="s">
        <v>14</v>
      </c>
      <c r="F30" t="s">
        <v>15</v>
      </c>
      <c r="G30">
        <v>28211</v>
      </c>
      <c r="H30" t="s">
        <v>16</v>
      </c>
      <c r="I30">
        <v>4</v>
      </c>
      <c r="J30">
        <v>1</v>
      </c>
      <c r="K30" t="s">
        <v>8935</v>
      </c>
    </row>
    <row r="31" spans="1:11" x14ac:dyDescent="0.25">
      <c r="A31" t="s">
        <v>134</v>
      </c>
      <c r="B31" t="s">
        <v>135</v>
      </c>
      <c r="C31" t="s">
        <v>136</v>
      </c>
      <c r="D31" t="s">
        <v>137</v>
      </c>
      <c r="E31" t="s">
        <v>14</v>
      </c>
      <c r="F31" t="s">
        <v>15</v>
      </c>
      <c r="G31">
        <v>28202</v>
      </c>
      <c r="H31" t="s">
        <v>16</v>
      </c>
      <c r="I31">
        <v>259</v>
      </c>
      <c r="J31">
        <v>1</v>
      </c>
      <c r="K31" t="s">
        <v>8935</v>
      </c>
    </row>
    <row r="32" spans="1:11" x14ac:dyDescent="0.25">
      <c r="A32" t="s">
        <v>138</v>
      </c>
      <c r="B32" t="s">
        <v>139</v>
      </c>
      <c r="C32" t="s">
        <v>140</v>
      </c>
      <c r="D32" t="s">
        <v>141</v>
      </c>
      <c r="E32" t="s">
        <v>14</v>
      </c>
      <c r="F32" t="s">
        <v>15</v>
      </c>
      <c r="G32">
        <v>28277</v>
      </c>
      <c r="H32" t="s">
        <v>21</v>
      </c>
      <c r="I32">
        <v>46</v>
      </c>
      <c r="J32">
        <v>1</v>
      </c>
      <c r="K32" t="s">
        <v>8926</v>
      </c>
    </row>
    <row r="33" spans="1:11" x14ac:dyDescent="0.25">
      <c r="A33" t="s">
        <v>142</v>
      </c>
      <c r="B33" t="s">
        <v>143</v>
      </c>
      <c r="C33" t="s">
        <v>144</v>
      </c>
      <c r="D33" t="s">
        <v>145</v>
      </c>
      <c r="E33" t="s">
        <v>14</v>
      </c>
      <c r="F33" t="s">
        <v>15</v>
      </c>
      <c r="G33">
        <v>28205</v>
      </c>
      <c r="H33" t="s">
        <v>146</v>
      </c>
      <c r="I33">
        <v>98</v>
      </c>
      <c r="J33">
        <v>1</v>
      </c>
      <c r="K33" t="s">
        <v>8932</v>
      </c>
    </row>
    <row r="34" spans="1:11" x14ac:dyDescent="0.25">
      <c r="A34" t="s">
        <v>147</v>
      </c>
      <c r="B34" t="s">
        <v>148</v>
      </c>
      <c r="C34" t="s">
        <v>149</v>
      </c>
      <c r="D34" t="s">
        <v>150</v>
      </c>
      <c r="E34" t="s">
        <v>14</v>
      </c>
      <c r="F34" t="s">
        <v>15</v>
      </c>
      <c r="G34">
        <v>28217</v>
      </c>
      <c r="H34" t="s">
        <v>21</v>
      </c>
      <c r="I34">
        <v>13</v>
      </c>
      <c r="J34">
        <v>1</v>
      </c>
      <c r="K34" t="s">
        <v>8935</v>
      </c>
    </row>
    <row r="35" spans="1:11" x14ac:dyDescent="0.25">
      <c r="A35" t="s">
        <v>151</v>
      </c>
      <c r="B35" t="s">
        <v>152</v>
      </c>
      <c r="C35" t="s">
        <v>153</v>
      </c>
      <c r="D35" t="s">
        <v>154</v>
      </c>
      <c r="E35" t="s">
        <v>14</v>
      </c>
      <c r="F35" t="s">
        <v>15</v>
      </c>
      <c r="G35">
        <v>28217</v>
      </c>
      <c r="H35" t="s">
        <v>16</v>
      </c>
      <c r="I35">
        <v>36</v>
      </c>
      <c r="J35">
        <v>1</v>
      </c>
      <c r="K35" t="s">
        <v>8935</v>
      </c>
    </row>
    <row r="36" spans="1:11" x14ac:dyDescent="0.25">
      <c r="A36" t="s">
        <v>155</v>
      </c>
      <c r="B36" t="s">
        <v>156</v>
      </c>
      <c r="C36" t="s">
        <v>157</v>
      </c>
      <c r="D36" t="s">
        <v>158</v>
      </c>
      <c r="E36" t="s">
        <v>14</v>
      </c>
      <c r="F36" t="s">
        <v>15</v>
      </c>
      <c r="G36">
        <v>28205</v>
      </c>
      <c r="H36" t="s">
        <v>16</v>
      </c>
      <c r="I36">
        <v>6</v>
      </c>
      <c r="J36">
        <v>0</v>
      </c>
      <c r="K36" t="s">
        <v>8935</v>
      </c>
    </row>
    <row r="37" spans="1:11" x14ac:dyDescent="0.25">
      <c r="A37" t="s">
        <v>159</v>
      </c>
      <c r="B37" t="s">
        <v>160</v>
      </c>
      <c r="C37" t="s">
        <v>161</v>
      </c>
      <c r="D37" t="s">
        <v>162</v>
      </c>
      <c r="E37" t="s">
        <v>14</v>
      </c>
      <c r="F37" t="s">
        <v>15</v>
      </c>
      <c r="G37">
        <v>28203</v>
      </c>
      <c r="H37" t="s">
        <v>21</v>
      </c>
      <c r="I37">
        <v>139</v>
      </c>
      <c r="J37">
        <v>1</v>
      </c>
      <c r="K37" t="s">
        <v>8935</v>
      </c>
    </row>
    <row r="38" spans="1:11" x14ac:dyDescent="0.25">
      <c r="A38" t="s">
        <v>163</v>
      </c>
      <c r="B38" t="s">
        <v>164</v>
      </c>
      <c r="C38" t="s">
        <v>165</v>
      </c>
      <c r="D38" t="s">
        <v>166</v>
      </c>
      <c r="E38" t="s">
        <v>14</v>
      </c>
      <c r="F38" t="s">
        <v>15</v>
      </c>
      <c r="G38">
        <v>28262</v>
      </c>
      <c r="H38" t="s">
        <v>16</v>
      </c>
      <c r="I38">
        <v>314</v>
      </c>
      <c r="J38">
        <v>1</v>
      </c>
      <c r="K38" t="s">
        <v>8935</v>
      </c>
    </row>
    <row r="39" spans="1:11" x14ac:dyDescent="0.25">
      <c r="A39" t="s">
        <v>167</v>
      </c>
      <c r="B39" t="s">
        <v>168</v>
      </c>
      <c r="C39" t="s">
        <v>169</v>
      </c>
      <c r="D39" t="s">
        <v>170</v>
      </c>
      <c r="E39" t="s">
        <v>14</v>
      </c>
      <c r="F39" t="s">
        <v>15</v>
      </c>
      <c r="G39">
        <v>28202</v>
      </c>
      <c r="H39" t="s">
        <v>48</v>
      </c>
      <c r="I39">
        <v>74</v>
      </c>
      <c r="J39">
        <v>1</v>
      </c>
      <c r="K39" t="s">
        <v>8935</v>
      </c>
    </row>
    <row r="40" spans="1:11" x14ac:dyDescent="0.25">
      <c r="A40" t="s">
        <v>171</v>
      </c>
      <c r="B40" t="s">
        <v>172</v>
      </c>
      <c r="C40" t="s">
        <v>173</v>
      </c>
      <c r="D40" t="s">
        <v>174</v>
      </c>
      <c r="E40" t="s">
        <v>14</v>
      </c>
      <c r="F40" t="s">
        <v>15</v>
      </c>
      <c r="G40">
        <v>28215</v>
      </c>
      <c r="H40" t="s">
        <v>39</v>
      </c>
      <c r="I40">
        <v>345</v>
      </c>
      <c r="J40">
        <v>1</v>
      </c>
      <c r="K40" t="s">
        <v>8927</v>
      </c>
    </row>
    <row r="41" spans="1:11" x14ac:dyDescent="0.25">
      <c r="A41" t="s">
        <v>175</v>
      </c>
      <c r="B41" t="s">
        <v>176</v>
      </c>
      <c r="C41" t="s">
        <v>177</v>
      </c>
      <c r="D41" t="s">
        <v>178</v>
      </c>
      <c r="E41" t="s">
        <v>14</v>
      </c>
      <c r="F41" t="s">
        <v>15</v>
      </c>
      <c r="G41">
        <v>28262</v>
      </c>
      <c r="H41" t="s">
        <v>48</v>
      </c>
      <c r="I41">
        <v>15</v>
      </c>
      <c r="J41">
        <v>1</v>
      </c>
      <c r="K41" t="s">
        <v>8935</v>
      </c>
    </row>
    <row r="42" spans="1:11" x14ac:dyDescent="0.25">
      <c r="A42" t="s">
        <v>179</v>
      </c>
      <c r="B42" t="s">
        <v>180</v>
      </c>
      <c r="C42" t="s">
        <v>181</v>
      </c>
      <c r="D42" t="s">
        <v>182</v>
      </c>
      <c r="E42" t="s">
        <v>14</v>
      </c>
      <c r="F42" t="s">
        <v>15</v>
      </c>
      <c r="G42">
        <v>28205</v>
      </c>
      <c r="H42" t="s">
        <v>39</v>
      </c>
      <c r="I42">
        <v>15</v>
      </c>
      <c r="J42">
        <v>0</v>
      </c>
      <c r="K42" t="s">
        <v>8935</v>
      </c>
    </row>
    <row r="43" spans="1:11" x14ac:dyDescent="0.25">
      <c r="A43" t="s">
        <v>183</v>
      </c>
      <c r="B43" t="s">
        <v>184</v>
      </c>
      <c r="C43" t="s">
        <v>185</v>
      </c>
      <c r="D43" t="s">
        <v>186</v>
      </c>
      <c r="E43" t="s">
        <v>14</v>
      </c>
      <c r="F43" t="s">
        <v>15</v>
      </c>
      <c r="G43">
        <v>28204</v>
      </c>
      <c r="H43" t="s">
        <v>16</v>
      </c>
      <c r="I43">
        <v>158</v>
      </c>
      <c r="J43">
        <v>0</v>
      </c>
      <c r="K43" t="s">
        <v>8936</v>
      </c>
    </row>
    <row r="44" spans="1:11" x14ac:dyDescent="0.25">
      <c r="A44" t="s">
        <v>187</v>
      </c>
      <c r="B44" t="s">
        <v>188</v>
      </c>
      <c r="C44" t="s">
        <v>189</v>
      </c>
      <c r="D44" t="s">
        <v>190</v>
      </c>
      <c r="E44" t="s">
        <v>14</v>
      </c>
      <c r="F44" t="s">
        <v>15</v>
      </c>
      <c r="G44">
        <v>28209</v>
      </c>
      <c r="H44" t="s">
        <v>16</v>
      </c>
      <c r="I44">
        <v>183</v>
      </c>
      <c r="J44">
        <v>1</v>
      </c>
      <c r="K44" t="s">
        <v>8928</v>
      </c>
    </row>
    <row r="45" spans="1:11" x14ac:dyDescent="0.25">
      <c r="A45" t="s">
        <v>191</v>
      </c>
      <c r="B45" t="s">
        <v>192</v>
      </c>
      <c r="C45" t="s">
        <v>193</v>
      </c>
      <c r="D45" t="s">
        <v>194</v>
      </c>
      <c r="E45" t="s">
        <v>14</v>
      </c>
      <c r="F45" t="s">
        <v>15</v>
      </c>
      <c r="G45">
        <v>28277</v>
      </c>
      <c r="H45" t="s">
        <v>195</v>
      </c>
      <c r="I45">
        <v>47</v>
      </c>
      <c r="J45">
        <v>1</v>
      </c>
      <c r="K45" t="s">
        <v>8935</v>
      </c>
    </row>
    <row r="46" spans="1:11" x14ac:dyDescent="0.25">
      <c r="A46" t="s">
        <v>196</v>
      </c>
      <c r="B46" t="s">
        <v>197</v>
      </c>
      <c r="C46" t="s">
        <v>198</v>
      </c>
      <c r="D46" t="s">
        <v>199</v>
      </c>
      <c r="E46" t="s">
        <v>14</v>
      </c>
      <c r="F46" t="s">
        <v>15</v>
      </c>
      <c r="G46">
        <v>28202</v>
      </c>
      <c r="H46" t="s">
        <v>21</v>
      </c>
      <c r="I46">
        <v>18</v>
      </c>
      <c r="J46">
        <v>0</v>
      </c>
      <c r="K46" t="s">
        <v>8937</v>
      </c>
    </row>
    <row r="47" spans="1:11" x14ac:dyDescent="0.25">
      <c r="A47" t="s">
        <v>200</v>
      </c>
      <c r="B47" t="s">
        <v>201</v>
      </c>
      <c r="C47" t="s">
        <v>202</v>
      </c>
      <c r="D47" t="s">
        <v>203</v>
      </c>
      <c r="E47" t="s">
        <v>14</v>
      </c>
      <c r="F47" t="s">
        <v>15</v>
      </c>
      <c r="G47">
        <v>28212</v>
      </c>
      <c r="H47" t="s">
        <v>195</v>
      </c>
      <c r="I47">
        <v>23</v>
      </c>
      <c r="J47">
        <v>1</v>
      </c>
      <c r="K47" t="s">
        <v>8935</v>
      </c>
    </row>
    <row r="48" spans="1:11" x14ac:dyDescent="0.25">
      <c r="A48" t="s">
        <v>204</v>
      </c>
      <c r="B48" t="s">
        <v>205</v>
      </c>
      <c r="C48" t="s">
        <v>206</v>
      </c>
      <c r="D48" t="s">
        <v>207</v>
      </c>
      <c r="E48" t="s">
        <v>14</v>
      </c>
      <c r="F48" t="s">
        <v>15</v>
      </c>
      <c r="G48">
        <v>28203</v>
      </c>
      <c r="H48" t="s">
        <v>39</v>
      </c>
      <c r="I48">
        <v>417</v>
      </c>
      <c r="J48">
        <v>1</v>
      </c>
      <c r="K48" t="s">
        <v>8935</v>
      </c>
    </row>
    <row r="49" spans="1:11" x14ac:dyDescent="0.25">
      <c r="A49" t="s">
        <v>208</v>
      </c>
      <c r="B49" t="s">
        <v>209</v>
      </c>
      <c r="C49" t="s">
        <v>210</v>
      </c>
      <c r="D49" t="s">
        <v>211</v>
      </c>
      <c r="E49" t="s">
        <v>14</v>
      </c>
      <c r="F49" t="s">
        <v>15</v>
      </c>
      <c r="G49">
        <v>28262</v>
      </c>
      <c r="H49" t="s">
        <v>16</v>
      </c>
      <c r="I49">
        <v>74</v>
      </c>
      <c r="J49">
        <v>1</v>
      </c>
      <c r="K49" t="s">
        <v>8925</v>
      </c>
    </row>
    <row r="50" spans="1:11" x14ac:dyDescent="0.25">
      <c r="A50" t="e">
        <f>-U0liwRSHGYBEMYVj8kFmQ</f>
        <v>#NAME?</v>
      </c>
      <c r="B50" t="s">
        <v>212</v>
      </c>
      <c r="C50" t="s">
        <v>213</v>
      </c>
      <c r="D50" t="s">
        <v>214</v>
      </c>
      <c r="E50" t="s">
        <v>14</v>
      </c>
      <c r="F50" t="s">
        <v>15</v>
      </c>
      <c r="G50">
        <v>28277</v>
      </c>
      <c r="H50" t="s">
        <v>26</v>
      </c>
      <c r="I50">
        <v>123</v>
      </c>
      <c r="J50">
        <v>1</v>
      </c>
      <c r="K50" t="s">
        <v>8935</v>
      </c>
    </row>
    <row r="51" spans="1:11" x14ac:dyDescent="0.25">
      <c r="A51" t="s">
        <v>215</v>
      </c>
      <c r="B51" t="s">
        <v>216</v>
      </c>
      <c r="C51" t="s">
        <v>217</v>
      </c>
      <c r="D51" t="s">
        <v>218</v>
      </c>
      <c r="E51" t="s">
        <v>14</v>
      </c>
      <c r="F51" t="s">
        <v>15</v>
      </c>
      <c r="G51">
        <v>28203</v>
      </c>
      <c r="H51" t="s">
        <v>16</v>
      </c>
      <c r="I51">
        <v>153</v>
      </c>
      <c r="J51">
        <v>1</v>
      </c>
      <c r="K51" t="s">
        <v>8937</v>
      </c>
    </row>
    <row r="52" spans="1:11" x14ac:dyDescent="0.25">
      <c r="A52" t="s">
        <v>219</v>
      </c>
      <c r="B52" t="s">
        <v>220</v>
      </c>
      <c r="C52" t="s">
        <v>221</v>
      </c>
      <c r="D52" t="s">
        <v>222</v>
      </c>
      <c r="E52" t="s">
        <v>14</v>
      </c>
      <c r="F52" t="s">
        <v>15</v>
      </c>
      <c r="G52">
        <v>28202</v>
      </c>
      <c r="H52" t="s">
        <v>101</v>
      </c>
      <c r="I52">
        <v>8</v>
      </c>
      <c r="J52">
        <v>1</v>
      </c>
      <c r="K52" t="s">
        <v>8935</v>
      </c>
    </row>
    <row r="53" spans="1:11" x14ac:dyDescent="0.25">
      <c r="A53" t="s">
        <v>223</v>
      </c>
      <c r="B53" t="s">
        <v>224</v>
      </c>
      <c r="C53" t="s">
        <v>225</v>
      </c>
      <c r="D53" t="s">
        <v>226</v>
      </c>
      <c r="E53" t="s">
        <v>14</v>
      </c>
      <c r="F53" t="s">
        <v>15</v>
      </c>
      <c r="G53">
        <v>28211</v>
      </c>
      <c r="H53" t="s">
        <v>16</v>
      </c>
      <c r="I53">
        <v>223</v>
      </c>
      <c r="J53">
        <v>0</v>
      </c>
      <c r="K53" t="s">
        <v>8935</v>
      </c>
    </row>
    <row r="54" spans="1:11" x14ac:dyDescent="0.25">
      <c r="A54" t="s">
        <v>227</v>
      </c>
      <c r="B54" t="s">
        <v>228</v>
      </c>
      <c r="C54" t="s">
        <v>229</v>
      </c>
      <c r="D54" t="s">
        <v>230</v>
      </c>
      <c r="E54" t="s">
        <v>14</v>
      </c>
      <c r="F54" t="s">
        <v>15</v>
      </c>
      <c r="G54">
        <v>28277</v>
      </c>
      <c r="H54" t="s">
        <v>26</v>
      </c>
      <c r="I54">
        <v>14</v>
      </c>
      <c r="J54">
        <v>0</v>
      </c>
      <c r="K54" t="s">
        <v>8935</v>
      </c>
    </row>
    <row r="55" spans="1:11" x14ac:dyDescent="0.25">
      <c r="A55" t="s">
        <v>231</v>
      </c>
      <c r="B55" t="s">
        <v>139</v>
      </c>
      <c r="C55" t="s">
        <v>232</v>
      </c>
      <c r="D55" t="s">
        <v>233</v>
      </c>
      <c r="E55" t="s">
        <v>14</v>
      </c>
      <c r="F55" t="s">
        <v>15</v>
      </c>
      <c r="G55">
        <v>28269</v>
      </c>
      <c r="H55" t="s">
        <v>26</v>
      </c>
      <c r="I55">
        <v>21</v>
      </c>
      <c r="J55">
        <v>1</v>
      </c>
      <c r="K55" t="s">
        <v>8926</v>
      </c>
    </row>
    <row r="56" spans="1:11" x14ac:dyDescent="0.25">
      <c r="A56" t="s">
        <v>234</v>
      </c>
      <c r="B56" t="s">
        <v>235</v>
      </c>
      <c r="C56" t="s">
        <v>236</v>
      </c>
      <c r="D56" t="s">
        <v>237</v>
      </c>
      <c r="E56" t="s">
        <v>14</v>
      </c>
      <c r="F56" t="s">
        <v>15</v>
      </c>
      <c r="G56">
        <v>28277</v>
      </c>
      <c r="H56" t="s">
        <v>26</v>
      </c>
      <c r="I56">
        <v>48</v>
      </c>
      <c r="J56">
        <v>1</v>
      </c>
      <c r="K56" t="s">
        <v>8935</v>
      </c>
    </row>
    <row r="57" spans="1:11" x14ac:dyDescent="0.25">
      <c r="A57" t="s">
        <v>238</v>
      </c>
      <c r="B57" t="s">
        <v>239</v>
      </c>
      <c r="C57" t="s">
        <v>240</v>
      </c>
      <c r="D57" t="s">
        <v>241</v>
      </c>
      <c r="E57" t="s">
        <v>14</v>
      </c>
      <c r="F57" t="s">
        <v>15</v>
      </c>
      <c r="G57">
        <v>28262</v>
      </c>
      <c r="H57" t="s">
        <v>39</v>
      </c>
      <c r="I57">
        <v>173</v>
      </c>
      <c r="J57">
        <v>1</v>
      </c>
      <c r="K57" t="s">
        <v>8935</v>
      </c>
    </row>
    <row r="58" spans="1:11" x14ac:dyDescent="0.25">
      <c r="A58" t="s">
        <v>242</v>
      </c>
      <c r="B58" t="s">
        <v>243</v>
      </c>
      <c r="C58" t="s">
        <v>244</v>
      </c>
      <c r="D58" t="s">
        <v>245</v>
      </c>
      <c r="E58" t="s">
        <v>14</v>
      </c>
      <c r="F58" t="s">
        <v>15</v>
      </c>
      <c r="G58">
        <v>28273</v>
      </c>
      <c r="H58" t="s">
        <v>26</v>
      </c>
      <c r="I58">
        <v>108</v>
      </c>
      <c r="J58">
        <v>1</v>
      </c>
      <c r="K58" t="s">
        <v>8920</v>
      </c>
    </row>
    <row r="59" spans="1:11" x14ac:dyDescent="0.25">
      <c r="A59" t="s">
        <v>246</v>
      </c>
      <c r="B59" t="s">
        <v>247</v>
      </c>
      <c r="C59" t="s">
        <v>248</v>
      </c>
      <c r="D59" t="s">
        <v>249</v>
      </c>
      <c r="E59" t="s">
        <v>14</v>
      </c>
      <c r="F59" t="s">
        <v>15</v>
      </c>
      <c r="G59">
        <v>28262</v>
      </c>
      <c r="H59" t="s">
        <v>21</v>
      </c>
      <c r="I59">
        <v>7</v>
      </c>
      <c r="J59">
        <v>0</v>
      </c>
      <c r="K59" t="s">
        <v>8935</v>
      </c>
    </row>
    <row r="60" spans="1:11" x14ac:dyDescent="0.25">
      <c r="A60" t="s">
        <v>250</v>
      </c>
      <c r="B60" t="s">
        <v>251</v>
      </c>
      <c r="C60" t="s">
        <v>252</v>
      </c>
      <c r="D60" t="s">
        <v>84</v>
      </c>
      <c r="E60" t="s">
        <v>14</v>
      </c>
      <c r="F60" t="s">
        <v>15</v>
      </c>
      <c r="G60">
        <v>28208</v>
      </c>
      <c r="H60" t="s">
        <v>26</v>
      </c>
      <c r="I60">
        <v>68</v>
      </c>
      <c r="J60">
        <v>1</v>
      </c>
      <c r="K60" t="s">
        <v>8935</v>
      </c>
    </row>
    <row r="61" spans="1:11" x14ac:dyDescent="0.25">
      <c r="A61" t="s">
        <v>253</v>
      </c>
      <c r="B61" t="s">
        <v>254</v>
      </c>
      <c r="C61" t="s">
        <v>255</v>
      </c>
      <c r="D61" t="s">
        <v>256</v>
      </c>
      <c r="E61" t="s">
        <v>14</v>
      </c>
      <c r="F61" t="s">
        <v>15</v>
      </c>
      <c r="G61">
        <v>28273</v>
      </c>
      <c r="H61" t="s">
        <v>48</v>
      </c>
      <c r="I61">
        <v>6</v>
      </c>
      <c r="J61">
        <v>1</v>
      </c>
      <c r="K61" t="s">
        <v>8935</v>
      </c>
    </row>
    <row r="62" spans="1:11" x14ac:dyDescent="0.25">
      <c r="A62" t="s">
        <v>257</v>
      </c>
      <c r="B62" t="s">
        <v>258</v>
      </c>
      <c r="C62" t="s">
        <v>259</v>
      </c>
      <c r="D62" t="s">
        <v>260</v>
      </c>
      <c r="E62" t="s">
        <v>14</v>
      </c>
      <c r="F62" t="s">
        <v>15</v>
      </c>
      <c r="G62">
        <v>28215</v>
      </c>
      <c r="H62" t="s">
        <v>39</v>
      </c>
      <c r="I62">
        <v>3</v>
      </c>
      <c r="J62">
        <v>0</v>
      </c>
      <c r="K62" t="s">
        <v>8935</v>
      </c>
    </row>
    <row r="63" spans="1:11" x14ac:dyDescent="0.25">
      <c r="A63" t="s">
        <v>261</v>
      </c>
      <c r="B63" t="s">
        <v>262</v>
      </c>
      <c r="C63" t="s">
        <v>263</v>
      </c>
      <c r="D63" t="s">
        <v>264</v>
      </c>
      <c r="E63" t="s">
        <v>14</v>
      </c>
      <c r="F63" t="s">
        <v>15</v>
      </c>
      <c r="G63">
        <v>28213</v>
      </c>
      <c r="H63" t="s">
        <v>265</v>
      </c>
      <c r="I63">
        <v>7</v>
      </c>
      <c r="J63">
        <v>1</v>
      </c>
      <c r="K63" t="s">
        <v>8935</v>
      </c>
    </row>
    <row r="64" spans="1:11" x14ac:dyDescent="0.25">
      <c r="A64" t="s">
        <v>266</v>
      </c>
      <c r="B64" t="s">
        <v>267</v>
      </c>
      <c r="C64" t="s">
        <v>268</v>
      </c>
      <c r="D64" t="s">
        <v>269</v>
      </c>
      <c r="E64" t="s">
        <v>14</v>
      </c>
      <c r="F64" t="s">
        <v>15</v>
      </c>
      <c r="G64">
        <v>28202</v>
      </c>
      <c r="H64" t="s">
        <v>39</v>
      </c>
      <c r="I64">
        <v>12</v>
      </c>
      <c r="J64">
        <v>0</v>
      </c>
      <c r="K64" t="s">
        <v>8935</v>
      </c>
    </row>
    <row r="65" spans="1:11" x14ac:dyDescent="0.25">
      <c r="A65" t="s">
        <v>270</v>
      </c>
      <c r="B65" t="s">
        <v>271</v>
      </c>
      <c r="C65" t="s">
        <v>272</v>
      </c>
      <c r="D65" t="s">
        <v>273</v>
      </c>
      <c r="E65" t="s">
        <v>14</v>
      </c>
      <c r="F65" t="s">
        <v>15</v>
      </c>
      <c r="G65">
        <v>28213</v>
      </c>
      <c r="H65" t="s">
        <v>48</v>
      </c>
      <c r="I65">
        <v>65</v>
      </c>
      <c r="J65">
        <v>1</v>
      </c>
      <c r="K65" t="s">
        <v>8935</v>
      </c>
    </row>
    <row r="66" spans="1:11" x14ac:dyDescent="0.25">
      <c r="A66" t="s">
        <v>274</v>
      </c>
      <c r="B66" t="s">
        <v>275</v>
      </c>
      <c r="C66" t="s">
        <v>276</v>
      </c>
      <c r="D66" t="s">
        <v>277</v>
      </c>
      <c r="E66" t="s">
        <v>14</v>
      </c>
      <c r="F66" t="s">
        <v>15</v>
      </c>
      <c r="G66">
        <v>28277</v>
      </c>
      <c r="H66" t="s">
        <v>48</v>
      </c>
      <c r="I66">
        <v>103</v>
      </c>
      <c r="J66">
        <v>1</v>
      </c>
      <c r="K66" t="s">
        <v>8925</v>
      </c>
    </row>
    <row r="67" spans="1:11" x14ac:dyDescent="0.25">
      <c r="A67" t="s">
        <v>278</v>
      </c>
      <c r="B67" t="s">
        <v>279</v>
      </c>
      <c r="C67" t="s">
        <v>280</v>
      </c>
      <c r="D67" t="s">
        <v>281</v>
      </c>
      <c r="E67" t="s">
        <v>14</v>
      </c>
      <c r="F67" t="s">
        <v>15</v>
      </c>
      <c r="G67">
        <v>28227</v>
      </c>
      <c r="H67" t="s">
        <v>21</v>
      </c>
      <c r="I67">
        <v>37</v>
      </c>
      <c r="J67">
        <v>1</v>
      </c>
      <c r="K67" t="s">
        <v>8926</v>
      </c>
    </row>
    <row r="68" spans="1:11" x14ac:dyDescent="0.25">
      <c r="A68" t="s">
        <v>282</v>
      </c>
      <c r="B68" t="s">
        <v>283</v>
      </c>
      <c r="C68" t="s">
        <v>177</v>
      </c>
      <c r="D68" t="s">
        <v>284</v>
      </c>
      <c r="E68" t="s">
        <v>14</v>
      </c>
      <c r="F68" t="s">
        <v>15</v>
      </c>
      <c r="G68">
        <v>28226</v>
      </c>
      <c r="H68" t="s">
        <v>26</v>
      </c>
      <c r="I68">
        <v>17</v>
      </c>
      <c r="J68">
        <v>1</v>
      </c>
      <c r="K68" t="s">
        <v>8921</v>
      </c>
    </row>
    <row r="69" spans="1:11" x14ac:dyDescent="0.25">
      <c r="A69" t="s">
        <v>285</v>
      </c>
      <c r="B69" t="s">
        <v>176</v>
      </c>
      <c r="C69" t="s">
        <v>286</v>
      </c>
      <c r="D69" t="s">
        <v>287</v>
      </c>
      <c r="E69" t="s">
        <v>14</v>
      </c>
      <c r="F69" t="s">
        <v>15</v>
      </c>
      <c r="G69">
        <v>28205</v>
      </c>
      <c r="H69" t="s">
        <v>39</v>
      </c>
      <c r="I69">
        <v>3</v>
      </c>
      <c r="J69">
        <v>0</v>
      </c>
      <c r="K69" t="s">
        <v>8935</v>
      </c>
    </row>
    <row r="70" spans="1:11" x14ac:dyDescent="0.25">
      <c r="A70" t="s">
        <v>288</v>
      </c>
      <c r="B70" t="s">
        <v>289</v>
      </c>
      <c r="C70" t="s">
        <v>290</v>
      </c>
      <c r="D70" t="s">
        <v>291</v>
      </c>
      <c r="E70" t="s">
        <v>14</v>
      </c>
      <c r="F70" t="s">
        <v>15</v>
      </c>
      <c r="G70">
        <v>28209</v>
      </c>
      <c r="H70" t="s">
        <v>21</v>
      </c>
      <c r="I70">
        <v>178</v>
      </c>
      <c r="J70">
        <v>0</v>
      </c>
      <c r="K70" t="s">
        <v>8923</v>
      </c>
    </row>
    <row r="71" spans="1:11" x14ac:dyDescent="0.25">
      <c r="A71" t="s">
        <v>292</v>
      </c>
      <c r="B71" t="s">
        <v>293</v>
      </c>
      <c r="C71" t="s">
        <v>294</v>
      </c>
      <c r="D71" t="s">
        <v>295</v>
      </c>
      <c r="E71" t="s">
        <v>14</v>
      </c>
      <c r="F71" t="s">
        <v>15</v>
      </c>
      <c r="G71">
        <v>28211</v>
      </c>
      <c r="H71" t="s">
        <v>16</v>
      </c>
      <c r="I71">
        <v>611</v>
      </c>
      <c r="J71">
        <v>1</v>
      </c>
      <c r="K71" t="s">
        <v>8925</v>
      </c>
    </row>
    <row r="72" spans="1:11" x14ac:dyDescent="0.25">
      <c r="A72" t="s">
        <v>296</v>
      </c>
      <c r="B72" t="s">
        <v>297</v>
      </c>
      <c r="C72" t="s">
        <v>87</v>
      </c>
      <c r="D72" t="s">
        <v>298</v>
      </c>
      <c r="E72" t="s">
        <v>14</v>
      </c>
      <c r="F72" t="s">
        <v>15</v>
      </c>
      <c r="G72">
        <v>28208</v>
      </c>
      <c r="H72" t="s">
        <v>101</v>
      </c>
      <c r="I72">
        <v>7</v>
      </c>
      <c r="J72">
        <v>1</v>
      </c>
      <c r="K72" t="s">
        <v>8935</v>
      </c>
    </row>
    <row r="73" spans="1:11" x14ac:dyDescent="0.25">
      <c r="A73" t="s">
        <v>299</v>
      </c>
      <c r="B73" t="s">
        <v>300</v>
      </c>
      <c r="C73" t="s">
        <v>301</v>
      </c>
      <c r="D73" t="s">
        <v>302</v>
      </c>
      <c r="E73" t="s">
        <v>14</v>
      </c>
      <c r="F73" t="s">
        <v>15</v>
      </c>
      <c r="G73">
        <v>28277</v>
      </c>
      <c r="H73" t="s">
        <v>26</v>
      </c>
      <c r="I73">
        <v>11</v>
      </c>
      <c r="J73">
        <v>0</v>
      </c>
      <c r="K73" t="s">
        <v>8935</v>
      </c>
    </row>
    <row r="74" spans="1:11" x14ac:dyDescent="0.25">
      <c r="A74" t="s">
        <v>303</v>
      </c>
      <c r="B74" t="s">
        <v>304</v>
      </c>
      <c r="C74" t="s">
        <v>305</v>
      </c>
      <c r="D74" t="s">
        <v>306</v>
      </c>
      <c r="E74" t="s">
        <v>14</v>
      </c>
      <c r="F74" t="s">
        <v>15</v>
      </c>
      <c r="G74">
        <v>28204</v>
      </c>
      <c r="H74" t="s">
        <v>21</v>
      </c>
      <c r="I74">
        <v>15</v>
      </c>
      <c r="J74">
        <v>0</v>
      </c>
      <c r="K74" t="s">
        <v>8935</v>
      </c>
    </row>
    <row r="75" spans="1:11" x14ac:dyDescent="0.25">
      <c r="A75" t="s">
        <v>307</v>
      </c>
      <c r="B75" t="s">
        <v>308</v>
      </c>
      <c r="C75" t="s">
        <v>309</v>
      </c>
      <c r="D75" t="s">
        <v>310</v>
      </c>
      <c r="E75" t="s">
        <v>14</v>
      </c>
      <c r="F75" t="s">
        <v>15</v>
      </c>
      <c r="G75">
        <v>28277</v>
      </c>
      <c r="H75" t="s">
        <v>16</v>
      </c>
      <c r="I75">
        <v>144</v>
      </c>
      <c r="J75">
        <v>1</v>
      </c>
      <c r="K75" t="s">
        <v>8935</v>
      </c>
    </row>
    <row r="76" spans="1:11" x14ac:dyDescent="0.25">
      <c r="A76" t="s">
        <v>311</v>
      </c>
      <c r="B76" t="s">
        <v>312</v>
      </c>
      <c r="C76" t="s">
        <v>313</v>
      </c>
      <c r="D76" t="s">
        <v>314</v>
      </c>
      <c r="E76" t="s">
        <v>14</v>
      </c>
      <c r="F76" t="s">
        <v>15</v>
      </c>
      <c r="G76">
        <v>28208</v>
      </c>
      <c r="H76" t="s">
        <v>39</v>
      </c>
      <c r="I76">
        <v>99</v>
      </c>
      <c r="J76">
        <v>1</v>
      </c>
      <c r="K76" t="s">
        <v>8925</v>
      </c>
    </row>
    <row r="77" spans="1:11" x14ac:dyDescent="0.25">
      <c r="A77" t="s">
        <v>315</v>
      </c>
      <c r="B77" t="s">
        <v>316</v>
      </c>
      <c r="C77" t="s">
        <v>317</v>
      </c>
      <c r="D77" t="s">
        <v>318</v>
      </c>
      <c r="E77" t="s">
        <v>14</v>
      </c>
      <c r="F77" t="s">
        <v>15</v>
      </c>
      <c r="G77">
        <v>28214</v>
      </c>
      <c r="H77" t="s">
        <v>101</v>
      </c>
      <c r="I77">
        <v>22</v>
      </c>
      <c r="J77">
        <v>1</v>
      </c>
      <c r="K77" t="s">
        <v>8935</v>
      </c>
    </row>
    <row r="78" spans="1:11" x14ac:dyDescent="0.25">
      <c r="A78" t="s">
        <v>319</v>
      </c>
      <c r="B78" t="s">
        <v>320</v>
      </c>
      <c r="C78" t="s">
        <v>321</v>
      </c>
      <c r="D78" t="s">
        <v>322</v>
      </c>
      <c r="E78" t="s">
        <v>14</v>
      </c>
      <c r="F78" t="s">
        <v>15</v>
      </c>
      <c r="G78">
        <v>28227</v>
      </c>
      <c r="H78" t="s">
        <v>195</v>
      </c>
      <c r="I78">
        <v>10</v>
      </c>
      <c r="J78">
        <v>1</v>
      </c>
      <c r="K78" t="s">
        <v>8935</v>
      </c>
    </row>
    <row r="79" spans="1:11" x14ac:dyDescent="0.25">
      <c r="A79" t="s">
        <v>323</v>
      </c>
      <c r="B79" t="s">
        <v>324</v>
      </c>
      <c r="C79" t="s">
        <v>325</v>
      </c>
      <c r="D79" t="s">
        <v>326</v>
      </c>
      <c r="E79" t="s">
        <v>14</v>
      </c>
      <c r="F79" t="s">
        <v>15</v>
      </c>
      <c r="G79">
        <v>28227</v>
      </c>
      <c r="H79" t="s">
        <v>26</v>
      </c>
      <c r="I79">
        <v>24</v>
      </c>
      <c r="J79">
        <v>1</v>
      </c>
      <c r="K79" t="s">
        <v>8926</v>
      </c>
    </row>
    <row r="80" spans="1:11" x14ac:dyDescent="0.25">
      <c r="A80" t="s">
        <v>327</v>
      </c>
      <c r="B80" t="s">
        <v>328</v>
      </c>
      <c r="C80" t="s">
        <v>329</v>
      </c>
      <c r="D80" t="s">
        <v>330</v>
      </c>
      <c r="E80" t="s">
        <v>14</v>
      </c>
      <c r="F80" t="s">
        <v>15</v>
      </c>
      <c r="G80">
        <v>28209</v>
      </c>
      <c r="H80" t="s">
        <v>21</v>
      </c>
      <c r="I80">
        <v>156</v>
      </c>
      <c r="J80">
        <v>1</v>
      </c>
      <c r="K80" t="s">
        <v>8935</v>
      </c>
    </row>
    <row r="81" spans="1:11" x14ac:dyDescent="0.25">
      <c r="A81" t="s">
        <v>331</v>
      </c>
      <c r="B81" t="s">
        <v>332</v>
      </c>
      <c r="C81" t="s">
        <v>333</v>
      </c>
      <c r="D81" t="s">
        <v>334</v>
      </c>
      <c r="E81" t="s">
        <v>14</v>
      </c>
      <c r="F81" t="s">
        <v>15</v>
      </c>
      <c r="G81">
        <v>28202</v>
      </c>
      <c r="H81" t="s">
        <v>39</v>
      </c>
      <c r="I81">
        <v>25</v>
      </c>
      <c r="J81">
        <v>1</v>
      </c>
      <c r="K81" t="s">
        <v>8935</v>
      </c>
    </row>
    <row r="82" spans="1:11" x14ac:dyDescent="0.25">
      <c r="A82" t="s">
        <v>335</v>
      </c>
      <c r="B82" t="s">
        <v>336</v>
      </c>
      <c r="C82" t="s">
        <v>337</v>
      </c>
      <c r="D82" t="s">
        <v>338</v>
      </c>
      <c r="E82" t="s">
        <v>14</v>
      </c>
      <c r="F82" t="s">
        <v>15</v>
      </c>
      <c r="G82">
        <v>28278</v>
      </c>
      <c r="H82" t="s">
        <v>16</v>
      </c>
      <c r="I82">
        <v>12</v>
      </c>
      <c r="J82">
        <v>1</v>
      </c>
      <c r="K82" t="s">
        <v>8935</v>
      </c>
    </row>
    <row r="83" spans="1:11" x14ac:dyDescent="0.25">
      <c r="A83" t="s">
        <v>339</v>
      </c>
      <c r="B83" t="s">
        <v>340</v>
      </c>
      <c r="C83" t="s">
        <v>341</v>
      </c>
      <c r="D83" t="s">
        <v>342</v>
      </c>
      <c r="E83" t="s">
        <v>14</v>
      </c>
      <c r="F83" t="s">
        <v>15</v>
      </c>
      <c r="G83">
        <v>28216</v>
      </c>
      <c r="H83" t="s">
        <v>48</v>
      </c>
      <c r="I83">
        <v>85</v>
      </c>
      <c r="J83">
        <v>0</v>
      </c>
      <c r="K83" t="s">
        <v>8935</v>
      </c>
    </row>
    <row r="84" spans="1:11" x14ac:dyDescent="0.25">
      <c r="A84" t="s">
        <v>343</v>
      </c>
      <c r="B84" t="s">
        <v>344</v>
      </c>
      <c r="C84" t="s">
        <v>345</v>
      </c>
      <c r="E84" t="s">
        <v>14</v>
      </c>
      <c r="F84" t="s">
        <v>15</v>
      </c>
      <c r="G84">
        <v>28262</v>
      </c>
      <c r="H84" t="s">
        <v>39</v>
      </c>
      <c r="I84">
        <v>6</v>
      </c>
      <c r="J84">
        <v>1</v>
      </c>
      <c r="K84" t="s">
        <v>8935</v>
      </c>
    </row>
    <row r="85" spans="1:11" x14ac:dyDescent="0.25">
      <c r="A85" t="s">
        <v>346</v>
      </c>
      <c r="B85" t="s">
        <v>347</v>
      </c>
      <c r="C85" t="s">
        <v>348</v>
      </c>
      <c r="D85" t="s">
        <v>349</v>
      </c>
      <c r="E85" t="s">
        <v>14</v>
      </c>
      <c r="F85" t="s">
        <v>15</v>
      </c>
      <c r="G85">
        <v>28269</v>
      </c>
      <c r="H85" t="s">
        <v>21</v>
      </c>
      <c r="I85">
        <v>19</v>
      </c>
      <c r="J85">
        <v>0</v>
      </c>
      <c r="K85" t="s">
        <v>8929</v>
      </c>
    </row>
    <row r="86" spans="1:11" x14ac:dyDescent="0.25">
      <c r="A86" t="s">
        <v>350</v>
      </c>
      <c r="B86" t="s">
        <v>351</v>
      </c>
      <c r="C86" t="s">
        <v>352</v>
      </c>
      <c r="D86" t="s">
        <v>353</v>
      </c>
      <c r="E86" t="s">
        <v>14</v>
      </c>
      <c r="F86" t="s">
        <v>15</v>
      </c>
      <c r="G86">
        <v>28262</v>
      </c>
      <c r="H86" t="s">
        <v>21</v>
      </c>
      <c r="I86">
        <v>57</v>
      </c>
      <c r="J86">
        <v>0</v>
      </c>
      <c r="K86" t="s">
        <v>8930</v>
      </c>
    </row>
    <row r="87" spans="1:11" x14ac:dyDescent="0.25">
      <c r="A87" t="s">
        <v>354</v>
      </c>
      <c r="B87" t="s">
        <v>355</v>
      </c>
      <c r="C87" t="s">
        <v>356</v>
      </c>
      <c r="D87" t="s">
        <v>357</v>
      </c>
      <c r="E87" t="s">
        <v>14</v>
      </c>
      <c r="F87" t="s">
        <v>15</v>
      </c>
      <c r="G87">
        <v>28202</v>
      </c>
      <c r="H87" t="s">
        <v>21</v>
      </c>
      <c r="I87">
        <v>84</v>
      </c>
      <c r="J87">
        <v>1</v>
      </c>
      <c r="K87" t="s">
        <v>8935</v>
      </c>
    </row>
    <row r="88" spans="1:11" x14ac:dyDescent="0.25">
      <c r="A88" t="s">
        <v>358</v>
      </c>
      <c r="B88" t="s">
        <v>359</v>
      </c>
      <c r="C88" t="s">
        <v>360</v>
      </c>
      <c r="D88" t="s">
        <v>361</v>
      </c>
      <c r="E88" t="s">
        <v>14</v>
      </c>
      <c r="F88" t="s">
        <v>15</v>
      </c>
      <c r="G88">
        <v>28202</v>
      </c>
      <c r="H88" t="s">
        <v>21</v>
      </c>
      <c r="I88">
        <v>9</v>
      </c>
      <c r="J88">
        <v>0</v>
      </c>
      <c r="K88" t="s">
        <v>8935</v>
      </c>
    </row>
    <row r="89" spans="1:11" x14ac:dyDescent="0.25">
      <c r="A89" t="s">
        <v>362</v>
      </c>
      <c r="B89" t="s">
        <v>363</v>
      </c>
      <c r="C89" t="s">
        <v>364</v>
      </c>
      <c r="D89" t="s">
        <v>365</v>
      </c>
      <c r="E89" t="s">
        <v>14</v>
      </c>
      <c r="F89" t="s">
        <v>15</v>
      </c>
      <c r="G89">
        <v>28262</v>
      </c>
      <c r="H89" t="s">
        <v>48</v>
      </c>
      <c r="I89">
        <v>6</v>
      </c>
      <c r="J89">
        <v>1</v>
      </c>
      <c r="K89" t="s">
        <v>8935</v>
      </c>
    </row>
    <row r="90" spans="1:11" x14ac:dyDescent="0.25">
      <c r="A90" t="s">
        <v>366</v>
      </c>
      <c r="B90" t="s">
        <v>367</v>
      </c>
      <c r="C90" t="s">
        <v>368</v>
      </c>
      <c r="D90" t="s">
        <v>369</v>
      </c>
      <c r="E90" t="s">
        <v>14</v>
      </c>
      <c r="F90" t="s">
        <v>15</v>
      </c>
      <c r="G90">
        <v>28217</v>
      </c>
      <c r="H90" t="s">
        <v>48</v>
      </c>
      <c r="I90">
        <v>6</v>
      </c>
      <c r="J90">
        <v>0</v>
      </c>
      <c r="K90" t="s">
        <v>8935</v>
      </c>
    </row>
    <row r="91" spans="1:11" x14ac:dyDescent="0.25">
      <c r="A91" t="s">
        <v>370</v>
      </c>
      <c r="B91" t="s">
        <v>371</v>
      </c>
      <c r="C91" t="s">
        <v>372</v>
      </c>
      <c r="D91" t="s">
        <v>373</v>
      </c>
      <c r="E91" t="s">
        <v>14</v>
      </c>
      <c r="F91" t="s">
        <v>15</v>
      </c>
      <c r="G91">
        <v>28205</v>
      </c>
      <c r="H91" t="s">
        <v>21</v>
      </c>
      <c r="I91">
        <v>257</v>
      </c>
      <c r="J91">
        <v>1</v>
      </c>
      <c r="K91" t="s">
        <v>8922</v>
      </c>
    </row>
    <row r="92" spans="1:11" x14ac:dyDescent="0.25">
      <c r="A92" t="s">
        <v>374</v>
      </c>
      <c r="B92" t="s">
        <v>375</v>
      </c>
      <c r="C92" t="s">
        <v>376</v>
      </c>
      <c r="D92" t="s">
        <v>377</v>
      </c>
      <c r="E92" t="s">
        <v>14</v>
      </c>
      <c r="F92" t="s">
        <v>15</v>
      </c>
      <c r="G92">
        <v>28217</v>
      </c>
      <c r="H92" t="s">
        <v>16</v>
      </c>
      <c r="I92">
        <v>65</v>
      </c>
      <c r="J92">
        <v>1</v>
      </c>
      <c r="K92" t="s">
        <v>8929</v>
      </c>
    </row>
    <row r="93" spans="1:11" x14ac:dyDescent="0.25">
      <c r="A93" t="s">
        <v>378</v>
      </c>
      <c r="B93" t="s">
        <v>379</v>
      </c>
      <c r="C93" t="s">
        <v>380</v>
      </c>
      <c r="D93" t="s">
        <v>381</v>
      </c>
      <c r="E93" t="s">
        <v>14</v>
      </c>
      <c r="F93" t="s">
        <v>15</v>
      </c>
      <c r="G93">
        <v>28262</v>
      </c>
      <c r="H93" t="s">
        <v>26</v>
      </c>
      <c r="I93">
        <v>53</v>
      </c>
      <c r="J93">
        <v>1</v>
      </c>
      <c r="K93" t="s">
        <v>8930</v>
      </c>
    </row>
    <row r="94" spans="1:11" x14ac:dyDescent="0.25">
      <c r="A94" t="s">
        <v>382</v>
      </c>
      <c r="B94" t="s">
        <v>383</v>
      </c>
      <c r="C94" t="s">
        <v>384</v>
      </c>
      <c r="D94" t="s">
        <v>385</v>
      </c>
      <c r="E94" t="s">
        <v>14</v>
      </c>
      <c r="F94" t="s">
        <v>15</v>
      </c>
      <c r="G94">
        <v>28207</v>
      </c>
      <c r="H94" t="s">
        <v>39</v>
      </c>
      <c r="I94">
        <v>38</v>
      </c>
      <c r="J94">
        <v>0</v>
      </c>
      <c r="K94" t="s">
        <v>8924</v>
      </c>
    </row>
    <row r="95" spans="1:11" x14ac:dyDescent="0.25">
      <c r="A95" t="s">
        <v>386</v>
      </c>
      <c r="B95" t="s">
        <v>387</v>
      </c>
      <c r="C95" t="s">
        <v>388</v>
      </c>
      <c r="D95" t="s">
        <v>389</v>
      </c>
      <c r="E95" t="s">
        <v>14</v>
      </c>
      <c r="F95" t="s">
        <v>15</v>
      </c>
      <c r="G95">
        <v>28203</v>
      </c>
      <c r="H95" t="s">
        <v>16</v>
      </c>
      <c r="I95">
        <v>13</v>
      </c>
      <c r="J95">
        <v>1</v>
      </c>
      <c r="K95" t="s">
        <v>8925</v>
      </c>
    </row>
    <row r="96" spans="1:11" x14ac:dyDescent="0.25">
      <c r="A96" t="s">
        <v>390</v>
      </c>
      <c r="B96" t="s">
        <v>391</v>
      </c>
      <c r="C96" t="s">
        <v>364</v>
      </c>
      <c r="D96" t="s">
        <v>392</v>
      </c>
      <c r="E96" t="s">
        <v>14</v>
      </c>
      <c r="F96" t="s">
        <v>15</v>
      </c>
      <c r="G96">
        <v>28202</v>
      </c>
      <c r="H96" t="s">
        <v>101</v>
      </c>
      <c r="I96">
        <v>3</v>
      </c>
      <c r="J96">
        <v>1</v>
      </c>
      <c r="K96" t="s">
        <v>8935</v>
      </c>
    </row>
    <row r="97" spans="1:11" x14ac:dyDescent="0.25">
      <c r="A97" t="s">
        <v>393</v>
      </c>
      <c r="B97" t="s">
        <v>394</v>
      </c>
      <c r="C97" t="s">
        <v>395</v>
      </c>
      <c r="D97" t="s">
        <v>396</v>
      </c>
      <c r="E97" t="s">
        <v>14</v>
      </c>
      <c r="F97" t="s">
        <v>15</v>
      </c>
      <c r="G97">
        <v>28205</v>
      </c>
      <c r="H97" t="s">
        <v>39</v>
      </c>
      <c r="I97">
        <v>20</v>
      </c>
      <c r="J97">
        <v>1</v>
      </c>
      <c r="K97" t="s">
        <v>8935</v>
      </c>
    </row>
    <row r="98" spans="1:11" x14ac:dyDescent="0.25">
      <c r="A98" t="s">
        <v>397</v>
      </c>
      <c r="B98" t="s">
        <v>398</v>
      </c>
      <c r="C98" t="s">
        <v>399</v>
      </c>
      <c r="D98" t="s">
        <v>400</v>
      </c>
      <c r="E98" t="s">
        <v>14</v>
      </c>
      <c r="F98" t="s">
        <v>15</v>
      </c>
      <c r="G98">
        <v>28202</v>
      </c>
      <c r="H98" t="s">
        <v>21</v>
      </c>
      <c r="I98">
        <v>27</v>
      </c>
      <c r="J98">
        <v>0</v>
      </c>
      <c r="K98" t="s">
        <v>8937</v>
      </c>
    </row>
    <row r="99" spans="1:11" x14ac:dyDescent="0.25">
      <c r="A99" t="s">
        <v>401</v>
      </c>
      <c r="B99" t="s">
        <v>402</v>
      </c>
      <c r="C99" t="s">
        <v>403</v>
      </c>
      <c r="D99" t="s">
        <v>404</v>
      </c>
      <c r="E99" t="s">
        <v>14</v>
      </c>
      <c r="F99" t="s">
        <v>15</v>
      </c>
      <c r="G99">
        <v>28205</v>
      </c>
      <c r="H99" t="s">
        <v>21</v>
      </c>
      <c r="I99">
        <v>13</v>
      </c>
      <c r="J99">
        <v>0</v>
      </c>
      <c r="K99" t="s">
        <v>8935</v>
      </c>
    </row>
    <row r="100" spans="1:11" x14ac:dyDescent="0.25">
      <c r="A100" t="s">
        <v>405</v>
      </c>
      <c r="B100" t="s">
        <v>406</v>
      </c>
      <c r="C100" t="s">
        <v>407</v>
      </c>
      <c r="D100" t="s">
        <v>408</v>
      </c>
      <c r="E100" t="s">
        <v>14</v>
      </c>
      <c r="F100" t="s">
        <v>15</v>
      </c>
      <c r="G100">
        <v>28210</v>
      </c>
      <c r="H100" t="s">
        <v>21</v>
      </c>
      <c r="I100">
        <v>240</v>
      </c>
      <c r="J100">
        <v>1</v>
      </c>
      <c r="K100" t="s">
        <v>8935</v>
      </c>
    </row>
    <row r="101" spans="1:11" x14ac:dyDescent="0.25">
      <c r="A101" t="s">
        <v>409</v>
      </c>
      <c r="B101" t="s">
        <v>410</v>
      </c>
      <c r="C101" t="s">
        <v>411</v>
      </c>
      <c r="D101" t="s">
        <v>412</v>
      </c>
      <c r="E101" t="s">
        <v>14</v>
      </c>
      <c r="F101" t="s">
        <v>15</v>
      </c>
      <c r="G101">
        <v>28277</v>
      </c>
      <c r="H101" t="s">
        <v>16</v>
      </c>
      <c r="I101">
        <v>24</v>
      </c>
      <c r="J101">
        <v>1</v>
      </c>
      <c r="K101" t="s">
        <v>8935</v>
      </c>
    </row>
    <row r="102" spans="1:11" x14ac:dyDescent="0.25">
      <c r="A102" t="s">
        <v>413</v>
      </c>
      <c r="B102" t="s">
        <v>414</v>
      </c>
      <c r="C102" t="s">
        <v>415</v>
      </c>
      <c r="D102" t="s">
        <v>416</v>
      </c>
      <c r="E102" t="s">
        <v>14</v>
      </c>
      <c r="F102" t="s">
        <v>15</v>
      </c>
      <c r="G102">
        <v>28277</v>
      </c>
      <c r="H102" t="s">
        <v>21</v>
      </c>
      <c r="I102">
        <v>35</v>
      </c>
      <c r="J102">
        <v>1</v>
      </c>
      <c r="K102" t="s">
        <v>8935</v>
      </c>
    </row>
    <row r="103" spans="1:11" x14ac:dyDescent="0.25">
      <c r="A103" t="s">
        <v>417</v>
      </c>
      <c r="B103" t="s">
        <v>418</v>
      </c>
      <c r="C103" t="s">
        <v>419</v>
      </c>
      <c r="D103" t="s">
        <v>420</v>
      </c>
      <c r="E103" t="s">
        <v>14</v>
      </c>
      <c r="F103" t="s">
        <v>15</v>
      </c>
      <c r="G103">
        <v>28262</v>
      </c>
      <c r="H103" t="s">
        <v>39</v>
      </c>
      <c r="I103">
        <v>164</v>
      </c>
      <c r="J103">
        <v>1</v>
      </c>
      <c r="K103" t="s">
        <v>8935</v>
      </c>
    </row>
    <row r="104" spans="1:11" x14ac:dyDescent="0.25">
      <c r="A104" t="s">
        <v>421</v>
      </c>
      <c r="B104" t="s">
        <v>422</v>
      </c>
      <c r="C104" t="s">
        <v>423</v>
      </c>
      <c r="D104" t="s">
        <v>424</v>
      </c>
      <c r="E104" t="s">
        <v>14</v>
      </c>
      <c r="F104" t="s">
        <v>15</v>
      </c>
      <c r="G104">
        <v>28205</v>
      </c>
      <c r="H104" t="s">
        <v>21</v>
      </c>
      <c r="I104">
        <v>44</v>
      </c>
      <c r="J104">
        <v>1</v>
      </c>
      <c r="K104" t="s">
        <v>8920</v>
      </c>
    </row>
    <row r="105" spans="1:11" x14ac:dyDescent="0.25">
      <c r="A105" t="s">
        <v>425</v>
      </c>
      <c r="B105" t="s">
        <v>426</v>
      </c>
      <c r="C105" t="s">
        <v>427</v>
      </c>
      <c r="D105" t="s">
        <v>428</v>
      </c>
      <c r="E105" t="s">
        <v>14</v>
      </c>
      <c r="F105" t="s">
        <v>15</v>
      </c>
      <c r="G105">
        <v>28209</v>
      </c>
      <c r="H105" t="s">
        <v>16</v>
      </c>
      <c r="I105">
        <v>353</v>
      </c>
      <c r="J105">
        <v>1</v>
      </c>
      <c r="K105" t="s">
        <v>8935</v>
      </c>
    </row>
    <row r="106" spans="1:11" x14ac:dyDescent="0.25">
      <c r="A106" t="s">
        <v>429</v>
      </c>
      <c r="B106" t="s">
        <v>430</v>
      </c>
      <c r="C106" t="s">
        <v>431</v>
      </c>
      <c r="D106" t="s">
        <v>432</v>
      </c>
      <c r="E106" t="s">
        <v>14</v>
      </c>
      <c r="F106" t="s">
        <v>15</v>
      </c>
      <c r="G106">
        <v>28210</v>
      </c>
      <c r="H106" t="s">
        <v>21</v>
      </c>
      <c r="I106">
        <v>43</v>
      </c>
      <c r="J106">
        <v>1</v>
      </c>
      <c r="K106" t="s">
        <v>8935</v>
      </c>
    </row>
    <row r="107" spans="1:11" x14ac:dyDescent="0.25">
      <c r="A107" t="s">
        <v>433</v>
      </c>
      <c r="B107" t="s">
        <v>434</v>
      </c>
      <c r="C107" t="s">
        <v>435</v>
      </c>
      <c r="D107" t="s">
        <v>436</v>
      </c>
      <c r="E107" t="s">
        <v>14</v>
      </c>
      <c r="F107" t="s">
        <v>15</v>
      </c>
      <c r="G107">
        <v>28209</v>
      </c>
      <c r="H107" t="s">
        <v>21</v>
      </c>
      <c r="I107">
        <v>228</v>
      </c>
      <c r="J107">
        <v>1</v>
      </c>
      <c r="K107" t="s">
        <v>8935</v>
      </c>
    </row>
    <row r="108" spans="1:11" x14ac:dyDescent="0.25">
      <c r="A108" t="s">
        <v>437</v>
      </c>
      <c r="B108" t="s">
        <v>438</v>
      </c>
      <c r="C108" t="s">
        <v>439</v>
      </c>
      <c r="D108" t="s">
        <v>440</v>
      </c>
      <c r="E108" t="s">
        <v>14</v>
      </c>
      <c r="F108" t="s">
        <v>15</v>
      </c>
      <c r="G108">
        <v>28226</v>
      </c>
      <c r="H108" t="s">
        <v>21</v>
      </c>
      <c r="I108">
        <v>48</v>
      </c>
      <c r="J108">
        <v>1</v>
      </c>
      <c r="K108" t="s">
        <v>8935</v>
      </c>
    </row>
    <row r="109" spans="1:11" x14ac:dyDescent="0.25">
      <c r="A109" t="s">
        <v>441</v>
      </c>
      <c r="B109" t="s">
        <v>442</v>
      </c>
      <c r="C109" t="s">
        <v>443</v>
      </c>
      <c r="D109" t="s">
        <v>444</v>
      </c>
      <c r="E109" t="s">
        <v>14</v>
      </c>
      <c r="F109" t="s">
        <v>15</v>
      </c>
      <c r="G109">
        <v>28226</v>
      </c>
      <c r="H109" t="s">
        <v>21</v>
      </c>
      <c r="I109">
        <v>81</v>
      </c>
      <c r="J109">
        <v>0</v>
      </c>
      <c r="K109" t="s">
        <v>8935</v>
      </c>
    </row>
    <row r="110" spans="1:11" x14ac:dyDescent="0.25">
      <c r="A110" t="s">
        <v>445</v>
      </c>
      <c r="B110" t="s">
        <v>446</v>
      </c>
      <c r="C110" t="s">
        <v>447</v>
      </c>
      <c r="D110" t="s">
        <v>448</v>
      </c>
      <c r="E110" t="s">
        <v>14</v>
      </c>
      <c r="F110" t="s">
        <v>15</v>
      </c>
      <c r="G110">
        <v>28209</v>
      </c>
      <c r="H110" t="s">
        <v>21</v>
      </c>
      <c r="I110">
        <v>509</v>
      </c>
      <c r="J110">
        <v>1</v>
      </c>
      <c r="K110" t="s">
        <v>8925</v>
      </c>
    </row>
    <row r="111" spans="1:11" x14ac:dyDescent="0.25">
      <c r="A111" t="s">
        <v>449</v>
      </c>
      <c r="B111" t="s">
        <v>450</v>
      </c>
      <c r="C111" t="s">
        <v>451</v>
      </c>
      <c r="D111" t="s">
        <v>452</v>
      </c>
      <c r="E111" t="s">
        <v>14</v>
      </c>
      <c r="F111" t="s">
        <v>15</v>
      </c>
      <c r="G111">
        <v>28262</v>
      </c>
      <c r="H111" t="s">
        <v>146</v>
      </c>
      <c r="I111">
        <v>13</v>
      </c>
      <c r="J111">
        <v>1</v>
      </c>
      <c r="K111" t="s">
        <v>8923</v>
      </c>
    </row>
    <row r="112" spans="1:11" x14ac:dyDescent="0.25">
      <c r="A112" t="s">
        <v>453</v>
      </c>
      <c r="B112" t="s">
        <v>454</v>
      </c>
      <c r="C112" t="s">
        <v>455</v>
      </c>
      <c r="D112" t="s">
        <v>456</v>
      </c>
      <c r="E112" t="s">
        <v>14</v>
      </c>
      <c r="F112" t="s">
        <v>15</v>
      </c>
      <c r="G112">
        <v>28215</v>
      </c>
      <c r="H112" t="s">
        <v>39</v>
      </c>
      <c r="I112">
        <v>102</v>
      </c>
      <c r="J112">
        <v>1</v>
      </c>
      <c r="K112" t="s">
        <v>8921</v>
      </c>
    </row>
    <row r="113" spans="1:11" x14ac:dyDescent="0.25">
      <c r="A113" t="s">
        <v>457</v>
      </c>
      <c r="B113" t="s">
        <v>458</v>
      </c>
      <c r="C113" t="s">
        <v>459</v>
      </c>
      <c r="D113" t="s">
        <v>460</v>
      </c>
      <c r="E113" t="s">
        <v>14</v>
      </c>
      <c r="F113" t="s">
        <v>15</v>
      </c>
      <c r="G113">
        <v>28209</v>
      </c>
      <c r="H113" t="s">
        <v>26</v>
      </c>
      <c r="I113">
        <v>154</v>
      </c>
      <c r="J113">
        <v>1</v>
      </c>
      <c r="K113" t="s">
        <v>8935</v>
      </c>
    </row>
    <row r="114" spans="1:11" x14ac:dyDescent="0.25">
      <c r="A114" t="s">
        <v>461</v>
      </c>
      <c r="B114" t="s">
        <v>462</v>
      </c>
      <c r="C114" t="s">
        <v>463</v>
      </c>
      <c r="D114" t="s">
        <v>464</v>
      </c>
      <c r="E114" t="s">
        <v>14</v>
      </c>
      <c r="F114" t="s">
        <v>15</v>
      </c>
      <c r="G114">
        <v>28202</v>
      </c>
      <c r="H114" t="s">
        <v>146</v>
      </c>
      <c r="I114">
        <v>156</v>
      </c>
      <c r="J114">
        <v>1</v>
      </c>
      <c r="K114" t="s">
        <v>8935</v>
      </c>
    </row>
    <row r="115" spans="1:11" x14ac:dyDescent="0.25">
      <c r="A115" t="s">
        <v>465</v>
      </c>
      <c r="B115" t="s">
        <v>466</v>
      </c>
      <c r="C115" t="s">
        <v>467</v>
      </c>
      <c r="D115" t="s">
        <v>468</v>
      </c>
      <c r="E115" t="s">
        <v>14</v>
      </c>
      <c r="F115" t="s">
        <v>15</v>
      </c>
      <c r="G115">
        <v>28217</v>
      </c>
      <c r="H115" t="s">
        <v>48</v>
      </c>
      <c r="I115">
        <v>16</v>
      </c>
      <c r="J115">
        <v>1</v>
      </c>
      <c r="K115" t="s">
        <v>8935</v>
      </c>
    </row>
    <row r="116" spans="1:11" x14ac:dyDescent="0.25">
      <c r="A116" t="s">
        <v>469</v>
      </c>
      <c r="B116" t="s">
        <v>470</v>
      </c>
      <c r="C116" t="s">
        <v>471</v>
      </c>
      <c r="D116" t="s">
        <v>472</v>
      </c>
      <c r="E116" t="s">
        <v>14</v>
      </c>
      <c r="F116" t="s">
        <v>15</v>
      </c>
      <c r="G116">
        <v>28227</v>
      </c>
      <c r="H116" t="s">
        <v>21</v>
      </c>
      <c r="I116">
        <v>198</v>
      </c>
      <c r="J116">
        <v>0</v>
      </c>
      <c r="K116" t="s">
        <v>8930</v>
      </c>
    </row>
    <row r="117" spans="1:11" x14ac:dyDescent="0.25">
      <c r="A117" t="s">
        <v>473</v>
      </c>
      <c r="B117" t="s">
        <v>474</v>
      </c>
      <c r="C117" t="s">
        <v>475</v>
      </c>
      <c r="D117" t="s">
        <v>476</v>
      </c>
      <c r="E117" t="s">
        <v>14</v>
      </c>
      <c r="F117" t="s">
        <v>15</v>
      </c>
      <c r="G117">
        <v>28211</v>
      </c>
      <c r="H117" t="s">
        <v>39</v>
      </c>
      <c r="I117">
        <v>5</v>
      </c>
      <c r="J117">
        <v>1</v>
      </c>
      <c r="K117" t="s">
        <v>8925</v>
      </c>
    </row>
    <row r="118" spans="1:11" x14ac:dyDescent="0.25">
      <c r="A118" t="s">
        <v>477</v>
      </c>
      <c r="B118" t="s">
        <v>478</v>
      </c>
      <c r="C118" t="s">
        <v>479</v>
      </c>
      <c r="D118" t="s">
        <v>480</v>
      </c>
      <c r="E118" t="s">
        <v>14</v>
      </c>
      <c r="F118" t="s">
        <v>15</v>
      </c>
      <c r="G118">
        <v>28205</v>
      </c>
      <c r="H118" t="s">
        <v>26</v>
      </c>
      <c r="I118">
        <v>9</v>
      </c>
      <c r="J118">
        <v>0</v>
      </c>
      <c r="K118" t="s">
        <v>8923</v>
      </c>
    </row>
    <row r="119" spans="1:11" x14ac:dyDescent="0.25">
      <c r="A119" t="s">
        <v>481</v>
      </c>
      <c r="B119" t="s">
        <v>482</v>
      </c>
      <c r="C119" t="s">
        <v>483</v>
      </c>
      <c r="D119" t="s">
        <v>484</v>
      </c>
      <c r="E119" t="s">
        <v>14</v>
      </c>
      <c r="F119" t="s">
        <v>15</v>
      </c>
      <c r="G119">
        <v>28273</v>
      </c>
      <c r="H119" t="s">
        <v>39</v>
      </c>
      <c r="I119">
        <v>32</v>
      </c>
      <c r="J119">
        <v>1</v>
      </c>
      <c r="K119" t="s">
        <v>8935</v>
      </c>
    </row>
    <row r="120" spans="1:11" x14ac:dyDescent="0.25">
      <c r="A120" t="s">
        <v>485</v>
      </c>
      <c r="B120" t="s">
        <v>359</v>
      </c>
      <c r="C120" t="s">
        <v>486</v>
      </c>
      <c r="D120" t="s">
        <v>487</v>
      </c>
      <c r="E120" t="s">
        <v>14</v>
      </c>
      <c r="F120" t="s">
        <v>15</v>
      </c>
      <c r="G120">
        <v>28277</v>
      </c>
      <c r="H120" t="s">
        <v>26</v>
      </c>
      <c r="I120">
        <v>54</v>
      </c>
      <c r="J120">
        <v>0</v>
      </c>
      <c r="K120" t="s">
        <v>8935</v>
      </c>
    </row>
    <row r="121" spans="1:11" x14ac:dyDescent="0.25">
      <c r="A121" t="s">
        <v>488</v>
      </c>
      <c r="B121" t="s">
        <v>489</v>
      </c>
      <c r="C121" t="s">
        <v>490</v>
      </c>
      <c r="D121" t="s">
        <v>491</v>
      </c>
      <c r="E121" t="s">
        <v>14</v>
      </c>
      <c r="F121" t="s">
        <v>15</v>
      </c>
      <c r="G121">
        <v>28262</v>
      </c>
      <c r="H121" t="s">
        <v>26</v>
      </c>
      <c r="I121">
        <v>42</v>
      </c>
      <c r="J121">
        <v>1</v>
      </c>
      <c r="K121" t="s">
        <v>8930</v>
      </c>
    </row>
    <row r="122" spans="1:11" x14ac:dyDescent="0.25">
      <c r="A122" t="s">
        <v>492</v>
      </c>
      <c r="B122" t="s">
        <v>493</v>
      </c>
      <c r="C122" t="s">
        <v>494</v>
      </c>
      <c r="D122" t="s">
        <v>495</v>
      </c>
      <c r="E122" t="s">
        <v>14</v>
      </c>
      <c r="F122" t="s">
        <v>15</v>
      </c>
      <c r="G122">
        <v>28205</v>
      </c>
      <c r="H122" t="s">
        <v>16</v>
      </c>
      <c r="I122">
        <v>10</v>
      </c>
      <c r="J122">
        <v>0</v>
      </c>
      <c r="K122" t="s">
        <v>8935</v>
      </c>
    </row>
    <row r="123" spans="1:11" x14ac:dyDescent="0.25">
      <c r="A123" t="s">
        <v>496</v>
      </c>
      <c r="B123" t="s">
        <v>279</v>
      </c>
      <c r="C123" t="s">
        <v>497</v>
      </c>
      <c r="D123" t="s">
        <v>498</v>
      </c>
      <c r="E123" t="s">
        <v>14</v>
      </c>
      <c r="F123" t="s">
        <v>15</v>
      </c>
      <c r="G123">
        <v>28208</v>
      </c>
      <c r="H123" t="s">
        <v>16</v>
      </c>
      <c r="I123">
        <v>9</v>
      </c>
      <c r="J123">
        <v>0</v>
      </c>
      <c r="K123" t="s">
        <v>8926</v>
      </c>
    </row>
    <row r="124" spans="1:11" x14ac:dyDescent="0.25">
      <c r="A124" t="s">
        <v>499</v>
      </c>
      <c r="B124" t="s">
        <v>500</v>
      </c>
      <c r="C124" t="s">
        <v>501</v>
      </c>
      <c r="D124" t="s">
        <v>502</v>
      </c>
      <c r="E124" t="s">
        <v>14</v>
      </c>
      <c r="F124" t="s">
        <v>15</v>
      </c>
      <c r="G124">
        <v>28226</v>
      </c>
      <c r="H124" t="s">
        <v>16</v>
      </c>
      <c r="I124">
        <v>36</v>
      </c>
      <c r="J124">
        <v>1</v>
      </c>
      <c r="K124" t="s">
        <v>8923</v>
      </c>
    </row>
    <row r="125" spans="1:11" x14ac:dyDescent="0.25">
      <c r="A125" t="s">
        <v>503</v>
      </c>
      <c r="B125" t="s">
        <v>504</v>
      </c>
      <c r="C125" t="s">
        <v>505</v>
      </c>
      <c r="D125" t="s">
        <v>506</v>
      </c>
      <c r="E125" t="s">
        <v>14</v>
      </c>
      <c r="F125" t="s">
        <v>15</v>
      </c>
      <c r="G125">
        <v>28205</v>
      </c>
      <c r="H125" t="s">
        <v>26</v>
      </c>
      <c r="I125">
        <v>117</v>
      </c>
      <c r="J125">
        <v>1</v>
      </c>
      <c r="K125" t="s">
        <v>8935</v>
      </c>
    </row>
    <row r="126" spans="1:11" x14ac:dyDescent="0.25">
      <c r="A126" t="s">
        <v>507</v>
      </c>
      <c r="B126" t="s">
        <v>508</v>
      </c>
      <c r="C126" t="s">
        <v>509</v>
      </c>
      <c r="D126" t="s">
        <v>510</v>
      </c>
      <c r="E126" t="s">
        <v>14</v>
      </c>
      <c r="F126" t="s">
        <v>15</v>
      </c>
      <c r="G126">
        <v>28205</v>
      </c>
      <c r="H126" t="s">
        <v>16</v>
      </c>
      <c r="I126">
        <v>166</v>
      </c>
      <c r="J126">
        <v>1</v>
      </c>
      <c r="K126" t="s">
        <v>8935</v>
      </c>
    </row>
    <row r="127" spans="1:11" x14ac:dyDescent="0.25">
      <c r="A127" t="s">
        <v>511</v>
      </c>
      <c r="B127" t="s">
        <v>312</v>
      </c>
      <c r="C127" t="s">
        <v>512</v>
      </c>
      <c r="D127" t="s">
        <v>513</v>
      </c>
      <c r="E127" t="s">
        <v>14</v>
      </c>
      <c r="F127" t="s">
        <v>15</v>
      </c>
      <c r="G127">
        <v>28217</v>
      </c>
      <c r="H127" t="s">
        <v>21</v>
      </c>
      <c r="I127">
        <v>85</v>
      </c>
      <c r="J127">
        <v>1</v>
      </c>
      <c r="K127" t="s">
        <v>8925</v>
      </c>
    </row>
    <row r="128" spans="1:11" x14ac:dyDescent="0.25">
      <c r="A128" t="s">
        <v>514</v>
      </c>
      <c r="B128" t="s">
        <v>515</v>
      </c>
      <c r="C128" t="s">
        <v>516</v>
      </c>
      <c r="D128" t="s">
        <v>517</v>
      </c>
      <c r="E128" t="s">
        <v>14</v>
      </c>
      <c r="F128" t="s">
        <v>15</v>
      </c>
      <c r="G128">
        <v>28273</v>
      </c>
      <c r="H128" t="s">
        <v>21</v>
      </c>
      <c r="I128">
        <v>84</v>
      </c>
      <c r="J128">
        <v>0</v>
      </c>
      <c r="K128" t="s">
        <v>8935</v>
      </c>
    </row>
    <row r="129" spans="1:11" x14ac:dyDescent="0.25">
      <c r="A129" t="s">
        <v>518</v>
      </c>
      <c r="B129" t="s">
        <v>519</v>
      </c>
      <c r="C129" t="s">
        <v>236</v>
      </c>
      <c r="D129" t="s">
        <v>520</v>
      </c>
      <c r="E129" t="s">
        <v>14</v>
      </c>
      <c r="F129" t="s">
        <v>15</v>
      </c>
      <c r="G129">
        <v>28202</v>
      </c>
      <c r="H129" t="s">
        <v>26</v>
      </c>
      <c r="I129">
        <v>76</v>
      </c>
      <c r="J129">
        <v>1</v>
      </c>
      <c r="K129" t="s">
        <v>8935</v>
      </c>
    </row>
    <row r="130" spans="1:11" x14ac:dyDescent="0.25">
      <c r="A130" t="s">
        <v>521</v>
      </c>
      <c r="B130" t="s">
        <v>522</v>
      </c>
      <c r="C130" t="s">
        <v>523</v>
      </c>
      <c r="D130" t="s">
        <v>524</v>
      </c>
      <c r="E130" t="s">
        <v>14</v>
      </c>
      <c r="F130" t="s">
        <v>15</v>
      </c>
      <c r="G130">
        <v>28263</v>
      </c>
      <c r="H130" t="s">
        <v>21</v>
      </c>
      <c r="I130">
        <v>74</v>
      </c>
      <c r="J130">
        <v>1</v>
      </c>
      <c r="K130" t="s">
        <v>8926</v>
      </c>
    </row>
    <row r="131" spans="1:11" x14ac:dyDescent="0.25">
      <c r="A131" t="s">
        <v>525</v>
      </c>
      <c r="B131" t="s">
        <v>526</v>
      </c>
      <c r="C131" t="s">
        <v>527</v>
      </c>
      <c r="D131" t="s">
        <v>528</v>
      </c>
      <c r="E131" t="s">
        <v>14</v>
      </c>
      <c r="F131" t="s">
        <v>15</v>
      </c>
      <c r="G131">
        <v>28202</v>
      </c>
      <c r="H131" t="s">
        <v>39</v>
      </c>
      <c r="I131">
        <v>88</v>
      </c>
      <c r="J131">
        <v>1</v>
      </c>
      <c r="K131" t="s">
        <v>8935</v>
      </c>
    </row>
    <row r="132" spans="1:11" x14ac:dyDescent="0.25">
      <c r="A132" t="s">
        <v>529</v>
      </c>
      <c r="B132" t="s">
        <v>530</v>
      </c>
      <c r="C132" t="s">
        <v>531</v>
      </c>
      <c r="D132" t="s">
        <v>532</v>
      </c>
      <c r="E132" t="s">
        <v>14</v>
      </c>
      <c r="F132" t="s">
        <v>15</v>
      </c>
      <c r="G132">
        <v>28205</v>
      </c>
      <c r="H132" t="s">
        <v>16</v>
      </c>
      <c r="I132">
        <v>39</v>
      </c>
      <c r="J132">
        <v>1</v>
      </c>
      <c r="K132" t="s">
        <v>8923</v>
      </c>
    </row>
    <row r="133" spans="1:11" x14ac:dyDescent="0.25">
      <c r="A133" t="s">
        <v>533</v>
      </c>
      <c r="B133" t="s">
        <v>279</v>
      </c>
      <c r="C133" t="s">
        <v>534</v>
      </c>
      <c r="D133" t="s">
        <v>535</v>
      </c>
      <c r="E133" t="s">
        <v>14</v>
      </c>
      <c r="F133" t="s">
        <v>15</v>
      </c>
      <c r="G133">
        <v>28213</v>
      </c>
      <c r="H133" t="s">
        <v>101</v>
      </c>
      <c r="I133">
        <v>32</v>
      </c>
      <c r="J133">
        <v>1</v>
      </c>
      <c r="K133" t="s">
        <v>8926</v>
      </c>
    </row>
    <row r="134" spans="1:11" x14ac:dyDescent="0.25">
      <c r="A134" t="s">
        <v>536</v>
      </c>
      <c r="B134" t="s">
        <v>537</v>
      </c>
      <c r="C134" t="s">
        <v>538</v>
      </c>
      <c r="D134" t="s">
        <v>539</v>
      </c>
      <c r="E134" t="s">
        <v>14</v>
      </c>
      <c r="F134" t="s">
        <v>15</v>
      </c>
      <c r="G134">
        <v>28210</v>
      </c>
      <c r="H134" t="s">
        <v>39</v>
      </c>
      <c r="I134">
        <v>30</v>
      </c>
      <c r="J134">
        <v>1</v>
      </c>
      <c r="K134" t="s">
        <v>8922</v>
      </c>
    </row>
    <row r="135" spans="1:11" x14ac:dyDescent="0.25">
      <c r="A135" t="s">
        <v>540</v>
      </c>
      <c r="B135" t="s">
        <v>541</v>
      </c>
      <c r="C135" t="s">
        <v>542</v>
      </c>
      <c r="D135" t="s">
        <v>543</v>
      </c>
      <c r="E135" t="s">
        <v>14</v>
      </c>
      <c r="F135" t="s">
        <v>15</v>
      </c>
      <c r="G135">
        <v>28205</v>
      </c>
      <c r="H135" t="s">
        <v>39</v>
      </c>
      <c r="I135">
        <v>11</v>
      </c>
      <c r="J135">
        <v>1</v>
      </c>
      <c r="K135" t="s">
        <v>8935</v>
      </c>
    </row>
    <row r="136" spans="1:11" x14ac:dyDescent="0.25">
      <c r="A136" t="s">
        <v>544</v>
      </c>
      <c r="B136" t="s">
        <v>545</v>
      </c>
      <c r="C136" t="s">
        <v>546</v>
      </c>
      <c r="D136" t="s">
        <v>547</v>
      </c>
      <c r="E136" t="s">
        <v>14</v>
      </c>
      <c r="F136" t="s">
        <v>15</v>
      </c>
      <c r="G136">
        <v>28212</v>
      </c>
      <c r="H136" t="s">
        <v>16</v>
      </c>
      <c r="I136">
        <v>30</v>
      </c>
      <c r="J136">
        <v>1</v>
      </c>
      <c r="K136" t="s">
        <v>8935</v>
      </c>
    </row>
    <row r="137" spans="1:11" x14ac:dyDescent="0.25">
      <c r="A137" t="s">
        <v>548</v>
      </c>
      <c r="B137" t="s">
        <v>549</v>
      </c>
      <c r="C137" t="s">
        <v>550</v>
      </c>
      <c r="D137" t="s">
        <v>551</v>
      </c>
      <c r="E137" t="s">
        <v>14</v>
      </c>
      <c r="F137" t="s">
        <v>15</v>
      </c>
      <c r="G137">
        <v>28212</v>
      </c>
      <c r="H137" t="s">
        <v>16</v>
      </c>
      <c r="I137">
        <v>29</v>
      </c>
      <c r="J137">
        <v>1</v>
      </c>
      <c r="K137" t="s">
        <v>8929</v>
      </c>
    </row>
    <row r="138" spans="1:11" x14ac:dyDescent="0.25">
      <c r="A138" t="s">
        <v>552</v>
      </c>
      <c r="B138" t="s">
        <v>324</v>
      </c>
      <c r="C138" t="s">
        <v>553</v>
      </c>
      <c r="D138" t="s">
        <v>554</v>
      </c>
      <c r="E138" t="s">
        <v>14</v>
      </c>
      <c r="F138" t="s">
        <v>15</v>
      </c>
      <c r="G138">
        <v>28262</v>
      </c>
      <c r="H138" t="s">
        <v>48</v>
      </c>
      <c r="I138">
        <v>44</v>
      </c>
      <c r="J138">
        <v>1</v>
      </c>
      <c r="K138" t="s">
        <v>8926</v>
      </c>
    </row>
    <row r="139" spans="1:11" x14ac:dyDescent="0.25">
      <c r="A139" t="s">
        <v>555</v>
      </c>
      <c r="B139" t="s">
        <v>556</v>
      </c>
      <c r="C139" t="s">
        <v>557</v>
      </c>
      <c r="D139" t="s">
        <v>558</v>
      </c>
      <c r="E139" t="s">
        <v>14</v>
      </c>
      <c r="F139" t="s">
        <v>15</v>
      </c>
      <c r="G139">
        <v>28208</v>
      </c>
      <c r="H139" t="s">
        <v>26</v>
      </c>
      <c r="I139">
        <v>16</v>
      </c>
      <c r="J139">
        <v>0</v>
      </c>
      <c r="K139" t="s">
        <v>8935</v>
      </c>
    </row>
    <row r="140" spans="1:11" x14ac:dyDescent="0.25">
      <c r="A140" t="s">
        <v>559</v>
      </c>
      <c r="B140" t="s">
        <v>560</v>
      </c>
      <c r="C140" t="s">
        <v>221</v>
      </c>
      <c r="D140" t="s">
        <v>561</v>
      </c>
      <c r="E140" t="s">
        <v>14</v>
      </c>
      <c r="F140" t="s">
        <v>15</v>
      </c>
      <c r="G140">
        <v>28213</v>
      </c>
      <c r="H140" t="s">
        <v>101</v>
      </c>
      <c r="I140">
        <v>10</v>
      </c>
      <c r="J140">
        <v>1</v>
      </c>
      <c r="K140" t="s">
        <v>8935</v>
      </c>
    </row>
    <row r="141" spans="1:11" x14ac:dyDescent="0.25">
      <c r="A141" t="s">
        <v>562</v>
      </c>
      <c r="B141" t="s">
        <v>563</v>
      </c>
      <c r="C141" t="s">
        <v>564</v>
      </c>
      <c r="D141" t="s">
        <v>565</v>
      </c>
      <c r="E141" t="s">
        <v>14</v>
      </c>
      <c r="F141" t="s">
        <v>15</v>
      </c>
      <c r="G141">
        <v>28202</v>
      </c>
      <c r="H141" t="s">
        <v>39</v>
      </c>
      <c r="I141">
        <v>69</v>
      </c>
      <c r="J141">
        <v>1</v>
      </c>
      <c r="K141" t="s">
        <v>8935</v>
      </c>
    </row>
    <row r="142" spans="1:11" x14ac:dyDescent="0.25">
      <c r="A142" t="s">
        <v>566</v>
      </c>
      <c r="B142" t="s">
        <v>567</v>
      </c>
      <c r="C142" t="s">
        <v>568</v>
      </c>
      <c r="D142" t="s">
        <v>569</v>
      </c>
      <c r="E142" t="s">
        <v>14</v>
      </c>
      <c r="F142" t="s">
        <v>15</v>
      </c>
      <c r="G142">
        <v>28214</v>
      </c>
      <c r="H142" t="s">
        <v>101</v>
      </c>
      <c r="I142">
        <v>18</v>
      </c>
      <c r="J142">
        <v>1</v>
      </c>
      <c r="K142" t="s">
        <v>8935</v>
      </c>
    </row>
    <row r="143" spans="1:11" x14ac:dyDescent="0.25">
      <c r="A143" t="e">
        <f>-WnpBf7pAJNNFdvhv2sE5g</f>
        <v>#NAME?</v>
      </c>
      <c r="B143" t="s">
        <v>570</v>
      </c>
      <c r="C143" t="s">
        <v>571</v>
      </c>
      <c r="D143" t="s">
        <v>572</v>
      </c>
      <c r="E143" t="s">
        <v>14</v>
      </c>
      <c r="F143" t="s">
        <v>15</v>
      </c>
      <c r="G143">
        <v>28269</v>
      </c>
      <c r="H143" t="s">
        <v>16</v>
      </c>
      <c r="I143">
        <v>54</v>
      </c>
      <c r="J143">
        <v>1</v>
      </c>
      <c r="K143" t="s">
        <v>8922</v>
      </c>
    </row>
    <row r="144" spans="1:11" x14ac:dyDescent="0.25">
      <c r="A144" t="s">
        <v>573</v>
      </c>
      <c r="B144" t="s">
        <v>574</v>
      </c>
      <c r="C144" t="s">
        <v>575</v>
      </c>
      <c r="D144" t="s">
        <v>576</v>
      </c>
      <c r="E144" t="s">
        <v>14</v>
      </c>
      <c r="F144" t="s">
        <v>15</v>
      </c>
      <c r="G144">
        <v>28217</v>
      </c>
      <c r="H144" t="s">
        <v>16</v>
      </c>
      <c r="I144">
        <v>9</v>
      </c>
      <c r="J144">
        <v>1</v>
      </c>
      <c r="K144" t="s">
        <v>8931</v>
      </c>
    </row>
    <row r="145" spans="1:11" x14ac:dyDescent="0.25">
      <c r="A145" t="s">
        <v>577</v>
      </c>
      <c r="B145" t="s">
        <v>279</v>
      </c>
      <c r="C145" t="s">
        <v>578</v>
      </c>
      <c r="D145" t="s">
        <v>579</v>
      </c>
      <c r="E145" t="s">
        <v>14</v>
      </c>
      <c r="F145" t="s">
        <v>15</v>
      </c>
      <c r="G145">
        <v>28273</v>
      </c>
      <c r="H145" t="s">
        <v>26</v>
      </c>
      <c r="I145">
        <v>16</v>
      </c>
      <c r="J145">
        <v>0</v>
      </c>
      <c r="K145" t="s">
        <v>8926</v>
      </c>
    </row>
    <row r="146" spans="1:11" x14ac:dyDescent="0.25">
      <c r="A146" t="s">
        <v>580</v>
      </c>
      <c r="B146" t="s">
        <v>581</v>
      </c>
      <c r="C146" t="s">
        <v>582</v>
      </c>
      <c r="D146" t="s">
        <v>583</v>
      </c>
      <c r="E146" t="s">
        <v>14</v>
      </c>
      <c r="F146" t="s">
        <v>15</v>
      </c>
      <c r="G146">
        <v>28203</v>
      </c>
      <c r="H146" t="s">
        <v>21</v>
      </c>
      <c r="I146">
        <v>10</v>
      </c>
      <c r="J146">
        <v>0</v>
      </c>
      <c r="K146" t="s">
        <v>8935</v>
      </c>
    </row>
    <row r="147" spans="1:11" x14ac:dyDescent="0.25">
      <c r="A147" t="s">
        <v>584</v>
      </c>
      <c r="B147" t="s">
        <v>585</v>
      </c>
      <c r="C147" t="s">
        <v>586</v>
      </c>
      <c r="D147" t="s">
        <v>587</v>
      </c>
      <c r="E147" t="s">
        <v>14</v>
      </c>
      <c r="F147" t="s">
        <v>15</v>
      </c>
      <c r="G147">
        <v>28203</v>
      </c>
      <c r="H147" t="s">
        <v>16</v>
      </c>
      <c r="I147">
        <v>941</v>
      </c>
      <c r="J147">
        <v>1</v>
      </c>
      <c r="K147" t="s">
        <v>8920</v>
      </c>
    </row>
    <row r="148" spans="1:11" x14ac:dyDescent="0.25">
      <c r="A148" t="s">
        <v>588</v>
      </c>
      <c r="B148" t="s">
        <v>589</v>
      </c>
      <c r="C148" t="s">
        <v>590</v>
      </c>
      <c r="D148" t="s">
        <v>591</v>
      </c>
      <c r="E148" t="s">
        <v>14</v>
      </c>
      <c r="F148" t="s">
        <v>15</v>
      </c>
      <c r="G148">
        <v>28277</v>
      </c>
      <c r="H148" t="s">
        <v>16</v>
      </c>
      <c r="I148">
        <v>219</v>
      </c>
      <c r="J148">
        <v>1</v>
      </c>
      <c r="K148" t="s">
        <v>8935</v>
      </c>
    </row>
    <row r="149" spans="1:11" x14ac:dyDescent="0.25">
      <c r="A149" t="s">
        <v>592</v>
      </c>
      <c r="B149" t="s">
        <v>176</v>
      </c>
      <c r="C149" t="s">
        <v>593</v>
      </c>
      <c r="D149" t="s">
        <v>594</v>
      </c>
      <c r="E149" t="s">
        <v>14</v>
      </c>
      <c r="F149" t="s">
        <v>15</v>
      </c>
      <c r="G149">
        <v>28208</v>
      </c>
      <c r="H149" t="s">
        <v>16</v>
      </c>
      <c r="I149">
        <v>89</v>
      </c>
      <c r="J149">
        <v>1</v>
      </c>
      <c r="K149" t="s">
        <v>8935</v>
      </c>
    </row>
    <row r="150" spans="1:11" x14ac:dyDescent="0.25">
      <c r="A150" t="s">
        <v>595</v>
      </c>
      <c r="B150" t="s">
        <v>596</v>
      </c>
      <c r="C150" t="s">
        <v>597</v>
      </c>
      <c r="D150" t="s">
        <v>598</v>
      </c>
      <c r="E150" t="s">
        <v>14</v>
      </c>
      <c r="F150" t="s">
        <v>15</v>
      </c>
      <c r="G150">
        <v>28277</v>
      </c>
      <c r="H150" t="s">
        <v>26</v>
      </c>
      <c r="I150">
        <v>150</v>
      </c>
      <c r="J150">
        <v>1</v>
      </c>
      <c r="K150" t="s">
        <v>8921</v>
      </c>
    </row>
    <row r="151" spans="1:11" x14ac:dyDescent="0.25">
      <c r="A151" t="s">
        <v>599</v>
      </c>
      <c r="B151" t="s">
        <v>600</v>
      </c>
      <c r="C151" t="s">
        <v>601</v>
      </c>
      <c r="D151" t="s">
        <v>302</v>
      </c>
      <c r="E151" t="s">
        <v>14</v>
      </c>
      <c r="F151" t="s">
        <v>15</v>
      </c>
      <c r="G151">
        <v>28277</v>
      </c>
      <c r="H151" t="s">
        <v>26</v>
      </c>
      <c r="I151">
        <v>54</v>
      </c>
      <c r="J151">
        <v>0</v>
      </c>
      <c r="K151" t="s">
        <v>8935</v>
      </c>
    </row>
    <row r="152" spans="1:11" x14ac:dyDescent="0.25">
      <c r="A152" t="s">
        <v>602</v>
      </c>
      <c r="B152" t="s">
        <v>603</v>
      </c>
      <c r="C152" t="s">
        <v>221</v>
      </c>
      <c r="D152" t="s">
        <v>604</v>
      </c>
      <c r="E152" t="s">
        <v>14</v>
      </c>
      <c r="F152" t="s">
        <v>15</v>
      </c>
      <c r="G152">
        <v>28211</v>
      </c>
      <c r="H152" t="s">
        <v>48</v>
      </c>
      <c r="I152">
        <v>3</v>
      </c>
      <c r="J152">
        <v>0</v>
      </c>
      <c r="K152" t="s">
        <v>8935</v>
      </c>
    </row>
    <row r="153" spans="1:11" x14ac:dyDescent="0.25">
      <c r="A153" t="s">
        <v>605</v>
      </c>
      <c r="B153" t="s">
        <v>606</v>
      </c>
      <c r="C153" t="s">
        <v>607</v>
      </c>
      <c r="D153" t="s">
        <v>608</v>
      </c>
      <c r="E153" t="s">
        <v>14</v>
      </c>
      <c r="F153" t="s">
        <v>15</v>
      </c>
      <c r="G153">
        <v>28202</v>
      </c>
      <c r="H153" t="s">
        <v>39</v>
      </c>
      <c r="I153">
        <v>5</v>
      </c>
      <c r="J153">
        <v>1</v>
      </c>
      <c r="K153" t="s">
        <v>8936</v>
      </c>
    </row>
    <row r="154" spans="1:11" x14ac:dyDescent="0.25">
      <c r="A154" t="s">
        <v>609</v>
      </c>
      <c r="B154" t="s">
        <v>610</v>
      </c>
      <c r="C154" t="s">
        <v>611</v>
      </c>
      <c r="D154" t="s">
        <v>612</v>
      </c>
      <c r="E154" t="s">
        <v>14</v>
      </c>
      <c r="F154" t="s">
        <v>15</v>
      </c>
      <c r="G154">
        <v>28211</v>
      </c>
      <c r="H154" t="s">
        <v>21</v>
      </c>
      <c r="I154">
        <v>211</v>
      </c>
      <c r="J154">
        <v>0</v>
      </c>
      <c r="K154" t="s">
        <v>8925</v>
      </c>
    </row>
    <row r="155" spans="1:11" x14ac:dyDescent="0.25">
      <c r="A155" t="s">
        <v>613</v>
      </c>
      <c r="B155" t="s">
        <v>614</v>
      </c>
      <c r="C155" t="s">
        <v>615</v>
      </c>
      <c r="D155" t="s">
        <v>616</v>
      </c>
      <c r="E155" t="s">
        <v>14</v>
      </c>
      <c r="F155" t="s">
        <v>15</v>
      </c>
      <c r="G155">
        <v>28216</v>
      </c>
      <c r="H155" t="s">
        <v>146</v>
      </c>
      <c r="I155">
        <v>3</v>
      </c>
      <c r="J155">
        <v>1</v>
      </c>
      <c r="K155" t="s">
        <v>8935</v>
      </c>
    </row>
    <row r="156" spans="1:11" x14ac:dyDescent="0.25">
      <c r="A156" t="s">
        <v>617</v>
      </c>
      <c r="B156" t="s">
        <v>139</v>
      </c>
      <c r="C156" t="s">
        <v>618</v>
      </c>
      <c r="D156" t="s">
        <v>619</v>
      </c>
      <c r="E156" t="s">
        <v>14</v>
      </c>
      <c r="F156" t="s">
        <v>15</v>
      </c>
      <c r="G156">
        <v>28202</v>
      </c>
      <c r="H156" t="s">
        <v>26</v>
      </c>
      <c r="I156">
        <v>6</v>
      </c>
      <c r="J156">
        <v>0</v>
      </c>
      <c r="K156" t="s">
        <v>8926</v>
      </c>
    </row>
    <row r="157" spans="1:11" x14ac:dyDescent="0.25">
      <c r="A157" t="s">
        <v>620</v>
      </c>
      <c r="B157" t="s">
        <v>621</v>
      </c>
      <c r="C157" t="s">
        <v>622</v>
      </c>
      <c r="D157" t="s">
        <v>623</v>
      </c>
      <c r="E157" t="s">
        <v>14</v>
      </c>
      <c r="F157" t="s">
        <v>15</v>
      </c>
      <c r="G157">
        <v>28212</v>
      </c>
      <c r="H157" t="s">
        <v>48</v>
      </c>
      <c r="I157">
        <v>9</v>
      </c>
      <c r="J157">
        <v>1</v>
      </c>
      <c r="K157" t="s">
        <v>8935</v>
      </c>
    </row>
    <row r="158" spans="1:11" x14ac:dyDescent="0.25">
      <c r="A158" t="s">
        <v>624</v>
      </c>
      <c r="B158" t="s">
        <v>625</v>
      </c>
      <c r="C158" t="s">
        <v>626</v>
      </c>
      <c r="D158" t="s">
        <v>627</v>
      </c>
      <c r="E158" t="s">
        <v>14</v>
      </c>
      <c r="F158" t="s">
        <v>15</v>
      </c>
      <c r="G158">
        <v>28204</v>
      </c>
      <c r="H158" t="s">
        <v>48</v>
      </c>
      <c r="I158">
        <v>12</v>
      </c>
      <c r="J158">
        <v>1</v>
      </c>
      <c r="K158" t="s">
        <v>8935</v>
      </c>
    </row>
    <row r="159" spans="1:11" x14ac:dyDescent="0.25">
      <c r="A159" t="s">
        <v>628</v>
      </c>
      <c r="B159" t="s">
        <v>629</v>
      </c>
      <c r="C159" t="s">
        <v>630</v>
      </c>
      <c r="D159" t="s">
        <v>631</v>
      </c>
      <c r="E159" t="s">
        <v>14</v>
      </c>
      <c r="F159" t="s">
        <v>15</v>
      </c>
      <c r="G159">
        <v>28273</v>
      </c>
      <c r="H159" t="s">
        <v>26</v>
      </c>
      <c r="I159">
        <v>234</v>
      </c>
      <c r="J159">
        <v>1</v>
      </c>
      <c r="K159" t="s">
        <v>8935</v>
      </c>
    </row>
    <row r="160" spans="1:11" x14ac:dyDescent="0.25">
      <c r="A160" t="s">
        <v>632</v>
      </c>
      <c r="B160" t="s">
        <v>633</v>
      </c>
      <c r="C160" t="s">
        <v>634</v>
      </c>
      <c r="D160" t="s">
        <v>635</v>
      </c>
      <c r="E160" t="s">
        <v>14</v>
      </c>
      <c r="F160" t="s">
        <v>15</v>
      </c>
      <c r="G160">
        <v>28277</v>
      </c>
      <c r="H160" t="s">
        <v>26</v>
      </c>
      <c r="I160">
        <v>85</v>
      </c>
      <c r="J160">
        <v>1</v>
      </c>
      <c r="K160" t="s">
        <v>8935</v>
      </c>
    </row>
    <row r="161" spans="1:11" x14ac:dyDescent="0.25">
      <c r="A161" t="s">
        <v>636</v>
      </c>
      <c r="B161" t="s">
        <v>637</v>
      </c>
      <c r="C161" t="s">
        <v>638</v>
      </c>
      <c r="D161" t="s">
        <v>639</v>
      </c>
      <c r="E161" t="s">
        <v>14</v>
      </c>
      <c r="F161" t="s">
        <v>15</v>
      </c>
      <c r="G161">
        <v>28216</v>
      </c>
      <c r="H161" t="s">
        <v>48</v>
      </c>
      <c r="I161">
        <v>117</v>
      </c>
      <c r="J161">
        <v>1</v>
      </c>
      <c r="K161" t="s">
        <v>8935</v>
      </c>
    </row>
    <row r="162" spans="1:11" x14ac:dyDescent="0.25">
      <c r="A162" t="s">
        <v>640</v>
      </c>
      <c r="B162" t="s">
        <v>641</v>
      </c>
      <c r="C162" t="s">
        <v>642</v>
      </c>
      <c r="D162" t="s">
        <v>84</v>
      </c>
      <c r="E162" t="s">
        <v>14</v>
      </c>
      <c r="F162" t="s">
        <v>15</v>
      </c>
      <c r="G162">
        <v>28208</v>
      </c>
      <c r="H162" t="s">
        <v>48</v>
      </c>
      <c r="I162">
        <v>200</v>
      </c>
      <c r="J162">
        <v>1</v>
      </c>
      <c r="K162" t="s">
        <v>8935</v>
      </c>
    </row>
    <row r="163" spans="1:11" x14ac:dyDescent="0.25">
      <c r="A163" t="s">
        <v>643</v>
      </c>
      <c r="B163" t="s">
        <v>644</v>
      </c>
      <c r="C163" t="s">
        <v>645</v>
      </c>
      <c r="D163" t="s">
        <v>646</v>
      </c>
      <c r="E163" t="s">
        <v>14</v>
      </c>
      <c r="F163" t="s">
        <v>15</v>
      </c>
      <c r="G163">
        <v>28213</v>
      </c>
      <c r="H163" t="s">
        <v>26</v>
      </c>
      <c r="I163">
        <v>86</v>
      </c>
      <c r="J163">
        <v>1</v>
      </c>
      <c r="K163" t="s">
        <v>8920</v>
      </c>
    </row>
    <row r="164" spans="1:11" x14ac:dyDescent="0.25">
      <c r="A164" t="s">
        <v>647</v>
      </c>
      <c r="B164" t="s">
        <v>648</v>
      </c>
      <c r="C164" t="s">
        <v>649</v>
      </c>
      <c r="D164" t="s">
        <v>650</v>
      </c>
      <c r="E164" t="s">
        <v>14</v>
      </c>
      <c r="F164" t="s">
        <v>15</v>
      </c>
      <c r="G164">
        <v>28269</v>
      </c>
      <c r="H164" t="s">
        <v>195</v>
      </c>
      <c r="I164">
        <v>3</v>
      </c>
      <c r="J164">
        <v>0</v>
      </c>
      <c r="K164" t="s">
        <v>8935</v>
      </c>
    </row>
    <row r="165" spans="1:11" x14ac:dyDescent="0.25">
      <c r="A165" t="s">
        <v>651</v>
      </c>
      <c r="B165" t="s">
        <v>652</v>
      </c>
      <c r="C165" t="s">
        <v>653</v>
      </c>
      <c r="D165" t="s">
        <v>84</v>
      </c>
      <c r="E165" t="s">
        <v>14</v>
      </c>
      <c r="F165" t="s">
        <v>15</v>
      </c>
      <c r="G165">
        <v>28208</v>
      </c>
      <c r="H165" t="s">
        <v>48</v>
      </c>
      <c r="I165">
        <v>71</v>
      </c>
      <c r="J165">
        <v>0</v>
      </c>
      <c r="K165" t="s">
        <v>8926</v>
      </c>
    </row>
    <row r="166" spans="1:11" x14ac:dyDescent="0.25">
      <c r="A166" t="s">
        <v>654</v>
      </c>
      <c r="B166" t="s">
        <v>556</v>
      </c>
      <c r="C166" t="s">
        <v>655</v>
      </c>
      <c r="D166" t="s">
        <v>656</v>
      </c>
      <c r="E166" t="s">
        <v>14</v>
      </c>
      <c r="F166" t="s">
        <v>15</v>
      </c>
      <c r="G166">
        <v>28217</v>
      </c>
      <c r="H166" t="s">
        <v>48</v>
      </c>
      <c r="I166">
        <v>6</v>
      </c>
      <c r="J166">
        <v>1</v>
      </c>
      <c r="K166" t="s">
        <v>8935</v>
      </c>
    </row>
    <row r="167" spans="1:11" x14ac:dyDescent="0.25">
      <c r="A167" t="s">
        <v>657</v>
      </c>
      <c r="B167" t="s">
        <v>139</v>
      </c>
      <c r="C167" t="s">
        <v>658</v>
      </c>
      <c r="D167" t="s">
        <v>659</v>
      </c>
      <c r="E167" t="s">
        <v>14</v>
      </c>
      <c r="F167" t="s">
        <v>15</v>
      </c>
      <c r="G167">
        <v>28214</v>
      </c>
      <c r="H167" t="s">
        <v>48</v>
      </c>
      <c r="I167">
        <v>13</v>
      </c>
      <c r="J167">
        <v>1</v>
      </c>
      <c r="K167" t="s">
        <v>8926</v>
      </c>
    </row>
    <row r="168" spans="1:11" x14ac:dyDescent="0.25">
      <c r="A168" t="s">
        <v>660</v>
      </c>
      <c r="B168" t="s">
        <v>661</v>
      </c>
      <c r="C168" t="s">
        <v>662</v>
      </c>
      <c r="D168" t="s">
        <v>113</v>
      </c>
      <c r="E168" t="s">
        <v>14</v>
      </c>
      <c r="F168" t="s">
        <v>15</v>
      </c>
      <c r="G168">
        <v>28202</v>
      </c>
      <c r="H168" t="s">
        <v>48</v>
      </c>
      <c r="I168">
        <v>27</v>
      </c>
      <c r="J168">
        <v>0</v>
      </c>
      <c r="K168" t="s">
        <v>8936</v>
      </c>
    </row>
    <row r="169" spans="1:11" x14ac:dyDescent="0.25">
      <c r="A169" t="s">
        <v>663</v>
      </c>
      <c r="B169" t="s">
        <v>664</v>
      </c>
      <c r="C169" t="s">
        <v>665</v>
      </c>
      <c r="D169" t="s">
        <v>666</v>
      </c>
      <c r="E169" t="s">
        <v>14</v>
      </c>
      <c r="F169" t="s">
        <v>15</v>
      </c>
      <c r="G169">
        <v>28206</v>
      </c>
      <c r="H169" t="s">
        <v>39</v>
      </c>
      <c r="I169">
        <v>16</v>
      </c>
      <c r="J169">
        <v>1</v>
      </c>
      <c r="K169" t="s">
        <v>8935</v>
      </c>
    </row>
    <row r="170" spans="1:11" x14ac:dyDescent="0.25">
      <c r="A170" t="s">
        <v>667</v>
      </c>
      <c r="B170" t="s">
        <v>668</v>
      </c>
      <c r="C170" t="s">
        <v>669</v>
      </c>
      <c r="D170" t="s">
        <v>670</v>
      </c>
      <c r="E170" t="s">
        <v>14</v>
      </c>
      <c r="F170" t="s">
        <v>15</v>
      </c>
      <c r="G170">
        <v>28203</v>
      </c>
      <c r="H170" t="s">
        <v>16</v>
      </c>
      <c r="I170">
        <v>554</v>
      </c>
      <c r="J170">
        <v>1</v>
      </c>
      <c r="K170" t="s">
        <v>8920</v>
      </c>
    </row>
    <row r="171" spans="1:11" x14ac:dyDescent="0.25">
      <c r="A171" t="s">
        <v>671</v>
      </c>
      <c r="B171" t="s">
        <v>139</v>
      </c>
      <c r="C171" t="s">
        <v>672</v>
      </c>
      <c r="D171" t="s">
        <v>673</v>
      </c>
      <c r="E171" t="s">
        <v>14</v>
      </c>
      <c r="F171" t="s">
        <v>15</v>
      </c>
      <c r="G171">
        <v>28226</v>
      </c>
      <c r="H171" t="s">
        <v>48</v>
      </c>
      <c r="I171">
        <v>9</v>
      </c>
      <c r="J171">
        <v>1</v>
      </c>
      <c r="K171" t="s">
        <v>8926</v>
      </c>
    </row>
    <row r="172" spans="1:11" x14ac:dyDescent="0.25">
      <c r="A172" t="s">
        <v>674</v>
      </c>
      <c r="B172" t="s">
        <v>675</v>
      </c>
      <c r="C172" t="s">
        <v>676</v>
      </c>
      <c r="D172" t="s">
        <v>677</v>
      </c>
      <c r="E172" t="s">
        <v>14</v>
      </c>
      <c r="F172" t="s">
        <v>15</v>
      </c>
      <c r="G172">
        <v>28214</v>
      </c>
      <c r="H172" t="s">
        <v>39</v>
      </c>
      <c r="I172">
        <v>31</v>
      </c>
      <c r="J172">
        <v>1</v>
      </c>
      <c r="K172" t="s">
        <v>8925</v>
      </c>
    </row>
    <row r="173" spans="1:11" x14ac:dyDescent="0.25">
      <c r="A173" t="s">
        <v>678</v>
      </c>
      <c r="B173" t="s">
        <v>679</v>
      </c>
      <c r="C173" t="s">
        <v>680</v>
      </c>
      <c r="D173" t="s">
        <v>681</v>
      </c>
      <c r="E173" t="s">
        <v>14</v>
      </c>
      <c r="F173" t="s">
        <v>15</v>
      </c>
      <c r="G173">
        <v>28262</v>
      </c>
      <c r="H173" t="s">
        <v>21</v>
      </c>
      <c r="I173">
        <v>44</v>
      </c>
      <c r="J173">
        <v>1</v>
      </c>
      <c r="K173" t="s">
        <v>8926</v>
      </c>
    </row>
    <row r="174" spans="1:11" x14ac:dyDescent="0.25">
      <c r="A174" t="s">
        <v>682</v>
      </c>
      <c r="B174" t="s">
        <v>683</v>
      </c>
      <c r="C174" t="s">
        <v>684</v>
      </c>
      <c r="D174" t="s">
        <v>685</v>
      </c>
      <c r="E174" t="s">
        <v>14</v>
      </c>
      <c r="F174" t="s">
        <v>15</v>
      </c>
      <c r="G174">
        <v>28211</v>
      </c>
      <c r="H174" t="s">
        <v>26</v>
      </c>
      <c r="I174">
        <v>447</v>
      </c>
      <c r="J174">
        <v>1</v>
      </c>
      <c r="K174" t="s">
        <v>8935</v>
      </c>
    </row>
    <row r="175" spans="1:11" x14ac:dyDescent="0.25">
      <c r="A175" t="s">
        <v>686</v>
      </c>
      <c r="B175" t="s">
        <v>687</v>
      </c>
      <c r="C175" t="s">
        <v>688</v>
      </c>
      <c r="D175" t="s">
        <v>689</v>
      </c>
      <c r="E175" t="s">
        <v>14</v>
      </c>
      <c r="F175" t="s">
        <v>15</v>
      </c>
      <c r="G175">
        <v>28269</v>
      </c>
      <c r="H175" t="s">
        <v>39</v>
      </c>
      <c r="I175">
        <v>13</v>
      </c>
      <c r="J175">
        <v>1</v>
      </c>
      <c r="K175" t="s">
        <v>8935</v>
      </c>
    </row>
    <row r="176" spans="1:11" x14ac:dyDescent="0.25">
      <c r="A176" t="s">
        <v>690</v>
      </c>
      <c r="B176" t="s">
        <v>691</v>
      </c>
      <c r="C176" t="s">
        <v>692</v>
      </c>
      <c r="D176" t="s">
        <v>693</v>
      </c>
      <c r="E176" t="s">
        <v>14</v>
      </c>
      <c r="F176" t="s">
        <v>15</v>
      </c>
      <c r="G176">
        <v>28202</v>
      </c>
      <c r="H176" t="s">
        <v>26</v>
      </c>
      <c r="I176">
        <v>12</v>
      </c>
      <c r="J176">
        <v>1</v>
      </c>
      <c r="K176" t="s">
        <v>8935</v>
      </c>
    </row>
    <row r="177" spans="1:11" x14ac:dyDescent="0.25">
      <c r="A177" t="s">
        <v>694</v>
      </c>
      <c r="B177" t="s">
        <v>695</v>
      </c>
      <c r="C177" t="s">
        <v>696</v>
      </c>
      <c r="D177" t="s">
        <v>697</v>
      </c>
      <c r="E177" t="s">
        <v>14</v>
      </c>
      <c r="F177" t="s">
        <v>15</v>
      </c>
      <c r="G177">
        <v>28202</v>
      </c>
      <c r="H177" t="s">
        <v>101</v>
      </c>
      <c r="I177">
        <v>5</v>
      </c>
      <c r="J177">
        <v>1</v>
      </c>
      <c r="K177" t="s">
        <v>8926</v>
      </c>
    </row>
    <row r="178" spans="1:11" x14ac:dyDescent="0.25">
      <c r="A178" t="s">
        <v>698</v>
      </c>
      <c r="B178" t="s">
        <v>699</v>
      </c>
      <c r="C178" t="s">
        <v>700</v>
      </c>
      <c r="D178" t="s">
        <v>701</v>
      </c>
      <c r="E178" t="s">
        <v>14</v>
      </c>
      <c r="F178" t="s">
        <v>15</v>
      </c>
      <c r="G178">
        <v>28273</v>
      </c>
      <c r="H178" t="s">
        <v>39</v>
      </c>
      <c r="I178">
        <v>125</v>
      </c>
      <c r="J178">
        <v>1</v>
      </c>
      <c r="K178" t="s">
        <v>8935</v>
      </c>
    </row>
    <row r="179" spans="1:11" x14ac:dyDescent="0.25">
      <c r="A179" t="s">
        <v>702</v>
      </c>
      <c r="B179" t="s">
        <v>703</v>
      </c>
      <c r="C179" t="s">
        <v>704</v>
      </c>
      <c r="D179" t="s">
        <v>705</v>
      </c>
      <c r="E179" t="s">
        <v>14</v>
      </c>
      <c r="F179" t="s">
        <v>15</v>
      </c>
      <c r="G179">
        <v>28211</v>
      </c>
      <c r="H179" t="s">
        <v>21</v>
      </c>
      <c r="I179">
        <v>81</v>
      </c>
      <c r="J179">
        <v>0</v>
      </c>
      <c r="K179" t="s">
        <v>8924</v>
      </c>
    </row>
    <row r="180" spans="1:11" x14ac:dyDescent="0.25">
      <c r="A180" t="s">
        <v>706</v>
      </c>
      <c r="B180" t="s">
        <v>139</v>
      </c>
      <c r="C180" t="s">
        <v>707</v>
      </c>
      <c r="D180" t="s">
        <v>708</v>
      </c>
      <c r="E180" t="s">
        <v>14</v>
      </c>
      <c r="F180" t="s">
        <v>15</v>
      </c>
      <c r="G180">
        <v>28270</v>
      </c>
      <c r="H180" t="s">
        <v>16</v>
      </c>
      <c r="I180">
        <v>73</v>
      </c>
      <c r="J180">
        <v>1</v>
      </c>
      <c r="K180" t="s">
        <v>8926</v>
      </c>
    </row>
    <row r="181" spans="1:11" x14ac:dyDescent="0.25">
      <c r="A181" t="s">
        <v>709</v>
      </c>
      <c r="B181" t="s">
        <v>710</v>
      </c>
      <c r="C181" t="s">
        <v>711</v>
      </c>
      <c r="D181" t="s">
        <v>712</v>
      </c>
      <c r="E181" t="s">
        <v>14</v>
      </c>
      <c r="F181" t="s">
        <v>15</v>
      </c>
      <c r="G181">
        <v>28269</v>
      </c>
      <c r="H181" t="s">
        <v>16</v>
      </c>
      <c r="I181">
        <v>18</v>
      </c>
      <c r="J181">
        <v>1</v>
      </c>
      <c r="K181" t="s">
        <v>8928</v>
      </c>
    </row>
    <row r="182" spans="1:11" x14ac:dyDescent="0.25">
      <c r="A182" t="s">
        <v>713</v>
      </c>
      <c r="B182" t="s">
        <v>714</v>
      </c>
      <c r="C182" t="s">
        <v>715</v>
      </c>
      <c r="D182" t="s">
        <v>716</v>
      </c>
      <c r="E182" t="s">
        <v>14</v>
      </c>
      <c r="F182" t="s">
        <v>15</v>
      </c>
      <c r="G182">
        <v>28277</v>
      </c>
      <c r="H182" t="s">
        <v>26</v>
      </c>
      <c r="I182">
        <v>36</v>
      </c>
      <c r="J182">
        <v>1</v>
      </c>
      <c r="K182" t="s">
        <v>8925</v>
      </c>
    </row>
    <row r="183" spans="1:11" x14ac:dyDescent="0.25">
      <c r="A183" t="s">
        <v>717</v>
      </c>
      <c r="B183" t="s">
        <v>718</v>
      </c>
      <c r="C183" t="s">
        <v>719</v>
      </c>
      <c r="D183" t="s">
        <v>720</v>
      </c>
      <c r="E183" t="s">
        <v>14</v>
      </c>
      <c r="F183" t="s">
        <v>15</v>
      </c>
      <c r="G183">
        <v>28205</v>
      </c>
      <c r="H183" t="s">
        <v>21</v>
      </c>
      <c r="I183">
        <v>27</v>
      </c>
      <c r="J183">
        <v>1</v>
      </c>
      <c r="K183" t="s">
        <v>8935</v>
      </c>
    </row>
    <row r="184" spans="1:11" x14ac:dyDescent="0.25">
      <c r="A184" t="s">
        <v>721</v>
      </c>
      <c r="B184" t="s">
        <v>722</v>
      </c>
      <c r="C184" t="s">
        <v>723</v>
      </c>
      <c r="D184" t="s">
        <v>724</v>
      </c>
      <c r="E184" t="s">
        <v>14</v>
      </c>
      <c r="F184" t="s">
        <v>15</v>
      </c>
      <c r="G184">
        <v>28213</v>
      </c>
      <c r="H184" t="s">
        <v>21</v>
      </c>
      <c r="I184">
        <v>4</v>
      </c>
      <c r="J184">
        <v>1</v>
      </c>
      <c r="K184" t="s">
        <v>8935</v>
      </c>
    </row>
    <row r="185" spans="1:11" x14ac:dyDescent="0.25">
      <c r="A185" t="s">
        <v>725</v>
      </c>
      <c r="B185" t="s">
        <v>726</v>
      </c>
      <c r="C185" t="s">
        <v>727</v>
      </c>
      <c r="D185" t="s">
        <v>728</v>
      </c>
      <c r="E185" t="s">
        <v>14</v>
      </c>
      <c r="F185" t="s">
        <v>15</v>
      </c>
      <c r="G185">
        <v>28270</v>
      </c>
      <c r="H185" t="s">
        <v>16</v>
      </c>
      <c r="I185">
        <v>14</v>
      </c>
      <c r="J185">
        <v>0</v>
      </c>
      <c r="K185" t="s">
        <v>8935</v>
      </c>
    </row>
    <row r="186" spans="1:11" x14ac:dyDescent="0.25">
      <c r="A186" t="s">
        <v>729</v>
      </c>
      <c r="B186" t="s">
        <v>730</v>
      </c>
      <c r="C186" t="s">
        <v>731</v>
      </c>
      <c r="D186" t="s">
        <v>732</v>
      </c>
      <c r="E186" t="s">
        <v>14</v>
      </c>
      <c r="F186" t="s">
        <v>15</v>
      </c>
      <c r="G186">
        <v>28202</v>
      </c>
      <c r="H186" t="s">
        <v>21</v>
      </c>
      <c r="I186">
        <v>99</v>
      </c>
      <c r="J186">
        <v>1</v>
      </c>
      <c r="K186" t="s">
        <v>8924</v>
      </c>
    </row>
    <row r="187" spans="1:11" x14ac:dyDescent="0.25">
      <c r="A187" t="s">
        <v>733</v>
      </c>
      <c r="B187" t="s">
        <v>734</v>
      </c>
      <c r="C187" t="s">
        <v>735</v>
      </c>
      <c r="D187" t="s">
        <v>736</v>
      </c>
      <c r="E187" t="s">
        <v>14</v>
      </c>
      <c r="F187" t="s">
        <v>15</v>
      </c>
      <c r="G187">
        <v>28202</v>
      </c>
      <c r="H187" t="s">
        <v>195</v>
      </c>
      <c r="I187">
        <v>8</v>
      </c>
      <c r="J187">
        <v>1</v>
      </c>
      <c r="K187" t="s">
        <v>8935</v>
      </c>
    </row>
    <row r="188" spans="1:11" x14ac:dyDescent="0.25">
      <c r="A188" t="s">
        <v>737</v>
      </c>
      <c r="B188" t="s">
        <v>316</v>
      </c>
      <c r="C188" t="s">
        <v>738</v>
      </c>
      <c r="D188" t="s">
        <v>739</v>
      </c>
      <c r="E188" t="s">
        <v>14</v>
      </c>
      <c r="F188" t="s">
        <v>15</v>
      </c>
      <c r="G188">
        <v>28226</v>
      </c>
      <c r="H188" t="s">
        <v>26</v>
      </c>
      <c r="I188">
        <v>19</v>
      </c>
      <c r="J188">
        <v>1</v>
      </c>
      <c r="K188" t="s">
        <v>8935</v>
      </c>
    </row>
    <row r="189" spans="1:11" x14ac:dyDescent="0.25">
      <c r="A189" t="s">
        <v>740</v>
      </c>
      <c r="B189" t="s">
        <v>741</v>
      </c>
      <c r="C189" t="s">
        <v>87</v>
      </c>
      <c r="D189" t="s">
        <v>742</v>
      </c>
      <c r="E189" t="s">
        <v>14</v>
      </c>
      <c r="F189" t="s">
        <v>15</v>
      </c>
      <c r="G189">
        <v>28262</v>
      </c>
      <c r="H189" t="s">
        <v>26</v>
      </c>
      <c r="I189">
        <v>6</v>
      </c>
      <c r="J189">
        <v>1</v>
      </c>
      <c r="K189" t="s">
        <v>8935</v>
      </c>
    </row>
    <row r="190" spans="1:11" x14ac:dyDescent="0.25">
      <c r="A190" t="s">
        <v>743</v>
      </c>
      <c r="B190" t="s">
        <v>744</v>
      </c>
      <c r="C190" t="s">
        <v>745</v>
      </c>
      <c r="D190" t="s">
        <v>746</v>
      </c>
      <c r="E190" t="s">
        <v>14</v>
      </c>
      <c r="F190" t="s">
        <v>15</v>
      </c>
      <c r="G190">
        <v>28205</v>
      </c>
      <c r="H190" t="s">
        <v>39</v>
      </c>
      <c r="I190">
        <v>28</v>
      </c>
      <c r="J190">
        <v>1</v>
      </c>
      <c r="K190" t="s">
        <v>8927</v>
      </c>
    </row>
    <row r="191" spans="1:11" x14ac:dyDescent="0.25">
      <c r="A191" t="s">
        <v>747</v>
      </c>
      <c r="B191" t="s">
        <v>668</v>
      </c>
      <c r="C191" t="s">
        <v>748</v>
      </c>
      <c r="D191" t="s">
        <v>749</v>
      </c>
      <c r="E191" t="s">
        <v>14</v>
      </c>
      <c r="F191" t="s">
        <v>15</v>
      </c>
      <c r="G191">
        <v>28213</v>
      </c>
      <c r="H191" t="s">
        <v>16</v>
      </c>
      <c r="I191">
        <v>30</v>
      </c>
      <c r="J191">
        <v>1</v>
      </c>
      <c r="K191" t="s">
        <v>8920</v>
      </c>
    </row>
    <row r="192" spans="1:11" x14ac:dyDescent="0.25">
      <c r="A192" t="s">
        <v>750</v>
      </c>
      <c r="B192" t="s">
        <v>751</v>
      </c>
      <c r="C192" t="s">
        <v>752</v>
      </c>
      <c r="D192" t="s">
        <v>753</v>
      </c>
      <c r="E192" t="s">
        <v>14</v>
      </c>
      <c r="F192" t="s">
        <v>15</v>
      </c>
      <c r="G192">
        <v>28204</v>
      </c>
      <c r="H192" t="s">
        <v>16</v>
      </c>
      <c r="I192">
        <v>194</v>
      </c>
      <c r="J192">
        <v>1</v>
      </c>
      <c r="K192" t="s">
        <v>8931</v>
      </c>
    </row>
    <row r="193" spans="1:11" x14ac:dyDescent="0.25">
      <c r="A193" t="s">
        <v>754</v>
      </c>
      <c r="B193" t="s">
        <v>556</v>
      </c>
      <c r="C193" t="s">
        <v>755</v>
      </c>
      <c r="D193" t="s">
        <v>756</v>
      </c>
      <c r="E193" t="s">
        <v>14</v>
      </c>
      <c r="F193" t="s">
        <v>15</v>
      </c>
      <c r="G193">
        <v>28208</v>
      </c>
      <c r="H193" t="s">
        <v>48</v>
      </c>
      <c r="I193">
        <v>8</v>
      </c>
      <c r="J193">
        <v>1</v>
      </c>
      <c r="K193" t="s">
        <v>8935</v>
      </c>
    </row>
    <row r="194" spans="1:11" x14ac:dyDescent="0.25">
      <c r="A194" t="s">
        <v>757</v>
      </c>
      <c r="B194" t="s">
        <v>691</v>
      </c>
      <c r="C194" t="s">
        <v>758</v>
      </c>
      <c r="D194" t="s">
        <v>84</v>
      </c>
      <c r="E194" t="s">
        <v>14</v>
      </c>
      <c r="F194" t="s">
        <v>15</v>
      </c>
      <c r="G194">
        <v>28208</v>
      </c>
      <c r="H194" t="s">
        <v>21</v>
      </c>
      <c r="I194">
        <v>36</v>
      </c>
      <c r="J194">
        <v>1</v>
      </c>
      <c r="K194" t="s">
        <v>8935</v>
      </c>
    </row>
    <row r="195" spans="1:11" x14ac:dyDescent="0.25">
      <c r="A195" t="s">
        <v>759</v>
      </c>
      <c r="B195" t="s">
        <v>760</v>
      </c>
      <c r="C195" t="s">
        <v>622</v>
      </c>
      <c r="D195" t="s">
        <v>761</v>
      </c>
      <c r="E195" t="s">
        <v>14</v>
      </c>
      <c r="F195" t="s">
        <v>15</v>
      </c>
      <c r="G195">
        <v>28227</v>
      </c>
      <c r="H195" t="s">
        <v>101</v>
      </c>
      <c r="I195">
        <v>27</v>
      </c>
      <c r="J195">
        <v>1</v>
      </c>
      <c r="K195" t="s">
        <v>8935</v>
      </c>
    </row>
    <row r="196" spans="1:11" x14ac:dyDescent="0.25">
      <c r="A196" t="s">
        <v>762</v>
      </c>
      <c r="B196" t="s">
        <v>763</v>
      </c>
      <c r="C196" t="s">
        <v>764</v>
      </c>
      <c r="D196" t="s">
        <v>765</v>
      </c>
      <c r="E196" t="s">
        <v>14</v>
      </c>
      <c r="F196" t="s">
        <v>15</v>
      </c>
      <c r="G196">
        <v>28270</v>
      </c>
      <c r="H196" t="s">
        <v>16</v>
      </c>
      <c r="I196">
        <v>4</v>
      </c>
      <c r="J196">
        <v>0</v>
      </c>
      <c r="K196" t="s">
        <v>8935</v>
      </c>
    </row>
    <row r="197" spans="1:11" x14ac:dyDescent="0.25">
      <c r="A197" t="s">
        <v>766</v>
      </c>
      <c r="B197" t="s">
        <v>767</v>
      </c>
      <c r="C197" t="s">
        <v>193</v>
      </c>
      <c r="D197" t="s">
        <v>768</v>
      </c>
      <c r="E197" t="s">
        <v>14</v>
      </c>
      <c r="F197" t="s">
        <v>15</v>
      </c>
      <c r="G197">
        <v>28273</v>
      </c>
      <c r="H197" t="s">
        <v>101</v>
      </c>
      <c r="I197">
        <v>20</v>
      </c>
      <c r="J197">
        <v>1</v>
      </c>
      <c r="K197" t="s">
        <v>8935</v>
      </c>
    </row>
    <row r="198" spans="1:11" x14ac:dyDescent="0.25">
      <c r="A198" t="s">
        <v>769</v>
      </c>
      <c r="B198" t="s">
        <v>770</v>
      </c>
      <c r="C198" t="s">
        <v>771</v>
      </c>
      <c r="D198" t="s">
        <v>772</v>
      </c>
      <c r="E198" t="s">
        <v>14</v>
      </c>
      <c r="F198" t="s">
        <v>15</v>
      </c>
      <c r="G198">
        <v>28262</v>
      </c>
      <c r="H198" t="s">
        <v>26</v>
      </c>
      <c r="I198">
        <v>4</v>
      </c>
      <c r="J198">
        <v>0</v>
      </c>
      <c r="K198" t="s">
        <v>8935</v>
      </c>
    </row>
    <row r="199" spans="1:11" x14ac:dyDescent="0.25">
      <c r="A199" t="s">
        <v>773</v>
      </c>
      <c r="B199" t="s">
        <v>774</v>
      </c>
      <c r="C199" t="s">
        <v>467</v>
      </c>
      <c r="D199" t="s">
        <v>775</v>
      </c>
      <c r="E199" t="s">
        <v>14</v>
      </c>
      <c r="F199" t="s">
        <v>15</v>
      </c>
      <c r="G199">
        <v>28210</v>
      </c>
      <c r="H199" t="s">
        <v>48</v>
      </c>
      <c r="I199">
        <v>25</v>
      </c>
      <c r="J199">
        <v>1</v>
      </c>
      <c r="K199" t="s">
        <v>8935</v>
      </c>
    </row>
    <row r="200" spans="1:11" x14ac:dyDescent="0.25">
      <c r="A200" t="s">
        <v>776</v>
      </c>
      <c r="B200" t="s">
        <v>777</v>
      </c>
      <c r="C200" t="s">
        <v>778</v>
      </c>
      <c r="D200" t="s">
        <v>779</v>
      </c>
      <c r="E200" t="s">
        <v>14</v>
      </c>
      <c r="F200" t="s">
        <v>15</v>
      </c>
      <c r="G200">
        <v>28217</v>
      </c>
      <c r="H200" t="s">
        <v>21</v>
      </c>
      <c r="I200">
        <v>3</v>
      </c>
      <c r="J200">
        <v>1</v>
      </c>
      <c r="K200" t="s">
        <v>8927</v>
      </c>
    </row>
    <row r="201" spans="1:11" x14ac:dyDescent="0.25">
      <c r="A201" t="s">
        <v>780</v>
      </c>
      <c r="B201" t="s">
        <v>781</v>
      </c>
      <c r="C201" t="s">
        <v>782</v>
      </c>
      <c r="D201" t="s">
        <v>783</v>
      </c>
      <c r="E201" t="s">
        <v>14</v>
      </c>
      <c r="F201" t="s">
        <v>15</v>
      </c>
      <c r="G201">
        <v>28202</v>
      </c>
      <c r="H201" t="s">
        <v>16</v>
      </c>
      <c r="I201">
        <v>104</v>
      </c>
      <c r="J201">
        <v>1</v>
      </c>
      <c r="K201" t="s">
        <v>8935</v>
      </c>
    </row>
    <row r="202" spans="1:11" x14ac:dyDescent="0.25">
      <c r="A202" t="s">
        <v>784</v>
      </c>
      <c r="B202" t="s">
        <v>785</v>
      </c>
      <c r="C202" t="s">
        <v>786</v>
      </c>
      <c r="D202" t="s">
        <v>787</v>
      </c>
      <c r="E202" t="s">
        <v>14</v>
      </c>
      <c r="F202" t="s">
        <v>15</v>
      </c>
      <c r="G202">
        <v>28203</v>
      </c>
      <c r="H202" t="s">
        <v>16</v>
      </c>
      <c r="I202">
        <v>78</v>
      </c>
      <c r="J202">
        <v>1</v>
      </c>
      <c r="K202" t="s">
        <v>8935</v>
      </c>
    </row>
    <row r="203" spans="1:11" x14ac:dyDescent="0.25">
      <c r="A203" t="s">
        <v>788</v>
      </c>
      <c r="B203" t="s">
        <v>789</v>
      </c>
      <c r="C203" t="s">
        <v>790</v>
      </c>
      <c r="E203" t="s">
        <v>14</v>
      </c>
      <c r="F203" t="s">
        <v>15</v>
      </c>
      <c r="G203">
        <v>28211</v>
      </c>
      <c r="H203" t="s">
        <v>39</v>
      </c>
      <c r="I203">
        <v>53</v>
      </c>
      <c r="J203">
        <v>1</v>
      </c>
      <c r="K203" t="s">
        <v>8927</v>
      </c>
    </row>
    <row r="204" spans="1:11" x14ac:dyDescent="0.25">
      <c r="A204" t="s">
        <v>791</v>
      </c>
      <c r="B204" t="s">
        <v>792</v>
      </c>
      <c r="C204" t="s">
        <v>793</v>
      </c>
      <c r="D204" t="s">
        <v>794</v>
      </c>
      <c r="E204" t="s">
        <v>14</v>
      </c>
      <c r="F204" t="s">
        <v>15</v>
      </c>
      <c r="G204">
        <v>28203</v>
      </c>
      <c r="H204" t="s">
        <v>39</v>
      </c>
      <c r="I204">
        <v>322</v>
      </c>
      <c r="J204">
        <v>1</v>
      </c>
      <c r="K204" t="s">
        <v>8935</v>
      </c>
    </row>
    <row r="205" spans="1:11" x14ac:dyDescent="0.25">
      <c r="A205" t="s">
        <v>795</v>
      </c>
      <c r="B205" t="s">
        <v>796</v>
      </c>
      <c r="C205" t="s">
        <v>797</v>
      </c>
      <c r="D205" t="s">
        <v>798</v>
      </c>
      <c r="E205" t="s">
        <v>14</v>
      </c>
      <c r="F205" t="s">
        <v>15</v>
      </c>
      <c r="G205">
        <v>28211</v>
      </c>
      <c r="H205" t="s">
        <v>21</v>
      </c>
      <c r="I205">
        <v>62</v>
      </c>
      <c r="J205">
        <v>1</v>
      </c>
      <c r="K205" t="s">
        <v>8925</v>
      </c>
    </row>
    <row r="206" spans="1:11" x14ac:dyDescent="0.25">
      <c r="A206" t="s">
        <v>799</v>
      </c>
      <c r="B206" t="s">
        <v>800</v>
      </c>
      <c r="C206" t="s">
        <v>280</v>
      </c>
      <c r="D206" t="s">
        <v>801</v>
      </c>
      <c r="E206" t="s">
        <v>14</v>
      </c>
      <c r="F206" t="s">
        <v>15</v>
      </c>
      <c r="G206">
        <v>28217</v>
      </c>
      <c r="H206" t="s">
        <v>26</v>
      </c>
      <c r="I206">
        <v>6</v>
      </c>
      <c r="J206">
        <v>0</v>
      </c>
      <c r="K206" t="s">
        <v>8926</v>
      </c>
    </row>
    <row r="207" spans="1:11" x14ac:dyDescent="0.25">
      <c r="A207" t="s">
        <v>802</v>
      </c>
      <c r="B207" t="s">
        <v>803</v>
      </c>
      <c r="C207" t="s">
        <v>804</v>
      </c>
      <c r="D207" t="s">
        <v>805</v>
      </c>
      <c r="E207" t="s">
        <v>14</v>
      </c>
      <c r="F207" t="s">
        <v>15</v>
      </c>
      <c r="G207">
        <v>28217</v>
      </c>
      <c r="H207" t="s">
        <v>16</v>
      </c>
      <c r="I207">
        <v>5</v>
      </c>
      <c r="J207">
        <v>1</v>
      </c>
      <c r="K207" t="s">
        <v>8935</v>
      </c>
    </row>
    <row r="208" spans="1:11" x14ac:dyDescent="0.25">
      <c r="A208" t="s">
        <v>806</v>
      </c>
      <c r="B208" t="s">
        <v>807</v>
      </c>
      <c r="C208" t="s">
        <v>808</v>
      </c>
      <c r="D208" t="s">
        <v>809</v>
      </c>
      <c r="E208" t="s">
        <v>14</v>
      </c>
      <c r="F208" t="s">
        <v>15</v>
      </c>
      <c r="G208">
        <v>28217</v>
      </c>
      <c r="H208" t="s">
        <v>16</v>
      </c>
      <c r="I208">
        <v>234</v>
      </c>
      <c r="J208">
        <v>1</v>
      </c>
      <c r="K208" t="s">
        <v>8936</v>
      </c>
    </row>
    <row r="209" spans="1:11" x14ac:dyDescent="0.25">
      <c r="A209" t="s">
        <v>810</v>
      </c>
      <c r="B209" t="s">
        <v>811</v>
      </c>
      <c r="C209" t="s">
        <v>812</v>
      </c>
      <c r="D209" t="s">
        <v>813</v>
      </c>
      <c r="E209" t="s">
        <v>14</v>
      </c>
      <c r="F209" t="s">
        <v>15</v>
      </c>
      <c r="G209">
        <v>28205</v>
      </c>
      <c r="H209" t="s">
        <v>16</v>
      </c>
      <c r="I209">
        <v>34</v>
      </c>
      <c r="J209">
        <v>1</v>
      </c>
      <c r="K209" t="s">
        <v>8925</v>
      </c>
    </row>
    <row r="210" spans="1:11" x14ac:dyDescent="0.25">
      <c r="A210" t="s">
        <v>814</v>
      </c>
      <c r="B210" t="s">
        <v>316</v>
      </c>
      <c r="C210" t="s">
        <v>815</v>
      </c>
      <c r="D210" t="s">
        <v>816</v>
      </c>
      <c r="E210" t="s">
        <v>14</v>
      </c>
      <c r="F210" t="s">
        <v>15</v>
      </c>
      <c r="G210">
        <v>28269</v>
      </c>
      <c r="H210" t="s">
        <v>16</v>
      </c>
      <c r="I210">
        <v>6</v>
      </c>
      <c r="J210">
        <v>0</v>
      </c>
      <c r="K210" t="s">
        <v>8935</v>
      </c>
    </row>
    <row r="211" spans="1:11" x14ac:dyDescent="0.25">
      <c r="A211" t="s">
        <v>817</v>
      </c>
      <c r="B211" t="s">
        <v>139</v>
      </c>
      <c r="C211" t="s">
        <v>818</v>
      </c>
      <c r="D211" t="s">
        <v>819</v>
      </c>
      <c r="E211" t="s">
        <v>14</v>
      </c>
      <c r="F211" t="s">
        <v>15</v>
      </c>
      <c r="G211">
        <v>28215</v>
      </c>
      <c r="H211" t="s">
        <v>21</v>
      </c>
      <c r="I211">
        <v>4</v>
      </c>
      <c r="J211">
        <v>1</v>
      </c>
      <c r="K211" t="s">
        <v>8926</v>
      </c>
    </row>
    <row r="212" spans="1:11" x14ac:dyDescent="0.25">
      <c r="A212" t="s">
        <v>820</v>
      </c>
      <c r="B212" t="s">
        <v>821</v>
      </c>
      <c r="C212" t="s">
        <v>822</v>
      </c>
      <c r="D212" t="s">
        <v>823</v>
      </c>
      <c r="E212" t="s">
        <v>14</v>
      </c>
      <c r="F212" t="s">
        <v>15</v>
      </c>
      <c r="G212">
        <v>28208</v>
      </c>
      <c r="H212" t="s">
        <v>39</v>
      </c>
      <c r="I212">
        <v>14</v>
      </c>
      <c r="J212">
        <v>1</v>
      </c>
      <c r="K212" t="s">
        <v>8935</v>
      </c>
    </row>
    <row r="213" spans="1:11" x14ac:dyDescent="0.25">
      <c r="A213" t="s">
        <v>824</v>
      </c>
      <c r="B213" t="s">
        <v>825</v>
      </c>
      <c r="C213" t="s">
        <v>735</v>
      </c>
      <c r="D213" t="s">
        <v>826</v>
      </c>
      <c r="E213" t="s">
        <v>14</v>
      </c>
      <c r="F213" t="s">
        <v>15</v>
      </c>
      <c r="G213">
        <v>28273</v>
      </c>
      <c r="H213" t="s">
        <v>48</v>
      </c>
      <c r="I213">
        <v>62</v>
      </c>
      <c r="J213">
        <v>1</v>
      </c>
      <c r="K213" t="s">
        <v>8935</v>
      </c>
    </row>
    <row r="214" spans="1:11" x14ac:dyDescent="0.25">
      <c r="A214" t="s">
        <v>827</v>
      </c>
      <c r="B214" t="s">
        <v>828</v>
      </c>
      <c r="C214" t="s">
        <v>829</v>
      </c>
      <c r="D214" t="s">
        <v>830</v>
      </c>
      <c r="E214" t="s">
        <v>14</v>
      </c>
      <c r="F214" t="s">
        <v>15</v>
      </c>
      <c r="G214">
        <v>28208</v>
      </c>
      <c r="H214" t="s">
        <v>39</v>
      </c>
      <c r="I214">
        <v>124</v>
      </c>
      <c r="J214">
        <v>1</v>
      </c>
      <c r="K214" t="s">
        <v>8935</v>
      </c>
    </row>
    <row r="215" spans="1:11" x14ac:dyDescent="0.25">
      <c r="A215" t="s">
        <v>831</v>
      </c>
      <c r="B215" t="s">
        <v>832</v>
      </c>
      <c r="C215" t="s">
        <v>833</v>
      </c>
      <c r="D215" t="s">
        <v>834</v>
      </c>
      <c r="E215" t="s">
        <v>14</v>
      </c>
      <c r="F215" t="s">
        <v>15</v>
      </c>
      <c r="G215">
        <v>28277</v>
      </c>
      <c r="H215" t="s">
        <v>21</v>
      </c>
      <c r="I215">
        <v>125</v>
      </c>
      <c r="J215">
        <v>0</v>
      </c>
      <c r="K215" t="s">
        <v>8926</v>
      </c>
    </row>
    <row r="216" spans="1:11" x14ac:dyDescent="0.25">
      <c r="A216" t="s">
        <v>835</v>
      </c>
      <c r="B216" t="s">
        <v>836</v>
      </c>
      <c r="C216" t="s">
        <v>837</v>
      </c>
      <c r="D216" t="s">
        <v>838</v>
      </c>
      <c r="E216" t="s">
        <v>14</v>
      </c>
      <c r="F216" t="s">
        <v>15</v>
      </c>
      <c r="G216">
        <v>28270</v>
      </c>
      <c r="H216" t="s">
        <v>21</v>
      </c>
      <c r="I216">
        <v>78</v>
      </c>
      <c r="J216">
        <v>1</v>
      </c>
      <c r="K216" t="s">
        <v>8935</v>
      </c>
    </row>
    <row r="217" spans="1:11" x14ac:dyDescent="0.25">
      <c r="A217" t="s">
        <v>839</v>
      </c>
      <c r="B217" t="s">
        <v>840</v>
      </c>
      <c r="C217" t="s">
        <v>841</v>
      </c>
      <c r="D217" t="s">
        <v>842</v>
      </c>
      <c r="E217" t="s">
        <v>14</v>
      </c>
      <c r="F217" t="s">
        <v>15</v>
      </c>
      <c r="G217">
        <v>28202</v>
      </c>
      <c r="H217" t="s">
        <v>26</v>
      </c>
      <c r="I217">
        <v>14</v>
      </c>
      <c r="J217">
        <v>0</v>
      </c>
      <c r="K217" t="s">
        <v>8935</v>
      </c>
    </row>
    <row r="218" spans="1:11" x14ac:dyDescent="0.25">
      <c r="A218" t="s">
        <v>843</v>
      </c>
      <c r="B218" t="s">
        <v>844</v>
      </c>
      <c r="C218" t="s">
        <v>845</v>
      </c>
      <c r="D218" t="s">
        <v>846</v>
      </c>
      <c r="E218" t="s">
        <v>14</v>
      </c>
      <c r="F218" t="s">
        <v>15</v>
      </c>
      <c r="G218">
        <v>28202</v>
      </c>
      <c r="H218" t="s">
        <v>48</v>
      </c>
      <c r="I218">
        <v>9</v>
      </c>
      <c r="J218">
        <v>0</v>
      </c>
      <c r="K218" t="s">
        <v>8935</v>
      </c>
    </row>
    <row r="219" spans="1:11" x14ac:dyDescent="0.25">
      <c r="A219" t="s">
        <v>847</v>
      </c>
      <c r="B219" t="s">
        <v>848</v>
      </c>
      <c r="C219" t="s">
        <v>849</v>
      </c>
      <c r="D219" t="s">
        <v>850</v>
      </c>
      <c r="E219" t="s">
        <v>14</v>
      </c>
      <c r="F219" t="s">
        <v>15</v>
      </c>
      <c r="G219">
        <v>28202</v>
      </c>
      <c r="H219" t="s">
        <v>16</v>
      </c>
      <c r="I219">
        <v>37</v>
      </c>
      <c r="J219">
        <v>0</v>
      </c>
      <c r="K219" t="s">
        <v>8935</v>
      </c>
    </row>
    <row r="220" spans="1:11" x14ac:dyDescent="0.25">
      <c r="A220" t="s">
        <v>851</v>
      </c>
      <c r="B220" t="s">
        <v>691</v>
      </c>
      <c r="C220" t="s">
        <v>852</v>
      </c>
      <c r="D220" t="s">
        <v>853</v>
      </c>
      <c r="E220" t="s">
        <v>14</v>
      </c>
      <c r="F220" t="s">
        <v>15</v>
      </c>
      <c r="G220">
        <v>28202</v>
      </c>
      <c r="H220" t="s">
        <v>26</v>
      </c>
      <c r="I220">
        <v>3</v>
      </c>
      <c r="J220">
        <v>1</v>
      </c>
      <c r="K220" t="s">
        <v>8935</v>
      </c>
    </row>
    <row r="221" spans="1:11" x14ac:dyDescent="0.25">
      <c r="A221" t="s">
        <v>854</v>
      </c>
      <c r="B221" t="s">
        <v>855</v>
      </c>
      <c r="C221" t="s">
        <v>856</v>
      </c>
      <c r="D221" t="s">
        <v>857</v>
      </c>
      <c r="E221" t="s">
        <v>14</v>
      </c>
      <c r="F221" t="s">
        <v>15</v>
      </c>
      <c r="G221">
        <v>28278</v>
      </c>
      <c r="H221" t="s">
        <v>21</v>
      </c>
      <c r="I221">
        <v>6</v>
      </c>
      <c r="J221">
        <v>1</v>
      </c>
      <c r="K221" t="s">
        <v>8936</v>
      </c>
    </row>
    <row r="222" spans="1:11" x14ac:dyDescent="0.25">
      <c r="A222" t="s">
        <v>858</v>
      </c>
      <c r="B222" t="s">
        <v>859</v>
      </c>
      <c r="C222" t="s">
        <v>860</v>
      </c>
      <c r="D222" t="s">
        <v>861</v>
      </c>
      <c r="E222" t="s">
        <v>14</v>
      </c>
      <c r="F222" t="s">
        <v>15</v>
      </c>
      <c r="G222">
        <v>28262</v>
      </c>
      <c r="H222" t="s">
        <v>146</v>
      </c>
      <c r="I222">
        <v>10</v>
      </c>
      <c r="J222">
        <v>1</v>
      </c>
      <c r="K222" t="s">
        <v>8920</v>
      </c>
    </row>
    <row r="223" spans="1:11" x14ac:dyDescent="0.25">
      <c r="A223" t="s">
        <v>862</v>
      </c>
      <c r="B223" t="s">
        <v>863</v>
      </c>
      <c r="C223" t="s">
        <v>864</v>
      </c>
      <c r="D223" t="s">
        <v>865</v>
      </c>
      <c r="E223" t="s">
        <v>14</v>
      </c>
      <c r="F223" t="s">
        <v>15</v>
      </c>
      <c r="G223">
        <v>28278</v>
      </c>
      <c r="H223" t="s">
        <v>16</v>
      </c>
      <c r="I223">
        <v>112</v>
      </c>
      <c r="J223">
        <v>1</v>
      </c>
      <c r="K223" t="s">
        <v>8935</v>
      </c>
    </row>
    <row r="224" spans="1:11" x14ac:dyDescent="0.25">
      <c r="A224" t="s">
        <v>866</v>
      </c>
      <c r="B224" t="s">
        <v>867</v>
      </c>
      <c r="C224" t="s">
        <v>868</v>
      </c>
      <c r="D224" t="s">
        <v>869</v>
      </c>
      <c r="E224" t="s">
        <v>14</v>
      </c>
      <c r="F224" t="s">
        <v>15</v>
      </c>
      <c r="G224">
        <v>28262</v>
      </c>
      <c r="H224" t="s">
        <v>26</v>
      </c>
      <c r="I224">
        <v>60</v>
      </c>
      <c r="J224">
        <v>0</v>
      </c>
      <c r="K224" t="s">
        <v>8936</v>
      </c>
    </row>
    <row r="225" spans="1:11" x14ac:dyDescent="0.25">
      <c r="A225" t="s">
        <v>870</v>
      </c>
      <c r="B225" t="s">
        <v>871</v>
      </c>
      <c r="C225" t="s">
        <v>872</v>
      </c>
      <c r="D225" t="s">
        <v>873</v>
      </c>
      <c r="E225" t="s">
        <v>14</v>
      </c>
      <c r="F225" t="s">
        <v>15</v>
      </c>
      <c r="G225">
        <v>28205</v>
      </c>
      <c r="H225" t="s">
        <v>16</v>
      </c>
      <c r="I225">
        <v>137</v>
      </c>
      <c r="J225">
        <v>0</v>
      </c>
      <c r="K225" t="s">
        <v>8924</v>
      </c>
    </row>
    <row r="226" spans="1:11" x14ac:dyDescent="0.25">
      <c r="A226" t="e">
        <f>-rdjYy7_iqDoylkUpdolDQ</f>
        <v>#NAME?</v>
      </c>
      <c r="B226" t="s">
        <v>874</v>
      </c>
      <c r="C226" t="s">
        <v>79</v>
      </c>
      <c r="D226" t="s">
        <v>875</v>
      </c>
      <c r="E226" t="s">
        <v>14</v>
      </c>
      <c r="F226" t="s">
        <v>15</v>
      </c>
      <c r="G226">
        <v>28202</v>
      </c>
      <c r="H226" t="s">
        <v>21</v>
      </c>
      <c r="I226">
        <v>19</v>
      </c>
      <c r="J226">
        <v>1</v>
      </c>
      <c r="K226" t="s">
        <v>8935</v>
      </c>
    </row>
    <row r="227" spans="1:11" x14ac:dyDescent="0.25">
      <c r="A227" t="s">
        <v>876</v>
      </c>
      <c r="B227" t="s">
        <v>877</v>
      </c>
      <c r="C227" t="s">
        <v>878</v>
      </c>
      <c r="D227" t="s">
        <v>879</v>
      </c>
      <c r="E227" t="s">
        <v>14</v>
      </c>
      <c r="F227" t="s">
        <v>15</v>
      </c>
      <c r="G227">
        <v>28277</v>
      </c>
      <c r="H227" t="s">
        <v>26</v>
      </c>
      <c r="I227">
        <v>28</v>
      </c>
      <c r="J227">
        <v>1</v>
      </c>
      <c r="K227" t="s">
        <v>8921</v>
      </c>
    </row>
    <row r="228" spans="1:11" x14ac:dyDescent="0.25">
      <c r="A228" t="e">
        <f>-LAiusd8GnWFR8atxbT-Vw</f>
        <v>#NAME?</v>
      </c>
      <c r="B228" t="s">
        <v>811</v>
      </c>
      <c r="C228" t="s">
        <v>880</v>
      </c>
      <c r="D228" t="s">
        <v>881</v>
      </c>
      <c r="E228" t="s">
        <v>14</v>
      </c>
      <c r="F228" t="s">
        <v>15</v>
      </c>
      <c r="G228">
        <v>28216</v>
      </c>
      <c r="H228" t="s">
        <v>26</v>
      </c>
      <c r="I228">
        <v>64</v>
      </c>
      <c r="J228">
        <v>1</v>
      </c>
      <c r="K228" t="s">
        <v>8925</v>
      </c>
    </row>
    <row r="229" spans="1:11" x14ac:dyDescent="0.25">
      <c r="A229" t="s">
        <v>882</v>
      </c>
      <c r="B229" t="s">
        <v>883</v>
      </c>
      <c r="C229" t="s">
        <v>884</v>
      </c>
      <c r="D229" t="s">
        <v>885</v>
      </c>
      <c r="E229" t="s">
        <v>14</v>
      </c>
      <c r="F229" t="s">
        <v>15</v>
      </c>
      <c r="G229">
        <v>28205</v>
      </c>
      <c r="H229" t="s">
        <v>16</v>
      </c>
      <c r="I229">
        <v>4</v>
      </c>
      <c r="J229">
        <v>1</v>
      </c>
      <c r="K229" t="s">
        <v>8935</v>
      </c>
    </row>
    <row r="230" spans="1:11" x14ac:dyDescent="0.25">
      <c r="A230" t="s">
        <v>886</v>
      </c>
      <c r="B230" t="s">
        <v>887</v>
      </c>
      <c r="C230" t="s">
        <v>888</v>
      </c>
      <c r="D230" t="s">
        <v>889</v>
      </c>
      <c r="E230" t="s">
        <v>14</v>
      </c>
      <c r="F230" t="s">
        <v>15</v>
      </c>
      <c r="G230">
        <v>28210</v>
      </c>
      <c r="H230" t="s">
        <v>16</v>
      </c>
      <c r="I230">
        <v>97</v>
      </c>
      <c r="J230">
        <v>0</v>
      </c>
      <c r="K230" t="s">
        <v>8926</v>
      </c>
    </row>
    <row r="231" spans="1:11" x14ac:dyDescent="0.25">
      <c r="A231" t="s">
        <v>890</v>
      </c>
      <c r="B231" t="s">
        <v>891</v>
      </c>
      <c r="C231" t="s">
        <v>892</v>
      </c>
      <c r="D231" t="s">
        <v>893</v>
      </c>
      <c r="E231" t="s">
        <v>14</v>
      </c>
      <c r="F231" t="s">
        <v>15</v>
      </c>
      <c r="G231">
        <v>28263</v>
      </c>
      <c r="H231" t="s">
        <v>21</v>
      </c>
      <c r="I231">
        <v>18</v>
      </c>
      <c r="J231">
        <v>0</v>
      </c>
      <c r="K231" t="s">
        <v>8937</v>
      </c>
    </row>
    <row r="232" spans="1:11" x14ac:dyDescent="0.25">
      <c r="A232" t="s">
        <v>894</v>
      </c>
      <c r="B232" t="s">
        <v>895</v>
      </c>
      <c r="C232" t="s">
        <v>896</v>
      </c>
      <c r="D232" t="s">
        <v>897</v>
      </c>
      <c r="E232" t="s">
        <v>14</v>
      </c>
      <c r="F232" t="s">
        <v>15</v>
      </c>
      <c r="G232">
        <v>28215</v>
      </c>
      <c r="H232" t="s">
        <v>21</v>
      </c>
      <c r="I232">
        <v>3</v>
      </c>
      <c r="J232">
        <v>1</v>
      </c>
      <c r="K232" t="s">
        <v>8935</v>
      </c>
    </row>
    <row r="233" spans="1:11" x14ac:dyDescent="0.25">
      <c r="A233" t="s">
        <v>898</v>
      </c>
      <c r="B233" t="s">
        <v>899</v>
      </c>
      <c r="C233" t="s">
        <v>321</v>
      </c>
      <c r="D233" t="s">
        <v>900</v>
      </c>
      <c r="E233" t="s">
        <v>14</v>
      </c>
      <c r="F233" t="s">
        <v>15</v>
      </c>
      <c r="G233">
        <v>28211</v>
      </c>
      <c r="H233" t="s">
        <v>26</v>
      </c>
      <c r="I233">
        <v>7</v>
      </c>
      <c r="J233">
        <v>1</v>
      </c>
      <c r="K233" t="s">
        <v>8935</v>
      </c>
    </row>
    <row r="234" spans="1:11" x14ac:dyDescent="0.25">
      <c r="A234" t="s">
        <v>901</v>
      </c>
      <c r="B234" t="s">
        <v>902</v>
      </c>
      <c r="C234" t="s">
        <v>903</v>
      </c>
      <c r="D234" t="s">
        <v>904</v>
      </c>
      <c r="E234" t="s">
        <v>14</v>
      </c>
      <c r="F234" t="s">
        <v>15</v>
      </c>
      <c r="G234">
        <v>28209</v>
      </c>
      <c r="H234" t="s">
        <v>21</v>
      </c>
      <c r="I234">
        <v>334</v>
      </c>
      <c r="J234">
        <v>1</v>
      </c>
      <c r="K234" t="s">
        <v>8935</v>
      </c>
    </row>
    <row r="235" spans="1:11" x14ac:dyDescent="0.25">
      <c r="A235" t="s">
        <v>905</v>
      </c>
      <c r="B235" t="s">
        <v>906</v>
      </c>
      <c r="C235" t="s">
        <v>907</v>
      </c>
      <c r="D235" t="s">
        <v>908</v>
      </c>
      <c r="E235" t="s">
        <v>14</v>
      </c>
      <c r="F235" t="s">
        <v>15</v>
      </c>
      <c r="G235">
        <v>28278</v>
      </c>
      <c r="H235" t="s">
        <v>26</v>
      </c>
      <c r="I235">
        <v>93</v>
      </c>
      <c r="J235">
        <v>1</v>
      </c>
      <c r="K235" t="s">
        <v>8921</v>
      </c>
    </row>
    <row r="236" spans="1:11" x14ac:dyDescent="0.25">
      <c r="A236" t="s">
        <v>909</v>
      </c>
      <c r="B236" t="s">
        <v>910</v>
      </c>
      <c r="C236" t="s">
        <v>911</v>
      </c>
      <c r="D236" t="s">
        <v>43</v>
      </c>
      <c r="E236" t="s">
        <v>14</v>
      </c>
      <c r="F236" t="s">
        <v>15</v>
      </c>
      <c r="G236">
        <v>28277</v>
      </c>
      <c r="H236" t="s">
        <v>101</v>
      </c>
      <c r="I236">
        <v>4</v>
      </c>
      <c r="J236">
        <v>0</v>
      </c>
      <c r="K236" t="s">
        <v>8935</v>
      </c>
    </row>
    <row r="237" spans="1:11" x14ac:dyDescent="0.25">
      <c r="A237" t="s">
        <v>912</v>
      </c>
      <c r="B237" t="s">
        <v>176</v>
      </c>
      <c r="C237" t="s">
        <v>913</v>
      </c>
      <c r="D237" t="s">
        <v>914</v>
      </c>
      <c r="E237" t="s">
        <v>14</v>
      </c>
      <c r="F237" t="s">
        <v>15</v>
      </c>
      <c r="G237">
        <v>28226</v>
      </c>
      <c r="H237" t="s">
        <v>26</v>
      </c>
      <c r="I237">
        <v>86</v>
      </c>
      <c r="J237">
        <v>1</v>
      </c>
      <c r="K237" t="s">
        <v>8935</v>
      </c>
    </row>
    <row r="238" spans="1:11" x14ac:dyDescent="0.25">
      <c r="A238" t="s">
        <v>915</v>
      </c>
      <c r="B238" t="s">
        <v>916</v>
      </c>
      <c r="C238" t="s">
        <v>917</v>
      </c>
      <c r="D238" t="s">
        <v>918</v>
      </c>
      <c r="E238" t="s">
        <v>14</v>
      </c>
      <c r="F238" t="s">
        <v>15</v>
      </c>
      <c r="G238">
        <v>28209</v>
      </c>
      <c r="H238" t="s">
        <v>146</v>
      </c>
      <c r="I238">
        <v>6</v>
      </c>
      <c r="J238">
        <v>0</v>
      </c>
      <c r="K238" t="s">
        <v>8935</v>
      </c>
    </row>
    <row r="239" spans="1:11" x14ac:dyDescent="0.25">
      <c r="A239" t="s">
        <v>919</v>
      </c>
      <c r="B239" t="s">
        <v>920</v>
      </c>
      <c r="C239" t="s">
        <v>921</v>
      </c>
      <c r="D239" t="s">
        <v>84</v>
      </c>
      <c r="E239" t="s">
        <v>14</v>
      </c>
      <c r="F239" t="s">
        <v>15</v>
      </c>
      <c r="G239">
        <v>28208</v>
      </c>
      <c r="H239" t="s">
        <v>48</v>
      </c>
      <c r="I239">
        <v>155</v>
      </c>
      <c r="J239">
        <v>1</v>
      </c>
      <c r="K239" t="s">
        <v>8931</v>
      </c>
    </row>
    <row r="240" spans="1:11" x14ac:dyDescent="0.25">
      <c r="A240" t="s">
        <v>922</v>
      </c>
      <c r="B240" t="s">
        <v>923</v>
      </c>
      <c r="C240" t="s">
        <v>924</v>
      </c>
      <c r="D240" t="s">
        <v>925</v>
      </c>
      <c r="E240" t="s">
        <v>14</v>
      </c>
      <c r="F240" t="s">
        <v>15</v>
      </c>
      <c r="G240">
        <v>28209</v>
      </c>
      <c r="H240" t="s">
        <v>16</v>
      </c>
      <c r="I240">
        <v>143</v>
      </c>
      <c r="J240">
        <v>1</v>
      </c>
      <c r="K240" t="s">
        <v>8935</v>
      </c>
    </row>
    <row r="241" spans="1:11" x14ac:dyDescent="0.25">
      <c r="A241" t="s">
        <v>926</v>
      </c>
      <c r="B241" t="s">
        <v>927</v>
      </c>
      <c r="C241" t="s">
        <v>928</v>
      </c>
      <c r="D241" t="s">
        <v>929</v>
      </c>
      <c r="E241" t="s">
        <v>14</v>
      </c>
      <c r="F241" t="s">
        <v>15</v>
      </c>
      <c r="G241">
        <v>28205</v>
      </c>
      <c r="H241" t="s">
        <v>39</v>
      </c>
      <c r="I241">
        <v>287</v>
      </c>
      <c r="J241">
        <v>1</v>
      </c>
      <c r="K241" t="s">
        <v>8923</v>
      </c>
    </row>
    <row r="242" spans="1:11" x14ac:dyDescent="0.25">
      <c r="A242" t="s">
        <v>930</v>
      </c>
      <c r="B242" t="s">
        <v>931</v>
      </c>
      <c r="C242" t="s">
        <v>932</v>
      </c>
      <c r="D242" t="s">
        <v>933</v>
      </c>
      <c r="E242" t="s">
        <v>14</v>
      </c>
      <c r="F242" t="s">
        <v>15</v>
      </c>
      <c r="G242">
        <v>28202</v>
      </c>
      <c r="H242" t="s">
        <v>21</v>
      </c>
      <c r="I242">
        <v>19</v>
      </c>
      <c r="J242">
        <v>0</v>
      </c>
      <c r="K242" t="s">
        <v>8923</v>
      </c>
    </row>
    <row r="243" spans="1:11" x14ac:dyDescent="0.25">
      <c r="A243" t="s">
        <v>934</v>
      </c>
      <c r="B243" t="s">
        <v>522</v>
      </c>
      <c r="C243" t="s">
        <v>935</v>
      </c>
      <c r="D243" t="s">
        <v>936</v>
      </c>
      <c r="E243" t="s">
        <v>14</v>
      </c>
      <c r="F243" t="s">
        <v>15</v>
      </c>
      <c r="G243">
        <v>28217</v>
      </c>
      <c r="H243" t="s">
        <v>101</v>
      </c>
      <c r="I243">
        <v>11</v>
      </c>
      <c r="J243">
        <v>0</v>
      </c>
      <c r="K243" t="s">
        <v>8926</v>
      </c>
    </row>
    <row r="244" spans="1:11" x14ac:dyDescent="0.25">
      <c r="A244" t="s">
        <v>937</v>
      </c>
      <c r="B244" t="s">
        <v>938</v>
      </c>
      <c r="C244" t="s">
        <v>939</v>
      </c>
      <c r="D244" t="s">
        <v>940</v>
      </c>
      <c r="E244" t="s">
        <v>14</v>
      </c>
      <c r="F244" t="s">
        <v>15</v>
      </c>
      <c r="G244">
        <v>28270</v>
      </c>
      <c r="H244" t="s">
        <v>16</v>
      </c>
      <c r="I244">
        <v>27</v>
      </c>
      <c r="J244">
        <v>1</v>
      </c>
      <c r="K244" t="s">
        <v>8935</v>
      </c>
    </row>
    <row r="245" spans="1:11" x14ac:dyDescent="0.25">
      <c r="A245" t="s">
        <v>941</v>
      </c>
      <c r="B245" t="s">
        <v>942</v>
      </c>
      <c r="C245" t="s">
        <v>943</v>
      </c>
      <c r="D245" t="s">
        <v>944</v>
      </c>
      <c r="E245" t="s">
        <v>14</v>
      </c>
      <c r="F245" t="s">
        <v>15</v>
      </c>
      <c r="G245">
        <v>28208</v>
      </c>
      <c r="H245" t="s">
        <v>16</v>
      </c>
      <c r="I245">
        <v>276</v>
      </c>
      <c r="J245">
        <v>1</v>
      </c>
      <c r="K245" t="s">
        <v>8935</v>
      </c>
    </row>
    <row r="246" spans="1:11" x14ac:dyDescent="0.25">
      <c r="A246" t="s">
        <v>945</v>
      </c>
      <c r="B246" t="s">
        <v>139</v>
      </c>
      <c r="C246" t="s">
        <v>946</v>
      </c>
      <c r="D246" t="s">
        <v>947</v>
      </c>
      <c r="E246" t="s">
        <v>14</v>
      </c>
      <c r="F246" t="s">
        <v>15</v>
      </c>
      <c r="G246">
        <v>28269</v>
      </c>
      <c r="H246" t="s">
        <v>21</v>
      </c>
      <c r="I246">
        <v>55</v>
      </c>
      <c r="J246">
        <v>1</v>
      </c>
      <c r="K246" t="s">
        <v>8926</v>
      </c>
    </row>
    <row r="247" spans="1:11" x14ac:dyDescent="0.25">
      <c r="A247" t="s">
        <v>948</v>
      </c>
      <c r="B247" t="s">
        <v>949</v>
      </c>
      <c r="C247" t="s">
        <v>950</v>
      </c>
      <c r="D247" t="s">
        <v>951</v>
      </c>
      <c r="E247" t="s">
        <v>14</v>
      </c>
      <c r="F247" t="s">
        <v>15</v>
      </c>
      <c r="G247">
        <v>28210</v>
      </c>
      <c r="H247" t="s">
        <v>16</v>
      </c>
      <c r="I247">
        <v>104</v>
      </c>
      <c r="J247">
        <v>1</v>
      </c>
      <c r="K247" t="s">
        <v>8926</v>
      </c>
    </row>
    <row r="248" spans="1:11" x14ac:dyDescent="0.25">
      <c r="A248" t="s">
        <v>952</v>
      </c>
      <c r="B248" t="s">
        <v>172</v>
      </c>
      <c r="C248" t="s">
        <v>953</v>
      </c>
      <c r="D248" t="s">
        <v>954</v>
      </c>
      <c r="E248" t="s">
        <v>14</v>
      </c>
      <c r="F248" t="s">
        <v>15</v>
      </c>
      <c r="G248">
        <v>28202</v>
      </c>
      <c r="H248" t="s">
        <v>48</v>
      </c>
      <c r="I248">
        <v>3</v>
      </c>
      <c r="J248">
        <v>0</v>
      </c>
      <c r="K248" t="s">
        <v>8927</v>
      </c>
    </row>
    <row r="249" spans="1:11" x14ac:dyDescent="0.25">
      <c r="A249" t="s">
        <v>955</v>
      </c>
      <c r="B249" t="s">
        <v>279</v>
      </c>
      <c r="C249" t="s">
        <v>956</v>
      </c>
      <c r="D249" t="s">
        <v>957</v>
      </c>
      <c r="E249" t="s">
        <v>14</v>
      </c>
      <c r="F249" t="s">
        <v>15</v>
      </c>
      <c r="G249">
        <v>28227</v>
      </c>
      <c r="H249" t="s">
        <v>26</v>
      </c>
      <c r="I249">
        <v>12</v>
      </c>
      <c r="J249">
        <v>1</v>
      </c>
      <c r="K249" t="s">
        <v>8926</v>
      </c>
    </row>
    <row r="250" spans="1:11" x14ac:dyDescent="0.25">
      <c r="A250" t="s">
        <v>958</v>
      </c>
      <c r="B250" t="s">
        <v>959</v>
      </c>
      <c r="C250" t="s">
        <v>960</v>
      </c>
      <c r="D250" t="s">
        <v>961</v>
      </c>
      <c r="E250" t="s">
        <v>14</v>
      </c>
      <c r="F250" t="s">
        <v>15</v>
      </c>
      <c r="G250">
        <v>28262</v>
      </c>
      <c r="H250" t="s">
        <v>21</v>
      </c>
      <c r="I250">
        <v>3</v>
      </c>
      <c r="J250">
        <v>1</v>
      </c>
      <c r="K250" t="s">
        <v>8936</v>
      </c>
    </row>
    <row r="251" spans="1:11" x14ac:dyDescent="0.25">
      <c r="A251" t="s">
        <v>962</v>
      </c>
      <c r="B251" t="s">
        <v>963</v>
      </c>
      <c r="C251" t="s">
        <v>964</v>
      </c>
      <c r="D251" t="s">
        <v>965</v>
      </c>
      <c r="E251" t="s">
        <v>14</v>
      </c>
      <c r="F251" t="s">
        <v>15</v>
      </c>
      <c r="G251">
        <v>28215</v>
      </c>
      <c r="H251" t="s">
        <v>21</v>
      </c>
      <c r="I251">
        <v>161</v>
      </c>
      <c r="J251">
        <v>1</v>
      </c>
      <c r="K251" t="s">
        <v>8935</v>
      </c>
    </row>
    <row r="252" spans="1:11" x14ac:dyDescent="0.25">
      <c r="A252" t="s">
        <v>966</v>
      </c>
      <c r="B252" t="s">
        <v>967</v>
      </c>
      <c r="C252" t="s">
        <v>87</v>
      </c>
      <c r="D252" t="s">
        <v>968</v>
      </c>
      <c r="E252" t="s">
        <v>14</v>
      </c>
      <c r="F252" t="s">
        <v>15</v>
      </c>
      <c r="G252">
        <v>28210</v>
      </c>
      <c r="H252" t="s">
        <v>48</v>
      </c>
      <c r="I252">
        <v>12</v>
      </c>
      <c r="J252">
        <v>1</v>
      </c>
      <c r="K252" t="s">
        <v>8935</v>
      </c>
    </row>
    <row r="253" spans="1:11" x14ac:dyDescent="0.25">
      <c r="A253" t="s">
        <v>969</v>
      </c>
      <c r="B253" t="s">
        <v>970</v>
      </c>
      <c r="C253" t="s">
        <v>971</v>
      </c>
      <c r="D253" t="s">
        <v>972</v>
      </c>
      <c r="E253" t="s">
        <v>14</v>
      </c>
      <c r="F253" t="s">
        <v>15</v>
      </c>
      <c r="G253">
        <v>28206</v>
      </c>
      <c r="H253" t="s">
        <v>21</v>
      </c>
      <c r="I253">
        <v>18</v>
      </c>
      <c r="J253">
        <v>0</v>
      </c>
      <c r="K253" t="s">
        <v>8931</v>
      </c>
    </row>
    <row r="254" spans="1:11" x14ac:dyDescent="0.25">
      <c r="A254" t="s">
        <v>973</v>
      </c>
      <c r="B254" t="s">
        <v>312</v>
      </c>
      <c r="C254" t="s">
        <v>974</v>
      </c>
      <c r="D254" t="s">
        <v>975</v>
      </c>
      <c r="E254" t="s">
        <v>14</v>
      </c>
      <c r="F254" t="s">
        <v>15</v>
      </c>
      <c r="G254">
        <v>28203</v>
      </c>
      <c r="H254" t="s">
        <v>48</v>
      </c>
      <c r="I254">
        <v>423</v>
      </c>
      <c r="J254">
        <v>1</v>
      </c>
      <c r="K254" t="s">
        <v>8925</v>
      </c>
    </row>
    <row r="255" spans="1:11" x14ac:dyDescent="0.25">
      <c r="A255" t="s">
        <v>976</v>
      </c>
      <c r="B255" t="s">
        <v>977</v>
      </c>
      <c r="C255" t="s">
        <v>978</v>
      </c>
      <c r="D255" t="s">
        <v>972</v>
      </c>
      <c r="E255" t="s">
        <v>14</v>
      </c>
      <c r="F255" t="s">
        <v>15</v>
      </c>
      <c r="G255">
        <v>28206</v>
      </c>
      <c r="H255" t="s">
        <v>21</v>
      </c>
      <c r="I255">
        <v>6</v>
      </c>
      <c r="J255">
        <v>0</v>
      </c>
      <c r="K255" t="s">
        <v>8931</v>
      </c>
    </row>
    <row r="256" spans="1:11" x14ac:dyDescent="0.25">
      <c r="A256" t="s">
        <v>979</v>
      </c>
      <c r="B256" t="s">
        <v>980</v>
      </c>
      <c r="C256" t="s">
        <v>981</v>
      </c>
      <c r="D256" t="s">
        <v>982</v>
      </c>
      <c r="E256" t="s">
        <v>14</v>
      </c>
      <c r="F256" t="s">
        <v>15</v>
      </c>
      <c r="G256">
        <v>28202</v>
      </c>
      <c r="H256" t="s">
        <v>39</v>
      </c>
      <c r="I256">
        <v>208</v>
      </c>
      <c r="J256">
        <v>1</v>
      </c>
      <c r="K256" t="s">
        <v>8935</v>
      </c>
    </row>
    <row r="257" spans="1:11" x14ac:dyDescent="0.25">
      <c r="A257" t="s">
        <v>983</v>
      </c>
      <c r="B257" t="s">
        <v>984</v>
      </c>
      <c r="C257" t="s">
        <v>985</v>
      </c>
      <c r="D257" t="s">
        <v>986</v>
      </c>
      <c r="E257" t="s">
        <v>14</v>
      </c>
      <c r="F257" t="s">
        <v>15</v>
      </c>
      <c r="G257">
        <v>28210</v>
      </c>
      <c r="H257" t="s">
        <v>16</v>
      </c>
      <c r="I257">
        <v>116</v>
      </c>
      <c r="J257">
        <v>1</v>
      </c>
      <c r="K257" t="s">
        <v>8935</v>
      </c>
    </row>
    <row r="258" spans="1:11" x14ac:dyDescent="0.25">
      <c r="A258" t="s">
        <v>987</v>
      </c>
      <c r="B258" t="s">
        <v>988</v>
      </c>
      <c r="C258" t="s">
        <v>989</v>
      </c>
      <c r="D258" t="s">
        <v>990</v>
      </c>
      <c r="E258" t="s">
        <v>14</v>
      </c>
      <c r="F258" t="s">
        <v>15</v>
      </c>
      <c r="G258">
        <v>28203</v>
      </c>
      <c r="H258" t="s">
        <v>16</v>
      </c>
      <c r="I258">
        <v>381</v>
      </c>
      <c r="J258">
        <v>1</v>
      </c>
      <c r="K258" t="s">
        <v>8935</v>
      </c>
    </row>
    <row r="259" spans="1:11" x14ac:dyDescent="0.25">
      <c r="A259" t="s">
        <v>991</v>
      </c>
      <c r="B259" t="s">
        <v>992</v>
      </c>
      <c r="C259" t="s">
        <v>993</v>
      </c>
      <c r="D259" t="s">
        <v>994</v>
      </c>
      <c r="E259" t="s">
        <v>14</v>
      </c>
      <c r="F259" t="s">
        <v>15</v>
      </c>
      <c r="G259">
        <v>28213</v>
      </c>
      <c r="H259" t="s">
        <v>146</v>
      </c>
      <c r="I259">
        <v>3</v>
      </c>
      <c r="J259">
        <v>1</v>
      </c>
      <c r="K259" t="s">
        <v>8935</v>
      </c>
    </row>
    <row r="260" spans="1:11" x14ac:dyDescent="0.25">
      <c r="A260" t="s">
        <v>995</v>
      </c>
      <c r="B260" t="s">
        <v>996</v>
      </c>
      <c r="C260" t="s">
        <v>997</v>
      </c>
      <c r="D260" t="s">
        <v>998</v>
      </c>
      <c r="E260" t="s">
        <v>14</v>
      </c>
      <c r="F260" t="s">
        <v>15</v>
      </c>
      <c r="G260">
        <v>28273</v>
      </c>
      <c r="H260" t="s">
        <v>26</v>
      </c>
      <c r="I260">
        <v>43</v>
      </c>
      <c r="J260">
        <v>1</v>
      </c>
      <c r="K260" t="s">
        <v>8935</v>
      </c>
    </row>
    <row r="261" spans="1:11" x14ac:dyDescent="0.25">
      <c r="A261" t="s">
        <v>999</v>
      </c>
      <c r="B261" t="s">
        <v>1000</v>
      </c>
      <c r="C261" t="s">
        <v>1001</v>
      </c>
      <c r="D261" t="s">
        <v>1002</v>
      </c>
      <c r="E261" t="s">
        <v>14</v>
      </c>
      <c r="F261" t="s">
        <v>15</v>
      </c>
      <c r="G261">
        <v>28202</v>
      </c>
      <c r="H261" t="s">
        <v>16</v>
      </c>
      <c r="I261">
        <v>596</v>
      </c>
      <c r="J261">
        <v>1</v>
      </c>
      <c r="K261" t="s">
        <v>8935</v>
      </c>
    </row>
    <row r="262" spans="1:11" x14ac:dyDescent="0.25">
      <c r="A262" t="s">
        <v>1003</v>
      </c>
      <c r="B262" t="s">
        <v>1004</v>
      </c>
      <c r="C262" t="s">
        <v>1005</v>
      </c>
      <c r="D262" t="s">
        <v>1006</v>
      </c>
      <c r="E262" t="s">
        <v>14</v>
      </c>
      <c r="F262" t="s">
        <v>15</v>
      </c>
      <c r="G262">
        <v>28263</v>
      </c>
      <c r="H262" t="s">
        <v>26</v>
      </c>
      <c r="I262">
        <v>8</v>
      </c>
      <c r="J262">
        <v>0</v>
      </c>
      <c r="K262" t="s">
        <v>8935</v>
      </c>
    </row>
    <row r="263" spans="1:11" x14ac:dyDescent="0.25">
      <c r="A263" t="s">
        <v>1007</v>
      </c>
      <c r="B263" t="s">
        <v>139</v>
      </c>
      <c r="C263" t="s">
        <v>1008</v>
      </c>
      <c r="D263" t="s">
        <v>1009</v>
      </c>
      <c r="E263" t="s">
        <v>14</v>
      </c>
      <c r="F263" t="s">
        <v>15</v>
      </c>
      <c r="G263">
        <v>28204</v>
      </c>
      <c r="H263" t="s">
        <v>21</v>
      </c>
      <c r="I263">
        <v>6</v>
      </c>
      <c r="J263">
        <v>0</v>
      </c>
      <c r="K263" t="s">
        <v>8926</v>
      </c>
    </row>
    <row r="264" spans="1:11" x14ac:dyDescent="0.25">
      <c r="A264" t="s">
        <v>1010</v>
      </c>
      <c r="B264" t="s">
        <v>1011</v>
      </c>
      <c r="C264" t="s">
        <v>1012</v>
      </c>
      <c r="D264" t="s">
        <v>1013</v>
      </c>
      <c r="E264" t="s">
        <v>14</v>
      </c>
      <c r="F264" t="s">
        <v>15</v>
      </c>
      <c r="G264">
        <v>28216</v>
      </c>
      <c r="H264" t="s">
        <v>16</v>
      </c>
      <c r="I264">
        <v>88</v>
      </c>
      <c r="J264">
        <v>1</v>
      </c>
      <c r="K264" t="s">
        <v>8935</v>
      </c>
    </row>
    <row r="265" spans="1:11" x14ac:dyDescent="0.25">
      <c r="A265" t="s">
        <v>1014</v>
      </c>
      <c r="B265" t="s">
        <v>402</v>
      </c>
      <c r="C265" t="s">
        <v>59</v>
      </c>
      <c r="D265" t="s">
        <v>1015</v>
      </c>
      <c r="E265" t="s">
        <v>14</v>
      </c>
      <c r="F265" t="s">
        <v>15</v>
      </c>
      <c r="G265">
        <v>28227</v>
      </c>
      <c r="H265" t="s">
        <v>16</v>
      </c>
      <c r="I265">
        <v>7</v>
      </c>
      <c r="J265">
        <v>1</v>
      </c>
      <c r="K265" t="s">
        <v>8935</v>
      </c>
    </row>
    <row r="266" spans="1:11" x14ac:dyDescent="0.25">
      <c r="A266" t="s">
        <v>1016</v>
      </c>
      <c r="B266" t="s">
        <v>220</v>
      </c>
      <c r="C266" t="s">
        <v>221</v>
      </c>
      <c r="D266" t="s">
        <v>1017</v>
      </c>
      <c r="E266" t="s">
        <v>14</v>
      </c>
      <c r="F266" t="s">
        <v>15</v>
      </c>
      <c r="G266">
        <v>28270</v>
      </c>
      <c r="H266" t="s">
        <v>26</v>
      </c>
      <c r="I266">
        <v>16</v>
      </c>
      <c r="J266">
        <v>1</v>
      </c>
      <c r="K266" t="s">
        <v>8935</v>
      </c>
    </row>
    <row r="267" spans="1:11" x14ac:dyDescent="0.25">
      <c r="A267" t="s">
        <v>1018</v>
      </c>
      <c r="B267" t="s">
        <v>1019</v>
      </c>
      <c r="C267" t="s">
        <v>1020</v>
      </c>
      <c r="D267" t="s">
        <v>1021</v>
      </c>
      <c r="E267" t="s">
        <v>14</v>
      </c>
      <c r="F267" t="s">
        <v>15</v>
      </c>
      <c r="G267">
        <v>28208</v>
      </c>
      <c r="H267" t="s">
        <v>48</v>
      </c>
      <c r="I267">
        <v>6</v>
      </c>
      <c r="J267">
        <v>1</v>
      </c>
      <c r="K267" t="s">
        <v>8935</v>
      </c>
    </row>
    <row r="268" spans="1:11" x14ac:dyDescent="0.25">
      <c r="A268" t="s">
        <v>1022</v>
      </c>
      <c r="B268" t="s">
        <v>1023</v>
      </c>
      <c r="C268" t="s">
        <v>1024</v>
      </c>
      <c r="D268" t="s">
        <v>1025</v>
      </c>
      <c r="E268" t="s">
        <v>14</v>
      </c>
      <c r="F268" t="s">
        <v>15</v>
      </c>
      <c r="G268">
        <v>28209</v>
      </c>
      <c r="H268" t="s">
        <v>16</v>
      </c>
      <c r="I268">
        <v>31</v>
      </c>
      <c r="J268">
        <v>0</v>
      </c>
      <c r="K268" t="s">
        <v>8935</v>
      </c>
    </row>
    <row r="269" spans="1:11" x14ac:dyDescent="0.25">
      <c r="A269" t="s">
        <v>1026</v>
      </c>
      <c r="B269" t="s">
        <v>1027</v>
      </c>
      <c r="C269" t="s">
        <v>1028</v>
      </c>
      <c r="D269" t="s">
        <v>1029</v>
      </c>
      <c r="E269" t="s">
        <v>14</v>
      </c>
      <c r="F269" t="s">
        <v>15</v>
      </c>
      <c r="G269">
        <v>28206</v>
      </c>
      <c r="H269" t="s">
        <v>21</v>
      </c>
      <c r="I269">
        <v>49</v>
      </c>
      <c r="J269">
        <v>0</v>
      </c>
      <c r="K269" t="s">
        <v>8935</v>
      </c>
    </row>
    <row r="270" spans="1:11" x14ac:dyDescent="0.25">
      <c r="A270" t="s">
        <v>1030</v>
      </c>
      <c r="B270" t="s">
        <v>1031</v>
      </c>
      <c r="C270" t="s">
        <v>1032</v>
      </c>
      <c r="D270" t="s">
        <v>1033</v>
      </c>
      <c r="E270" t="s">
        <v>14</v>
      </c>
      <c r="F270" t="s">
        <v>15</v>
      </c>
      <c r="G270">
        <v>28211</v>
      </c>
      <c r="H270" t="s">
        <v>48</v>
      </c>
      <c r="I270">
        <v>3</v>
      </c>
      <c r="J270">
        <v>1</v>
      </c>
      <c r="K270" t="s">
        <v>8935</v>
      </c>
    </row>
    <row r="271" spans="1:11" x14ac:dyDescent="0.25">
      <c r="A271" t="s">
        <v>1034</v>
      </c>
      <c r="B271" t="s">
        <v>1035</v>
      </c>
      <c r="C271" t="s">
        <v>1036</v>
      </c>
      <c r="D271" t="s">
        <v>1037</v>
      </c>
      <c r="E271" t="s">
        <v>14</v>
      </c>
      <c r="F271" t="s">
        <v>15</v>
      </c>
      <c r="G271">
        <v>28226</v>
      </c>
      <c r="H271" t="s">
        <v>21</v>
      </c>
      <c r="I271">
        <v>21</v>
      </c>
      <c r="J271">
        <v>1</v>
      </c>
      <c r="K271" t="s">
        <v>8935</v>
      </c>
    </row>
    <row r="272" spans="1:11" x14ac:dyDescent="0.25">
      <c r="A272" t="s">
        <v>1038</v>
      </c>
      <c r="B272" t="s">
        <v>279</v>
      </c>
      <c r="C272" t="s">
        <v>1039</v>
      </c>
      <c r="D272" t="s">
        <v>1040</v>
      </c>
      <c r="E272" t="s">
        <v>14</v>
      </c>
      <c r="F272" t="s">
        <v>15</v>
      </c>
      <c r="G272">
        <v>28204</v>
      </c>
      <c r="H272" t="s">
        <v>26</v>
      </c>
      <c r="I272">
        <v>135</v>
      </c>
      <c r="J272">
        <v>1</v>
      </c>
      <c r="K272" t="s">
        <v>8926</v>
      </c>
    </row>
    <row r="273" spans="1:11" x14ac:dyDescent="0.25">
      <c r="A273" t="s">
        <v>1041</v>
      </c>
      <c r="B273" t="s">
        <v>1042</v>
      </c>
      <c r="C273" t="s">
        <v>193</v>
      </c>
      <c r="D273" t="s">
        <v>1043</v>
      </c>
      <c r="E273" t="s">
        <v>14</v>
      </c>
      <c r="F273" t="s">
        <v>15</v>
      </c>
      <c r="G273">
        <v>28217</v>
      </c>
      <c r="H273" t="s">
        <v>48</v>
      </c>
      <c r="I273">
        <v>29</v>
      </c>
      <c r="J273">
        <v>1</v>
      </c>
      <c r="K273" t="s">
        <v>8935</v>
      </c>
    </row>
    <row r="274" spans="1:11" x14ac:dyDescent="0.25">
      <c r="A274" t="s">
        <v>1044</v>
      </c>
      <c r="B274" t="s">
        <v>811</v>
      </c>
      <c r="C274" t="s">
        <v>797</v>
      </c>
      <c r="D274" t="s">
        <v>1045</v>
      </c>
      <c r="E274" t="s">
        <v>14</v>
      </c>
      <c r="F274" t="s">
        <v>15</v>
      </c>
      <c r="G274">
        <v>28262</v>
      </c>
      <c r="H274" t="s">
        <v>16</v>
      </c>
      <c r="I274">
        <v>4</v>
      </c>
      <c r="J274">
        <v>1</v>
      </c>
      <c r="K274" t="s">
        <v>8925</v>
      </c>
    </row>
    <row r="275" spans="1:11" x14ac:dyDescent="0.25">
      <c r="A275" t="s">
        <v>1046</v>
      </c>
      <c r="B275" t="s">
        <v>1047</v>
      </c>
      <c r="C275" t="s">
        <v>1048</v>
      </c>
      <c r="D275" t="s">
        <v>1049</v>
      </c>
      <c r="E275" t="s">
        <v>14</v>
      </c>
      <c r="F275" t="s">
        <v>15</v>
      </c>
      <c r="G275">
        <v>28277</v>
      </c>
      <c r="H275" t="s">
        <v>21</v>
      </c>
      <c r="I275">
        <v>103</v>
      </c>
      <c r="J275">
        <v>1</v>
      </c>
      <c r="K275" t="s">
        <v>8936</v>
      </c>
    </row>
    <row r="276" spans="1:11" x14ac:dyDescent="0.25">
      <c r="A276" t="e">
        <f>-NpRmzPCs3jO-iW9gGkXtA</f>
        <v>#NAME?</v>
      </c>
      <c r="B276" t="s">
        <v>1050</v>
      </c>
      <c r="C276" t="s">
        <v>622</v>
      </c>
      <c r="D276" t="s">
        <v>1051</v>
      </c>
      <c r="E276" t="s">
        <v>14</v>
      </c>
      <c r="F276" t="s">
        <v>15</v>
      </c>
      <c r="G276">
        <v>28202</v>
      </c>
      <c r="H276" t="s">
        <v>21</v>
      </c>
      <c r="I276">
        <v>5</v>
      </c>
      <c r="J276">
        <v>1</v>
      </c>
      <c r="K276" t="s">
        <v>8935</v>
      </c>
    </row>
    <row r="277" spans="1:11" x14ac:dyDescent="0.25">
      <c r="A277" t="s">
        <v>1052</v>
      </c>
      <c r="B277" t="s">
        <v>1053</v>
      </c>
      <c r="C277" t="s">
        <v>1054</v>
      </c>
      <c r="D277" t="s">
        <v>1055</v>
      </c>
      <c r="E277" t="s">
        <v>14</v>
      </c>
      <c r="F277" t="s">
        <v>15</v>
      </c>
      <c r="G277">
        <v>28269</v>
      </c>
      <c r="H277" t="s">
        <v>26</v>
      </c>
      <c r="I277">
        <v>42</v>
      </c>
      <c r="J277">
        <v>1</v>
      </c>
      <c r="K277" t="s">
        <v>8929</v>
      </c>
    </row>
    <row r="278" spans="1:11" x14ac:dyDescent="0.25">
      <c r="A278" t="s">
        <v>1056</v>
      </c>
      <c r="B278" t="s">
        <v>1057</v>
      </c>
      <c r="C278" t="s">
        <v>1058</v>
      </c>
      <c r="D278" t="s">
        <v>1059</v>
      </c>
      <c r="E278" t="s">
        <v>14</v>
      </c>
      <c r="F278" t="s">
        <v>15</v>
      </c>
      <c r="G278">
        <v>28277</v>
      </c>
      <c r="H278" t="s">
        <v>21</v>
      </c>
      <c r="I278">
        <v>119</v>
      </c>
      <c r="J278">
        <v>1</v>
      </c>
      <c r="K278" t="s">
        <v>8935</v>
      </c>
    </row>
    <row r="279" spans="1:11" x14ac:dyDescent="0.25">
      <c r="A279" t="s">
        <v>1060</v>
      </c>
      <c r="B279" t="s">
        <v>1061</v>
      </c>
      <c r="C279" t="s">
        <v>1062</v>
      </c>
      <c r="D279" t="s">
        <v>1063</v>
      </c>
      <c r="E279" t="s">
        <v>14</v>
      </c>
      <c r="F279" t="s">
        <v>15</v>
      </c>
      <c r="G279">
        <v>28203</v>
      </c>
      <c r="H279" t="s">
        <v>16</v>
      </c>
      <c r="I279">
        <v>394</v>
      </c>
      <c r="J279">
        <v>1</v>
      </c>
      <c r="K279" t="s">
        <v>8925</v>
      </c>
    </row>
    <row r="280" spans="1:11" x14ac:dyDescent="0.25">
      <c r="A280" t="e">
        <f>-qjn24n8HYF6It9GQrQntw</f>
        <v>#NAME?</v>
      </c>
      <c r="B280" t="s">
        <v>1064</v>
      </c>
      <c r="C280" t="s">
        <v>1065</v>
      </c>
      <c r="D280" t="s">
        <v>1066</v>
      </c>
      <c r="E280" t="s">
        <v>14</v>
      </c>
      <c r="F280" t="s">
        <v>15</v>
      </c>
      <c r="G280">
        <v>28262</v>
      </c>
      <c r="H280" t="s">
        <v>16</v>
      </c>
      <c r="I280">
        <v>15</v>
      </c>
      <c r="J280">
        <v>0</v>
      </c>
      <c r="K280" t="s">
        <v>8935</v>
      </c>
    </row>
    <row r="281" spans="1:11" x14ac:dyDescent="0.25">
      <c r="A281" t="s">
        <v>1067</v>
      </c>
      <c r="B281" t="s">
        <v>1068</v>
      </c>
      <c r="C281" t="s">
        <v>1069</v>
      </c>
      <c r="D281" t="s">
        <v>1070</v>
      </c>
      <c r="E281" t="s">
        <v>14</v>
      </c>
      <c r="F281" t="s">
        <v>15</v>
      </c>
      <c r="G281">
        <v>28205</v>
      </c>
      <c r="H281" t="s">
        <v>26</v>
      </c>
      <c r="I281">
        <v>8</v>
      </c>
      <c r="J281">
        <v>0</v>
      </c>
      <c r="K281" t="s">
        <v>8929</v>
      </c>
    </row>
    <row r="282" spans="1:11" x14ac:dyDescent="0.25">
      <c r="A282" t="s">
        <v>1071</v>
      </c>
      <c r="B282" t="s">
        <v>1072</v>
      </c>
      <c r="C282" t="s">
        <v>1073</v>
      </c>
      <c r="D282" t="s">
        <v>1074</v>
      </c>
      <c r="E282" t="s">
        <v>14</v>
      </c>
      <c r="F282" t="s">
        <v>15</v>
      </c>
      <c r="G282">
        <v>28208</v>
      </c>
      <c r="H282" t="s">
        <v>16</v>
      </c>
      <c r="I282">
        <v>28</v>
      </c>
      <c r="J282">
        <v>1</v>
      </c>
      <c r="K282" t="s">
        <v>8935</v>
      </c>
    </row>
    <row r="283" spans="1:11" x14ac:dyDescent="0.25">
      <c r="A283" t="s">
        <v>1075</v>
      </c>
      <c r="B283" t="s">
        <v>359</v>
      </c>
      <c r="C283" t="s">
        <v>1076</v>
      </c>
      <c r="D283" t="s">
        <v>1077</v>
      </c>
      <c r="E283" t="s">
        <v>14</v>
      </c>
      <c r="F283" t="s">
        <v>15</v>
      </c>
      <c r="G283">
        <v>28263</v>
      </c>
      <c r="H283" t="s">
        <v>48</v>
      </c>
      <c r="I283">
        <v>3</v>
      </c>
      <c r="J283">
        <v>0</v>
      </c>
      <c r="K283" t="s">
        <v>8935</v>
      </c>
    </row>
    <row r="284" spans="1:11" x14ac:dyDescent="0.25">
      <c r="A284" t="s">
        <v>1078</v>
      </c>
      <c r="B284" t="s">
        <v>1079</v>
      </c>
      <c r="C284" t="s">
        <v>1080</v>
      </c>
      <c r="D284" t="s">
        <v>1081</v>
      </c>
      <c r="E284" t="s">
        <v>14</v>
      </c>
      <c r="F284" t="s">
        <v>15</v>
      </c>
      <c r="G284">
        <v>28202</v>
      </c>
      <c r="H284" t="s">
        <v>16</v>
      </c>
      <c r="I284">
        <v>67</v>
      </c>
      <c r="J284">
        <v>1</v>
      </c>
      <c r="K284" t="s">
        <v>8924</v>
      </c>
    </row>
    <row r="285" spans="1:11" x14ac:dyDescent="0.25">
      <c r="A285" t="s">
        <v>1082</v>
      </c>
      <c r="B285" t="s">
        <v>442</v>
      </c>
      <c r="C285" t="s">
        <v>1083</v>
      </c>
      <c r="D285" t="s">
        <v>1084</v>
      </c>
      <c r="E285" t="s">
        <v>14</v>
      </c>
      <c r="F285" t="s">
        <v>15</v>
      </c>
      <c r="G285">
        <v>28273</v>
      </c>
      <c r="H285" t="s">
        <v>21</v>
      </c>
      <c r="I285">
        <v>132</v>
      </c>
      <c r="J285">
        <v>1</v>
      </c>
      <c r="K285" t="s">
        <v>8935</v>
      </c>
    </row>
    <row r="286" spans="1:11" x14ac:dyDescent="0.25">
      <c r="A286" t="s">
        <v>1085</v>
      </c>
      <c r="B286" t="s">
        <v>1086</v>
      </c>
      <c r="C286" t="s">
        <v>1087</v>
      </c>
      <c r="D286" t="s">
        <v>1088</v>
      </c>
      <c r="E286" t="s">
        <v>14</v>
      </c>
      <c r="F286" t="s">
        <v>15</v>
      </c>
      <c r="G286">
        <v>28202</v>
      </c>
      <c r="H286" t="s">
        <v>48</v>
      </c>
      <c r="I286">
        <v>154</v>
      </c>
      <c r="J286">
        <v>1</v>
      </c>
      <c r="K286" t="s">
        <v>8935</v>
      </c>
    </row>
    <row r="287" spans="1:11" x14ac:dyDescent="0.25">
      <c r="A287" t="s">
        <v>1089</v>
      </c>
      <c r="B287" t="s">
        <v>1090</v>
      </c>
      <c r="C287" t="s">
        <v>1091</v>
      </c>
      <c r="D287" t="s">
        <v>681</v>
      </c>
      <c r="E287" t="s">
        <v>14</v>
      </c>
      <c r="F287" t="s">
        <v>15</v>
      </c>
      <c r="G287">
        <v>28262</v>
      </c>
      <c r="H287" t="s">
        <v>21</v>
      </c>
      <c r="I287">
        <v>55</v>
      </c>
      <c r="J287">
        <v>0</v>
      </c>
      <c r="K287" t="s">
        <v>8935</v>
      </c>
    </row>
    <row r="288" spans="1:11" x14ac:dyDescent="0.25">
      <c r="A288" t="s">
        <v>1092</v>
      </c>
      <c r="B288" t="s">
        <v>1093</v>
      </c>
      <c r="C288" t="s">
        <v>1094</v>
      </c>
      <c r="D288" t="s">
        <v>1095</v>
      </c>
      <c r="E288" t="s">
        <v>14</v>
      </c>
      <c r="F288" t="s">
        <v>15</v>
      </c>
      <c r="G288">
        <v>28273</v>
      </c>
      <c r="H288" t="s">
        <v>101</v>
      </c>
      <c r="I288">
        <v>43</v>
      </c>
      <c r="J288">
        <v>1</v>
      </c>
      <c r="K288" t="s">
        <v>8925</v>
      </c>
    </row>
    <row r="289" spans="1:11" x14ac:dyDescent="0.25">
      <c r="A289" t="s">
        <v>1096</v>
      </c>
      <c r="B289" t="s">
        <v>1097</v>
      </c>
      <c r="C289" t="s">
        <v>1098</v>
      </c>
      <c r="D289" t="s">
        <v>113</v>
      </c>
      <c r="E289" t="s">
        <v>14</v>
      </c>
      <c r="F289" t="s">
        <v>15</v>
      </c>
      <c r="G289">
        <v>28202</v>
      </c>
      <c r="H289" t="s">
        <v>48</v>
      </c>
      <c r="I289">
        <v>7</v>
      </c>
      <c r="J289">
        <v>0</v>
      </c>
      <c r="K289" t="s">
        <v>8936</v>
      </c>
    </row>
    <row r="290" spans="1:11" x14ac:dyDescent="0.25">
      <c r="A290" t="s">
        <v>1099</v>
      </c>
      <c r="B290" t="s">
        <v>1100</v>
      </c>
      <c r="C290" t="s">
        <v>1101</v>
      </c>
      <c r="E290" t="s">
        <v>14</v>
      </c>
      <c r="F290" t="s">
        <v>15</v>
      </c>
      <c r="G290">
        <v>28105</v>
      </c>
      <c r="H290" t="s">
        <v>16</v>
      </c>
      <c r="I290">
        <v>4</v>
      </c>
      <c r="J290">
        <v>1</v>
      </c>
      <c r="K290" t="s">
        <v>8935</v>
      </c>
    </row>
    <row r="291" spans="1:11" x14ac:dyDescent="0.25">
      <c r="A291" t="s">
        <v>1102</v>
      </c>
      <c r="B291" t="s">
        <v>1103</v>
      </c>
      <c r="C291" t="s">
        <v>1104</v>
      </c>
      <c r="D291" t="s">
        <v>1105</v>
      </c>
      <c r="E291" t="s">
        <v>14</v>
      </c>
      <c r="F291" t="s">
        <v>15</v>
      </c>
      <c r="G291">
        <v>28202</v>
      </c>
      <c r="H291" t="s">
        <v>16</v>
      </c>
      <c r="I291">
        <v>38</v>
      </c>
      <c r="J291">
        <v>0</v>
      </c>
      <c r="K291" t="s">
        <v>8935</v>
      </c>
    </row>
    <row r="292" spans="1:11" x14ac:dyDescent="0.25">
      <c r="A292" t="s">
        <v>1106</v>
      </c>
      <c r="B292" t="s">
        <v>1107</v>
      </c>
      <c r="C292" t="s">
        <v>1108</v>
      </c>
      <c r="D292" t="s">
        <v>1109</v>
      </c>
      <c r="E292" t="s">
        <v>14</v>
      </c>
      <c r="F292" t="s">
        <v>15</v>
      </c>
      <c r="G292">
        <v>28202</v>
      </c>
      <c r="H292" t="s">
        <v>39</v>
      </c>
      <c r="I292">
        <v>60</v>
      </c>
      <c r="J292">
        <v>1</v>
      </c>
      <c r="K292" t="s">
        <v>8935</v>
      </c>
    </row>
    <row r="293" spans="1:11" x14ac:dyDescent="0.25">
      <c r="A293" t="s">
        <v>1110</v>
      </c>
      <c r="B293" t="s">
        <v>1111</v>
      </c>
      <c r="C293" t="s">
        <v>1112</v>
      </c>
      <c r="D293" t="s">
        <v>1113</v>
      </c>
      <c r="E293" t="s">
        <v>14</v>
      </c>
      <c r="F293" t="s">
        <v>15</v>
      </c>
      <c r="G293">
        <v>28205</v>
      </c>
      <c r="H293" t="s">
        <v>16</v>
      </c>
      <c r="I293">
        <v>1566</v>
      </c>
      <c r="J293">
        <v>1</v>
      </c>
      <c r="K293" t="s">
        <v>8935</v>
      </c>
    </row>
    <row r="294" spans="1:11" x14ac:dyDescent="0.25">
      <c r="A294" t="s">
        <v>1114</v>
      </c>
      <c r="B294" t="s">
        <v>1115</v>
      </c>
      <c r="C294" t="s">
        <v>1116</v>
      </c>
      <c r="D294" t="s">
        <v>1117</v>
      </c>
      <c r="E294" t="s">
        <v>14</v>
      </c>
      <c r="F294" t="s">
        <v>15</v>
      </c>
      <c r="G294">
        <v>28273</v>
      </c>
      <c r="H294" t="s">
        <v>48</v>
      </c>
      <c r="I294">
        <v>79</v>
      </c>
      <c r="J294">
        <v>1</v>
      </c>
      <c r="K294" t="s">
        <v>8935</v>
      </c>
    </row>
    <row r="295" spans="1:11" x14ac:dyDescent="0.25">
      <c r="A295" t="s">
        <v>1118</v>
      </c>
      <c r="B295" t="s">
        <v>1119</v>
      </c>
      <c r="C295" t="s">
        <v>1120</v>
      </c>
      <c r="E295" t="s">
        <v>14</v>
      </c>
      <c r="F295" t="s">
        <v>15</v>
      </c>
      <c r="G295">
        <v>28211</v>
      </c>
      <c r="H295" t="s">
        <v>21</v>
      </c>
      <c r="I295">
        <v>43</v>
      </c>
      <c r="J295">
        <v>1</v>
      </c>
      <c r="K295" t="s">
        <v>8935</v>
      </c>
    </row>
    <row r="296" spans="1:11" x14ac:dyDescent="0.25">
      <c r="A296" t="s">
        <v>1121</v>
      </c>
      <c r="B296" t="s">
        <v>1122</v>
      </c>
      <c r="C296" t="s">
        <v>715</v>
      </c>
      <c r="D296" t="s">
        <v>1123</v>
      </c>
      <c r="E296" t="s">
        <v>14</v>
      </c>
      <c r="F296" t="s">
        <v>15</v>
      </c>
      <c r="G296">
        <v>28202</v>
      </c>
      <c r="H296" t="s">
        <v>21</v>
      </c>
      <c r="I296">
        <v>29</v>
      </c>
      <c r="J296">
        <v>1</v>
      </c>
      <c r="K296" t="s">
        <v>8925</v>
      </c>
    </row>
    <row r="297" spans="1:11" x14ac:dyDescent="0.25">
      <c r="A297" t="s">
        <v>1124</v>
      </c>
      <c r="B297" t="s">
        <v>312</v>
      </c>
      <c r="C297" t="s">
        <v>1125</v>
      </c>
      <c r="D297" t="s">
        <v>1126</v>
      </c>
      <c r="E297" t="s">
        <v>14</v>
      </c>
      <c r="F297" t="s">
        <v>15</v>
      </c>
      <c r="G297">
        <v>28205</v>
      </c>
      <c r="H297" t="s">
        <v>16</v>
      </c>
      <c r="I297">
        <v>5</v>
      </c>
      <c r="J297">
        <v>0</v>
      </c>
      <c r="K297" t="s">
        <v>8925</v>
      </c>
    </row>
    <row r="298" spans="1:11" x14ac:dyDescent="0.25">
      <c r="A298" t="s">
        <v>1127</v>
      </c>
      <c r="B298" t="s">
        <v>1128</v>
      </c>
      <c r="C298" t="s">
        <v>1129</v>
      </c>
      <c r="D298" t="s">
        <v>34</v>
      </c>
      <c r="E298" t="s">
        <v>14</v>
      </c>
      <c r="F298" t="s">
        <v>15</v>
      </c>
      <c r="G298">
        <v>28205</v>
      </c>
      <c r="H298" t="s">
        <v>101</v>
      </c>
      <c r="I298">
        <v>10</v>
      </c>
      <c r="J298">
        <v>0</v>
      </c>
      <c r="K298" t="s">
        <v>8931</v>
      </c>
    </row>
    <row r="299" spans="1:11" x14ac:dyDescent="0.25">
      <c r="A299" t="s">
        <v>1130</v>
      </c>
      <c r="B299" t="s">
        <v>1131</v>
      </c>
      <c r="C299" t="s">
        <v>1132</v>
      </c>
      <c r="D299" t="s">
        <v>1133</v>
      </c>
      <c r="E299" t="s">
        <v>14</v>
      </c>
      <c r="F299" t="s">
        <v>15</v>
      </c>
      <c r="G299">
        <v>28203</v>
      </c>
      <c r="H299" t="s">
        <v>39</v>
      </c>
      <c r="I299">
        <v>137</v>
      </c>
      <c r="J299">
        <v>1</v>
      </c>
      <c r="K299" t="s">
        <v>8937</v>
      </c>
    </row>
    <row r="300" spans="1:11" x14ac:dyDescent="0.25">
      <c r="A300" t="e">
        <f>-kyvpeXIuQDKIYDkAK7ryw</f>
        <v>#NAME?</v>
      </c>
      <c r="B300" t="s">
        <v>1134</v>
      </c>
      <c r="C300" t="s">
        <v>1135</v>
      </c>
      <c r="D300" t="s">
        <v>1136</v>
      </c>
      <c r="E300" t="s">
        <v>14</v>
      </c>
      <c r="F300" t="s">
        <v>15</v>
      </c>
      <c r="G300">
        <v>28210</v>
      </c>
      <c r="H300" t="s">
        <v>26</v>
      </c>
      <c r="I300">
        <v>50</v>
      </c>
      <c r="J300">
        <v>1</v>
      </c>
      <c r="K300" t="s">
        <v>8935</v>
      </c>
    </row>
    <row r="301" spans="1:11" x14ac:dyDescent="0.25">
      <c r="A301" t="s">
        <v>1137</v>
      </c>
      <c r="B301" t="s">
        <v>1138</v>
      </c>
      <c r="C301" t="s">
        <v>1139</v>
      </c>
      <c r="D301" t="s">
        <v>1140</v>
      </c>
      <c r="E301" t="s">
        <v>14</v>
      </c>
      <c r="F301" t="s">
        <v>15</v>
      </c>
      <c r="G301">
        <v>28203</v>
      </c>
      <c r="H301" t="s">
        <v>16</v>
      </c>
      <c r="I301">
        <v>27</v>
      </c>
      <c r="J301">
        <v>1</v>
      </c>
      <c r="K301" t="s">
        <v>8935</v>
      </c>
    </row>
    <row r="302" spans="1:11" x14ac:dyDescent="0.25">
      <c r="A302" t="s">
        <v>1141</v>
      </c>
      <c r="B302" t="s">
        <v>82</v>
      </c>
      <c r="C302" t="s">
        <v>1142</v>
      </c>
      <c r="D302" t="s">
        <v>1143</v>
      </c>
      <c r="E302" t="s">
        <v>14</v>
      </c>
      <c r="F302" t="s">
        <v>15</v>
      </c>
      <c r="G302">
        <v>28202</v>
      </c>
      <c r="H302" t="s">
        <v>39</v>
      </c>
      <c r="I302">
        <v>48</v>
      </c>
      <c r="J302">
        <v>1</v>
      </c>
      <c r="K302" t="s">
        <v>8935</v>
      </c>
    </row>
    <row r="303" spans="1:11" x14ac:dyDescent="0.25">
      <c r="A303" t="s">
        <v>1144</v>
      </c>
      <c r="B303" t="s">
        <v>1145</v>
      </c>
      <c r="C303" t="s">
        <v>1146</v>
      </c>
      <c r="D303" t="s">
        <v>1147</v>
      </c>
      <c r="E303" t="s">
        <v>14</v>
      </c>
      <c r="F303" t="s">
        <v>15</v>
      </c>
      <c r="G303">
        <v>28217</v>
      </c>
      <c r="H303" t="s">
        <v>16</v>
      </c>
      <c r="I303">
        <v>42</v>
      </c>
      <c r="J303">
        <v>1</v>
      </c>
      <c r="K303" t="s">
        <v>8922</v>
      </c>
    </row>
    <row r="304" spans="1:11" x14ac:dyDescent="0.25">
      <c r="A304" t="s">
        <v>1148</v>
      </c>
      <c r="B304" t="s">
        <v>1149</v>
      </c>
      <c r="C304" t="s">
        <v>1150</v>
      </c>
      <c r="E304" t="s">
        <v>14</v>
      </c>
      <c r="F304" t="s">
        <v>15</v>
      </c>
      <c r="G304">
        <v>28202</v>
      </c>
      <c r="H304" t="s">
        <v>39</v>
      </c>
      <c r="I304">
        <v>5</v>
      </c>
      <c r="J304">
        <v>0</v>
      </c>
      <c r="K304" t="s">
        <v>8930</v>
      </c>
    </row>
    <row r="305" spans="1:11" x14ac:dyDescent="0.25">
      <c r="A305" t="s">
        <v>1151</v>
      </c>
      <c r="B305" t="s">
        <v>1152</v>
      </c>
      <c r="C305" t="s">
        <v>1153</v>
      </c>
      <c r="D305" t="s">
        <v>1154</v>
      </c>
      <c r="E305" t="s">
        <v>14</v>
      </c>
      <c r="F305" t="s">
        <v>15</v>
      </c>
      <c r="G305">
        <v>28205</v>
      </c>
      <c r="H305" t="s">
        <v>39</v>
      </c>
      <c r="I305">
        <v>232</v>
      </c>
      <c r="J305">
        <v>1</v>
      </c>
      <c r="K305" t="s">
        <v>8935</v>
      </c>
    </row>
    <row r="306" spans="1:11" x14ac:dyDescent="0.25">
      <c r="A306" t="s">
        <v>1155</v>
      </c>
      <c r="B306" t="s">
        <v>316</v>
      </c>
      <c r="C306" t="s">
        <v>913</v>
      </c>
      <c r="D306" t="s">
        <v>1156</v>
      </c>
      <c r="E306" t="s">
        <v>14</v>
      </c>
      <c r="F306" t="s">
        <v>15</v>
      </c>
      <c r="G306">
        <v>28203</v>
      </c>
      <c r="H306" t="s">
        <v>21</v>
      </c>
      <c r="I306">
        <v>115</v>
      </c>
      <c r="J306">
        <v>1</v>
      </c>
      <c r="K306" t="s">
        <v>8935</v>
      </c>
    </row>
    <row r="307" spans="1:11" x14ac:dyDescent="0.25">
      <c r="A307" t="s">
        <v>1157</v>
      </c>
      <c r="B307" t="s">
        <v>1158</v>
      </c>
      <c r="C307" t="s">
        <v>1135</v>
      </c>
      <c r="D307" t="s">
        <v>1159</v>
      </c>
      <c r="E307" t="s">
        <v>14</v>
      </c>
      <c r="F307" t="s">
        <v>15</v>
      </c>
      <c r="G307">
        <v>28273</v>
      </c>
      <c r="H307" t="s">
        <v>26</v>
      </c>
      <c r="I307">
        <v>90</v>
      </c>
      <c r="J307">
        <v>1</v>
      </c>
      <c r="K307" t="s">
        <v>8935</v>
      </c>
    </row>
    <row r="308" spans="1:11" x14ac:dyDescent="0.25">
      <c r="A308" t="s">
        <v>1160</v>
      </c>
      <c r="B308" t="s">
        <v>1161</v>
      </c>
      <c r="C308" t="s">
        <v>221</v>
      </c>
      <c r="D308" t="s">
        <v>84</v>
      </c>
      <c r="E308" t="s">
        <v>14</v>
      </c>
      <c r="F308" t="s">
        <v>15</v>
      </c>
      <c r="G308">
        <v>28208</v>
      </c>
      <c r="H308" t="s">
        <v>26</v>
      </c>
      <c r="I308">
        <v>24</v>
      </c>
      <c r="J308">
        <v>1</v>
      </c>
      <c r="K308" t="s">
        <v>8935</v>
      </c>
    </row>
    <row r="309" spans="1:11" x14ac:dyDescent="0.25">
      <c r="A309" t="s">
        <v>1162</v>
      </c>
      <c r="B309" t="s">
        <v>1163</v>
      </c>
      <c r="C309" t="s">
        <v>364</v>
      </c>
      <c r="D309" t="s">
        <v>1164</v>
      </c>
      <c r="E309" t="s">
        <v>14</v>
      </c>
      <c r="F309" t="s">
        <v>15</v>
      </c>
      <c r="G309">
        <v>28203</v>
      </c>
      <c r="H309" t="s">
        <v>21</v>
      </c>
      <c r="I309">
        <v>5</v>
      </c>
      <c r="J309">
        <v>0</v>
      </c>
      <c r="K309" t="s">
        <v>8935</v>
      </c>
    </row>
    <row r="310" spans="1:11" x14ac:dyDescent="0.25">
      <c r="A310" t="s">
        <v>1165</v>
      </c>
      <c r="B310" t="s">
        <v>1166</v>
      </c>
      <c r="C310" t="s">
        <v>1167</v>
      </c>
      <c r="D310" t="s">
        <v>1168</v>
      </c>
      <c r="E310" t="s">
        <v>14</v>
      </c>
      <c r="F310" t="s">
        <v>15</v>
      </c>
      <c r="G310">
        <v>28217</v>
      </c>
      <c r="H310" t="s">
        <v>16</v>
      </c>
      <c r="I310">
        <v>81</v>
      </c>
      <c r="J310">
        <v>1</v>
      </c>
      <c r="K310" t="s">
        <v>8935</v>
      </c>
    </row>
    <row r="311" spans="1:11" x14ac:dyDescent="0.25">
      <c r="A311" t="s">
        <v>1169</v>
      </c>
      <c r="B311" t="s">
        <v>1170</v>
      </c>
      <c r="C311" t="s">
        <v>1171</v>
      </c>
      <c r="D311" t="s">
        <v>1172</v>
      </c>
      <c r="E311" t="s">
        <v>14</v>
      </c>
      <c r="F311" t="s">
        <v>15</v>
      </c>
      <c r="G311">
        <v>28217</v>
      </c>
      <c r="H311" t="s">
        <v>16</v>
      </c>
      <c r="I311">
        <v>73</v>
      </c>
      <c r="J311">
        <v>1</v>
      </c>
      <c r="K311" t="s">
        <v>8931</v>
      </c>
    </row>
    <row r="312" spans="1:11" x14ac:dyDescent="0.25">
      <c r="A312" t="s">
        <v>1173</v>
      </c>
      <c r="B312" t="s">
        <v>176</v>
      </c>
      <c r="C312" t="s">
        <v>1174</v>
      </c>
      <c r="D312" t="s">
        <v>1175</v>
      </c>
      <c r="E312" t="s">
        <v>14</v>
      </c>
      <c r="F312" t="s">
        <v>15</v>
      </c>
      <c r="G312">
        <v>28277</v>
      </c>
      <c r="H312" t="s">
        <v>16</v>
      </c>
      <c r="I312">
        <v>4</v>
      </c>
      <c r="J312">
        <v>0</v>
      </c>
      <c r="K312" t="s">
        <v>8935</v>
      </c>
    </row>
    <row r="313" spans="1:11" x14ac:dyDescent="0.25">
      <c r="A313" t="s">
        <v>1176</v>
      </c>
      <c r="B313" t="s">
        <v>139</v>
      </c>
      <c r="C313" t="s">
        <v>1177</v>
      </c>
      <c r="D313" t="s">
        <v>1178</v>
      </c>
      <c r="E313" t="s">
        <v>14</v>
      </c>
      <c r="F313" t="s">
        <v>15</v>
      </c>
      <c r="G313">
        <v>28269</v>
      </c>
      <c r="H313" t="s">
        <v>48</v>
      </c>
      <c r="I313">
        <v>17</v>
      </c>
      <c r="J313">
        <v>1</v>
      </c>
      <c r="K313" t="s">
        <v>8926</v>
      </c>
    </row>
    <row r="314" spans="1:11" x14ac:dyDescent="0.25">
      <c r="A314" t="s">
        <v>1179</v>
      </c>
      <c r="B314" t="s">
        <v>1180</v>
      </c>
      <c r="C314" t="s">
        <v>1181</v>
      </c>
      <c r="D314" t="s">
        <v>1182</v>
      </c>
      <c r="E314" t="s">
        <v>14</v>
      </c>
      <c r="F314" t="s">
        <v>15</v>
      </c>
      <c r="G314">
        <v>28203</v>
      </c>
      <c r="H314" t="s">
        <v>16</v>
      </c>
      <c r="I314">
        <v>15</v>
      </c>
      <c r="J314">
        <v>1</v>
      </c>
      <c r="K314" t="s">
        <v>8935</v>
      </c>
    </row>
    <row r="315" spans="1:11" x14ac:dyDescent="0.25">
      <c r="A315" t="s">
        <v>1183</v>
      </c>
      <c r="B315" t="s">
        <v>1184</v>
      </c>
      <c r="C315" t="s">
        <v>1185</v>
      </c>
      <c r="D315" t="s">
        <v>1186</v>
      </c>
      <c r="E315" t="s">
        <v>14</v>
      </c>
      <c r="F315" t="s">
        <v>15</v>
      </c>
      <c r="G315">
        <v>28202</v>
      </c>
      <c r="H315" t="s">
        <v>21</v>
      </c>
      <c r="I315">
        <v>436</v>
      </c>
      <c r="J315">
        <v>1</v>
      </c>
      <c r="K315" t="s">
        <v>8935</v>
      </c>
    </row>
    <row r="316" spans="1:11" x14ac:dyDescent="0.25">
      <c r="A316" t="s">
        <v>1187</v>
      </c>
      <c r="B316" t="s">
        <v>1188</v>
      </c>
      <c r="C316" t="s">
        <v>1189</v>
      </c>
      <c r="D316" t="s">
        <v>1190</v>
      </c>
      <c r="E316" t="s">
        <v>14</v>
      </c>
      <c r="F316" t="s">
        <v>15</v>
      </c>
      <c r="G316">
        <v>28226</v>
      </c>
      <c r="H316" t="s">
        <v>16</v>
      </c>
      <c r="I316">
        <v>65</v>
      </c>
      <c r="J316">
        <v>1</v>
      </c>
      <c r="K316" t="s">
        <v>8935</v>
      </c>
    </row>
    <row r="317" spans="1:11" x14ac:dyDescent="0.25">
      <c r="A317" t="s">
        <v>1191</v>
      </c>
      <c r="B317" t="s">
        <v>1192</v>
      </c>
      <c r="C317" t="s">
        <v>1193</v>
      </c>
      <c r="D317" t="s">
        <v>1194</v>
      </c>
      <c r="E317" t="s">
        <v>14</v>
      </c>
      <c r="F317" t="s">
        <v>15</v>
      </c>
      <c r="G317">
        <v>28214</v>
      </c>
      <c r="H317" t="s">
        <v>39</v>
      </c>
      <c r="I317">
        <v>16</v>
      </c>
      <c r="J317">
        <v>1</v>
      </c>
      <c r="K317" t="s">
        <v>8936</v>
      </c>
    </row>
    <row r="318" spans="1:11" x14ac:dyDescent="0.25">
      <c r="A318" t="s">
        <v>1195</v>
      </c>
      <c r="B318" t="s">
        <v>1196</v>
      </c>
      <c r="C318" t="s">
        <v>1197</v>
      </c>
      <c r="E318" t="s">
        <v>14</v>
      </c>
      <c r="F318" t="s">
        <v>15</v>
      </c>
      <c r="G318">
        <v>28262</v>
      </c>
      <c r="H318" t="s">
        <v>26</v>
      </c>
      <c r="I318">
        <v>4</v>
      </c>
      <c r="J318">
        <v>1</v>
      </c>
      <c r="K318" t="s">
        <v>8935</v>
      </c>
    </row>
    <row r="319" spans="1:11" x14ac:dyDescent="0.25">
      <c r="A319" t="s">
        <v>1198</v>
      </c>
      <c r="B319" t="s">
        <v>1199</v>
      </c>
      <c r="C319" t="s">
        <v>1200</v>
      </c>
      <c r="D319" t="s">
        <v>1201</v>
      </c>
      <c r="E319" t="s">
        <v>14</v>
      </c>
      <c r="F319" t="s">
        <v>15</v>
      </c>
      <c r="G319">
        <v>28278</v>
      </c>
      <c r="H319" t="s">
        <v>26</v>
      </c>
      <c r="I319">
        <v>16</v>
      </c>
      <c r="J319">
        <v>1</v>
      </c>
      <c r="K319" t="s">
        <v>8935</v>
      </c>
    </row>
    <row r="320" spans="1:11" x14ac:dyDescent="0.25">
      <c r="A320" t="s">
        <v>1202</v>
      </c>
      <c r="B320" t="s">
        <v>1203</v>
      </c>
      <c r="C320" t="s">
        <v>1204</v>
      </c>
      <c r="D320" t="s">
        <v>1205</v>
      </c>
      <c r="E320" t="s">
        <v>14</v>
      </c>
      <c r="F320" t="s">
        <v>15</v>
      </c>
      <c r="G320">
        <v>28273</v>
      </c>
      <c r="H320" t="s">
        <v>21</v>
      </c>
      <c r="I320">
        <v>3</v>
      </c>
      <c r="J320">
        <v>0</v>
      </c>
      <c r="K320" t="s">
        <v>8935</v>
      </c>
    </row>
    <row r="321" spans="1:11" x14ac:dyDescent="0.25">
      <c r="A321" t="s">
        <v>1206</v>
      </c>
      <c r="B321" t="s">
        <v>1207</v>
      </c>
      <c r="C321" t="s">
        <v>1208</v>
      </c>
      <c r="D321" t="s">
        <v>1209</v>
      </c>
      <c r="E321" t="s">
        <v>14</v>
      </c>
      <c r="F321" t="s">
        <v>15</v>
      </c>
      <c r="G321">
        <v>28204</v>
      </c>
      <c r="H321" t="s">
        <v>39</v>
      </c>
      <c r="I321">
        <v>202</v>
      </c>
      <c r="J321">
        <v>1</v>
      </c>
      <c r="K321" t="s">
        <v>8921</v>
      </c>
    </row>
    <row r="322" spans="1:11" x14ac:dyDescent="0.25">
      <c r="A322" t="s">
        <v>1210</v>
      </c>
      <c r="B322" t="s">
        <v>1211</v>
      </c>
      <c r="C322" t="s">
        <v>1212</v>
      </c>
      <c r="D322" t="s">
        <v>1213</v>
      </c>
      <c r="E322" t="s">
        <v>14</v>
      </c>
      <c r="F322" t="s">
        <v>15</v>
      </c>
      <c r="G322">
        <v>28226</v>
      </c>
      <c r="H322" t="s">
        <v>39</v>
      </c>
      <c r="I322">
        <v>115</v>
      </c>
      <c r="J322">
        <v>1</v>
      </c>
      <c r="K322" t="s">
        <v>8920</v>
      </c>
    </row>
    <row r="323" spans="1:11" x14ac:dyDescent="0.25">
      <c r="A323" t="s">
        <v>1214</v>
      </c>
      <c r="B323" t="s">
        <v>1215</v>
      </c>
      <c r="C323" t="s">
        <v>1216</v>
      </c>
      <c r="D323" t="s">
        <v>1217</v>
      </c>
      <c r="E323" t="s">
        <v>14</v>
      </c>
      <c r="F323" t="s">
        <v>15</v>
      </c>
      <c r="G323">
        <v>28205</v>
      </c>
      <c r="H323" t="s">
        <v>21</v>
      </c>
      <c r="I323">
        <v>600</v>
      </c>
      <c r="J323">
        <v>1</v>
      </c>
      <c r="K323" t="s">
        <v>8935</v>
      </c>
    </row>
    <row r="324" spans="1:11" x14ac:dyDescent="0.25">
      <c r="A324" t="s">
        <v>1218</v>
      </c>
      <c r="B324" t="s">
        <v>11</v>
      </c>
      <c r="C324" t="s">
        <v>1219</v>
      </c>
      <c r="D324" t="s">
        <v>1220</v>
      </c>
      <c r="E324" t="s">
        <v>14</v>
      </c>
      <c r="F324" t="s">
        <v>15</v>
      </c>
      <c r="G324">
        <v>28269</v>
      </c>
      <c r="H324" t="s">
        <v>21</v>
      </c>
      <c r="I324">
        <v>90</v>
      </c>
      <c r="J324">
        <v>0</v>
      </c>
      <c r="K324" t="s">
        <v>8920</v>
      </c>
    </row>
    <row r="325" spans="1:11" x14ac:dyDescent="0.25">
      <c r="A325" t="s">
        <v>1221</v>
      </c>
      <c r="B325" t="s">
        <v>1222</v>
      </c>
      <c r="C325" t="s">
        <v>1087</v>
      </c>
      <c r="D325" t="s">
        <v>1223</v>
      </c>
      <c r="E325" t="s">
        <v>14</v>
      </c>
      <c r="F325" t="s">
        <v>15</v>
      </c>
      <c r="G325">
        <v>28273</v>
      </c>
      <c r="H325" t="s">
        <v>48</v>
      </c>
      <c r="I325">
        <v>161</v>
      </c>
      <c r="J325">
        <v>1</v>
      </c>
      <c r="K325" t="s">
        <v>8935</v>
      </c>
    </row>
    <row r="326" spans="1:11" x14ac:dyDescent="0.25">
      <c r="A326" t="s">
        <v>1224</v>
      </c>
      <c r="B326" t="s">
        <v>1225</v>
      </c>
      <c r="C326" t="s">
        <v>1226</v>
      </c>
      <c r="D326" t="s">
        <v>1227</v>
      </c>
      <c r="E326" t="s">
        <v>14</v>
      </c>
      <c r="F326" t="s">
        <v>15</v>
      </c>
      <c r="G326">
        <v>28205</v>
      </c>
      <c r="H326" t="s">
        <v>21</v>
      </c>
      <c r="I326">
        <v>247</v>
      </c>
      <c r="J326">
        <v>1</v>
      </c>
      <c r="K326" t="s">
        <v>8927</v>
      </c>
    </row>
    <row r="327" spans="1:11" x14ac:dyDescent="0.25">
      <c r="A327" t="s">
        <v>1228</v>
      </c>
      <c r="B327" t="s">
        <v>1229</v>
      </c>
      <c r="C327" t="s">
        <v>1230</v>
      </c>
      <c r="D327" t="s">
        <v>1231</v>
      </c>
      <c r="E327" t="s">
        <v>14</v>
      </c>
      <c r="F327" t="s">
        <v>15</v>
      </c>
      <c r="G327">
        <v>28211</v>
      </c>
      <c r="H327" t="s">
        <v>16</v>
      </c>
      <c r="I327">
        <v>8</v>
      </c>
      <c r="J327">
        <v>0</v>
      </c>
      <c r="K327" t="s">
        <v>8935</v>
      </c>
    </row>
    <row r="328" spans="1:11" x14ac:dyDescent="0.25">
      <c r="A328" t="s">
        <v>1232</v>
      </c>
      <c r="B328" t="s">
        <v>176</v>
      </c>
      <c r="C328" t="s">
        <v>1233</v>
      </c>
      <c r="D328" t="s">
        <v>1234</v>
      </c>
      <c r="E328" t="s">
        <v>14</v>
      </c>
      <c r="F328" t="s">
        <v>15</v>
      </c>
      <c r="G328">
        <v>28277</v>
      </c>
      <c r="H328" t="s">
        <v>21</v>
      </c>
      <c r="I328">
        <v>9</v>
      </c>
      <c r="J328">
        <v>1</v>
      </c>
      <c r="K328" t="s">
        <v>8935</v>
      </c>
    </row>
    <row r="329" spans="1:11" x14ac:dyDescent="0.25">
      <c r="A329" t="s">
        <v>1235</v>
      </c>
      <c r="B329" t="s">
        <v>1236</v>
      </c>
      <c r="C329" t="s">
        <v>1237</v>
      </c>
      <c r="D329" t="s">
        <v>1238</v>
      </c>
      <c r="E329" t="s">
        <v>14</v>
      </c>
      <c r="F329" t="s">
        <v>15</v>
      </c>
      <c r="G329">
        <v>28213</v>
      </c>
      <c r="H329" t="s">
        <v>26</v>
      </c>
      <c r="I329">
        <v>4</v>
      </c>
      <c r="J329">
        <v>1</v>
      </c>
      <c r="K329" t="s">
        <v>8931</v>
      </c>
    </row>
    <row r="330" spans="1:11" x14ac:dyDescent="0.25">
      <c r="A330" t="s">
        <v>1239</v>
      </c>
      <c r="B330" t="s">
        <v>254</v>
      </c>
      <c r="C330" t="s">
        <v>1240</v>
      </c>
      <c r="D330" t="s">
        <v>1241</v>
      </c>
      <c r="E330" t="s">
        <v>14</v>
      </c>
      <c r="F330" t="s">
        <v>15</v>
      </c>
      <c r="G330">
        <v>28208</v>
      </c>
      <c r="H330" t="s">
        <v>195</v>
      </c>
      <c r="I330">
        <v>5</v>
      </c>
      <c r="J330">
        <v>1</v>
      </c>
      <c r="K330" t="s">
        <v>8935</v>
      </c>
    </row>
    <row r="331" spans="1:11" x14ac:dyDescent="0.25">
      <c r="A331" t="s">
        <v>1242</v>
      </c>
      <c r="B331" t="s">
        <v>1243</v>
      </c>
      <c r="C331" t="s">
        <v>1244</v>
      </c>
      <c r="D331" t="s">
        <v>1245</v>
      </c>
      <c r="E331" t="s">
        <v>14</v>
      </c>
      <c r="F331" t="s">
        <v>15</v>
      </c>
      <c r="G331">
        <v>28211</v>
      </c>
      <c r="H331" t="s">
        <v>16</v>
      </c>
      <c r="I331">
        <v>300</v>
      </c>
      <c r="J331">
        <v>1</v>
      </c>
      <c r="K331" t="s">
        <v>8936</v>
      </c>
    </row>
    <row r="332" spans="1:11" x14ac:dyDescent="0.25">
      <c r="A332" t="s">
        <v>1246</v>
      </c>
      <c r="B332" t="s">
        <v>1247</v>
      </c>
      <c r="C332" t="s">
        <v>1248</v>
      </c>
      <c r="D332" t="s">
        <v>1249</v>
      </c>
      <c r="E332" t="s">
        <v>14</v>
      </c>
      <c r="F332" t="s">
        <v>15</v>
      </c>
      <c r="G332">
        <v>28216</v>
      </c>
      <c r="H332" t="s">
        <v>21</v>
      </c>
      <c r="I332">
        <v>144</v>
      </c>
      <c r="J332">
        <v>1</v>
      </c>
      <c r="K332" t="s">
        <v>8935</v>
      </c>
    </row>
    <row r="333" spans="1:11" x14ac:dyDescent="0.25">
      <c r="A333" t="s">
        <v>1250</v>
      </c>
      <c r="B333" t="s">
        <v>1251</v>
      </c>
      <c r="C333" t="s">
        <v>1252</v>
      </c>
      <c r="D333" t="s">
        <v>1253</v>
      </c>
      <c r="E333" t="s">
        <v>14</v>
      </c>
      <c r="F333" t="s">
        <v>15</v>
      </c>
      <c r="G333">
        <v>28277</v>
      </c>
      <c r="H333" t="s">
        <v>21</v>
      </c>
      <c r="I333">
        <v>93</v>
      </c>
      <c r="J333">
        <v>1</v>
      </c>
      <c r="K333" t="s">
        <v>8926</v>
      </c>
    </row>
    <row r="334" spans="1:11" x14ac:dyDescent="0.25">
      <c r="A334" t="s">
        <v>1254</v>
      </c>
      <c r="B334" t="s">
        <v>1255</v>
      </c>
      <c r="C334" t="s">
        <v>1256</v>
      </c>
      <c r="D334" t="s">
        <v>850</v>
      </c>
      <c r="E334" t="s">
        <v>14</v>
      </c>
      <c r="F334" t="s">
        <v>15</v>
      </c>
      <c r="G334">
        <v>28202</v>
      </c>
      <c r="H334" t="s">
        <v>26</v>
      </c>
      <c r="I334">
        <v>362</v>
      </c>
      <c r="J334">
        <v>1</v>
      </c>
      <c r="K334" t="s">
        <v>8935</v>
      </c>
    </row>
    <row r="335" spans="1:11" x14ac:dyDescent="0.25">
      <c r="A335" t="s">
        <v>1257</v>
      </c>
      <c r="B335" t="s">
        <v>1258</v>
      </c>
      <c r="C335" t="s">
        <v>1259</v>
      </c>
      <c r="D335" t="s">
        <v>1260</v>
      </c>
      <c r="E335" t="s">
        <v>14</v>
      </c>
      <c r="F335" t="s">
        <v>15</v>
      </c>
      <c r="G335">
        <v>28202</v>
      </c>
      <c r="H335" t="s">
        <v>16</v>
      </c>
      <c r="I335">
        <v>19</v>
      </c>
      <c r="J335">
        <v>1</v>
      </c>
      <c r="K335" t="s">
        <v>8920</v>
      </c>
    </row>
    <row r="336" spans="1:11" x14ac:dyDescent="0.25">
      <c r="A336" t="s">
        <v>1261</v>
      </c>
      <c r="B336" t="s">
        <v>1262</v>
      </c>
      <c r="C336" t="s">
        <v>1263</v>
      </c>
      <c r="D336" t="s">
        <v>1264</v>
      </c>
      <c r="E336" t="s">
        <v>14</v>
      </c>
      <c r="F336" t="s">
        <v>15</v>
      </c>
      <c r="G336">
        <v>28277</v>
      </c>
      <c r="H336" t="s">
        <v>16</v>
      </c>
      <c r="I336">
        <v>50</v>
      </c>
      <c r="J336">
        <v>1</v>
      </c>
      <c r="K336" t="s">
        <v>8935</v>
      </c>
    </row>
    <row r="337" spans="1:11" x14ac:dyDescent="0.25">
      <c r="A337" t="s">
        <v>1265</v>
      </c>
      <c r="B337" t="s">
        <v>1266</v>
      </c>
      <c r="C337" t="s">
        <v>1267</v>
      </c>
      <c r="D337" t="s">
        <v>1268</v>
      </c>
      <c r="E337" t="s">
        <v>14</v>
      </c>
      <c r="F337" t="s">
        <v>15</v>
      </c>
      <c r="G337">
        <v>28203</v>
      </c>
      <c r="H337" t="s">
        <v>39</v>
      </c>
      <c r="I337">
        <v>375</v>
      </c>
      <c r="J337">
        <v>1</v>
      </c>
      <c r="K337" t="s">
        <v>8935</v>
      </c>
    </row>
    <row r="338" spans="1:11" x14ac:dyDescent="0.25">
      <c r="A338" t="s">
        <v>1269</v>
      </c>
      <c r="B338" t="s">
        <v>316</v>
      </c>
      <c r="C338" t="s">
        <v>1270</v>
      </c>
      <c r="D338" t="s">
        <v>1271</v>
      </c>
      <c r="E338" t="s">
        <v>14</v>
      </c>
      <c r="F338" t="s">
        <v>15</v>
      </c>
      <c r="G338">
        <v>28262</v>
      </c>
      <c r="H338" t="s">
        <v>16</v>
      </c>
      <c r="I338">
        <v>87</v>
      </c>
      <c r="J338">
        <v>1</v>
      </c>
      <c r="K338" t="s">
        <v>8935</v>
      </c>
    </row>
    <row r="339" spans="1:11" x14ac:dyDescent="0.25">
      <c r="A339" t="s">
        <v>1272</v>
      </c>
      <c r="B339" t="s">
        <v>1273</v>
      </c>
      <c r="C339" t="s">
        <v>364</v>
      </c>
      <c r="D339" t="s">
        <v>1274</v>
      </c>
      <c r="E339" t="s">
        <v>14</v>
      </c>
      <c r="F339" t="s">
        <v>15</v>
      </c>
      <c r="G339">
        <v>28269</v>
      </c>
      <c r="H339" t="s">
        <v>48</v>
      </c>
      <c r="I339">
        <v>14</v>
      </c>
      <c r="J339">
        <v>1</v>
      </c>
      <c r="K339" t="s">
        <v>8935</v>
      </c>
    </row>
    <row r="340" spans="1:11" x14ac:dyDescent="0.25">
      <c r="A340" t="s">
        <v>1275</v>
      </c>
      <c r="B340" t="s">
        <v>316</v>
      </c>
      <c r="C340" t="s">
        <v>1276</v>
      </c>
      <c r="D340" t="s">
        <v>1277</v>
      </c>
      <c r="E340" t="s">
        <v>14</v>
      </c>
      <c r="F340" t="s">
        <v>15</v>
      </c>
      <c r="G340">
        <v>28227</v>
      </c>
      <c r="H340" t="s">
        <v>101</v>
      </c>
      <c r="I340">
        <v>5</v>
      </c>
      <c r="J340">
        <v>1</v>
      </c>
      <c r="K340" t="s">
        <v>8935</v>
      </c>
    </row>
    <row r="341" spans="1:11" x14ac:dyDescent="0.25">
      <c r="A341" t="s">
        <v>1278</v>
      </c>
      <c r="B341" t="s">
        <v>1279</v>
      </c>
      <c r="C341" t="s">
        <v>622</v>
      </c>
      <c r="D341" t="s">
        <v>1280</v>
      </c>
      <c r="E341" t="s">
        <v>14</v>
      </c>
      <c r="F341" t="s">
        <v>15</v>
      </c>
      <c r="G341">
        <v>28208</v>
      </c>
      <c r="H341" t="s">
        <v>26</v>
      </c>
      <c r="I341">
        <v>30</v>
      </c>
      <c r="J341">
        <v>1</v>
      </c>
      <c r="K341" t="s">
        <v>8935</v>
      </c>
    </row>
    <row r="342" spans="1:11" x14ac:dyDescent="0.25">
      <c r="A342" t="s">
        <v>1281</v>
      </c>
      <c r="B342" t="s">
        <v>1282</v>
      </c>
      <c r="C342" t="s">
        <v>1283</v>
      </c>
      <c r="D342" t="s">
        <v>1284</v>
      </c>
      <c r="E342" t="s">
        <v>14</v>
      </c>
      <c r="F342" t="s">
        <v>15</v>
      </c>
      <c r="G342">
        <v>28202</v>
      </c>
      <c r="H342" t="s">
        <v>16</v>
      </c>
      <c r="I342">
        <v>59</v>
      </c>
      <c r="J342">
        <v>1</v>
      </c>
      <c r="K342" t="s">
        <v>8935</v>
      </c>
    </row>
    <row r="343" spans="1:11" x14ac:dyDescent="0.25">
      <c r="A343" t="s">
        <v>1285</v>
      </c>
      <c r="B343" t="s">
        <v>556</v>
      </c>
      <c r="C343" t="s">
        <v>1286</v>
      </c>
      <c r="D343" t="s">
        <v>1287</v>
      </c>
      <c r="E343" t="s">
        <v>14</v>
      </c>
      <c r="F343" t="s">
        <v>15</v>
      </c>
      <c r="G343">
        <v>28263</v>
      </c>
      <c r="H343" t="s">
        <v>21</v>
      </c>
      <c r="I343">
        <v>3</v>
      </c>
      <c r="J343">
        <v>0</v>
      </c>
      <c r="K343" t="s">
        <v>8935</v>
      </c>
    </row>
    <row r="344" spans="1:11" x14ac:dyDescent="0.25">
      <c r="A344" t="s">
        <v>1288</v>
      </c>
      <c r="B344" t="s">
        <v>1289</v>
      </c>
      <c r="C344" t="s">
        <v>1290</v>
      </c>
      <c r="D344" t="s">
        <v>1291</v>
      </c>
      <c r="E344" t="s">
        <v>14</v>
      </c>
      <c r="F344" t="s">
        <v>15</v>
      </c>
      <c r="G344">
        <v>28202</v>
      </c>
      <c r="H344" t="s">
        <v>21</v>
      </c>
      <c r="I344">
        <v>51</v>
      </c>
      <c r="J344">
        <v>1</v>
      </c>
      <c r="K344" t="s">
        <v>8935</v>
      </c>
    </row>
    <row r="345" spans="1:11" x14ac:dyDescent="0.25">
      <c r="A345" t="s">
        <v>1292</v>
      </c>
      <c r="B345" t="s">
        <v>1293</v>
      </c>
      <c r="C345" t="s">
        <v>1294</v>
      </c>
      <c r="D345" t="s">
        <v>1295</v>
      </c>
      <c r="E345" t="s">
        <v>14</v>
      </c>
      <c r="F345" t="s">
        <v>15</v>
      </c>
      <c r="G345">
        <v>28263</v>
      </c>
      <c r="H345" t="s">
        <v>16</v>
      </c>
      <c r="I345">
        <v>49</v>
      </c>
      <c r="J345">
        <v>1</v>
      </c>
      <c r="K345" t="s">
        <v>8935</v>
      </c>
    </row>
    <row r="346" spans="1:11" x14ac:dyDescent="0.25">
      <c r="A346" t="s">
        <v>1296</v>
      </c>
      <c r="B346" t="s">
        <v>1297</v>
      </c>
      <c r="C346" t="s">
        <v>1298</v>
      </c>
      <c r="D346" t="s">
        <v>1299</v>
      </c>
      <c r="E346" t="s">
        <v>14</v>
      </c>
      <c r="F346" t="s">
        <v>15</v>
      </c>
      <c r="G346">
        <v>28203</v>
      </c>
      <c r="H346" t="s">
        <v>16</v>
      </c>
      <c r="I346">
        <v>68</v>
      </c>
      <c r="J346">
        <v>0</v>
      </c>
      <c r="K346" t="s">
        <v>8935</v>
      </c>
    </row>
    <row r="347" spans="1:11" x14ac:dyDescent="0.25">
      <c r="A347" t="s">
        <v>1300</v>
      </c>
      <c r="B347" t="s">
        <v>1301</v>
      </c>
      <c r="C347" t="s">
        <v>1302</v>
      </c>
      <c r="D347" t="s">
        <v>1303</v>
      </c>
      <c r="E347" t="s">
        <v>14</v>
      </c>
      <c r="F347" t="s">
        <v>15</v>
      </c>
      <c r="G347">
        <v>28204</v>
      </c>
      <c r="H347" t="s">
        <v>39</v>
      </c>
      <c r="I347">
        <v>3</v>
      </c>
      <c r="J347">
        <v>1</v>
      </c>
      <c r="K347" t="s">
        <v>8935</v>
      </c>
    </row>
    <row r="348" spans="1:11" x14ac:dyDescent="0.25">
      <c r="A348" t="s">
        <v>1304</v>
      </c>
      <c r="B348" t="s">
        <v>1305</v>
      </c>
      <c r="C348" t="s">
        <v>1306</v>
      </c>
      <c r="D348" t="s">
        <v>1307</v>
      </c>
      <c r="E348" t="s">
        <v>14</v>
      </c>
      <c r="F348" t="s">
        <v>15</v>
      </c>
      <c r="G348">
        <v>28202</v>
      </c>
      <c r="H348" t="s">
        <v>48</v>
      </c>
      <c r="I348">
        <v>5</v>
      </c>
      <c r="J348">
        <v>1</v>
      </c>
      <c r="K348" t="s">
        <v>8927</v>
      </c>
    </row>
    <row r="349" spans="1:11" x14ac:dyDescent="0.25">
      <c r="A349" t="s">
        <v>1308</v>
      </c>
      <c r="B349" t="s">
        <v>316</v>
      </c>
      <c r="C349" t="s">
        <v>1309</v>
      </c>
      <c r="D349" t="s">
        <v>1310</v>
      </c>
      <c r="E349" t="s">
        <v>14</v>
      </c>
      <c r="F349" t="s">
        <v>15</v>
      </c>
      <c r="G349">
        <v>28215</v>
      </c>
      <c r="H349" t="s">
        <v>146</v>
      </c>
      <c r="I349">
        <v>4</v>
      </c>
      <c r="J349">
        <v>0</v>
      </c>
      <c r="K349" t="s">
        <v>8935</v>
      </c>
    </row>
    <row r="350" spans="1:11" x14ac:dyDescent="0.25">
      <c r="A350" t="s">
        <v>1311</v>
      </c>
      <c r="B350" t="s">
        <v>1312</v>
      </c>
      <c r="C350" t="s">
        <v>1313</v>
      </c>
      <c r="D350" t="s">
        <v>1314</v>
      </c>
      <c r="E350" t="s">
        <v>14</v>
      </c>
      <c r="F350" t="s">
        <v>15</v>
      </c>
      <c r="G350">
        <v>28205</v>
      </c>
      <c r="H350" t="s">
        <v>16</v>
      </c>
      <c r="I350">
        <v>373</v>
      </c>
      <c r="J350">
        <v>1</v>
      </c>
      <c r="K350" t="s">
        <v>8937</v>
      </c>
    </row>
    <row r="351" spans="1:11" x14ac:dyDescent="0.25">
      <c r="A351" t="s">
        <v>1315</v>
      </c>
      <c r="B351" t="s">
        <v>1316</v>
      </c>
      <c r="C351" t="s">
        <v>1317</v>
      </c>
      <c r="D351" t="s">
        <v>1318</v>
      </c>
      <c r="E351" t="s">
        <v>14</v>
      </c>
      <c r="F351" t="s">
        <v>15</v>
      </c>
      <c r="G351">
        <v>28216</v>
      </c>
      <c r="H351" t="s">
        <v>26</v>
      </c>
      <c r="I351">
        <v>7</v>
      </c>
      <c r="J351">
        <v>1</v>
      </c>
      <c r="K351" t="s">
        <v>8935</v>
      </c>
    </row>
    <row r="352" spans="1:11" x14ac:dyDescent="0.25">
      <c r="A352" t="s">
        <v>1319</v>
      </c>
      <c r="B352" t="s">
        <v>1320</v>
      </c>
      <c r="C352" t="s">
        <v>1321</v>
      </c>
      <c r="D352" t="s">
        <v>1322</v>
      </c>
      <c r="E352" t="s">
        <v>14</v>
      </c>
      <c r="F352" t="s">
        <v>15</v>
      </c>
      <c r="G352">
        <v>28277</v>
      </c>
      <c r="H352" t="s">
        <v>26</v>
      </c>
      <c r="I352">
        <v>21</v>
      </c>
      <c r="J352">
        <v>0</v>
      </c>
      <c r="K352" t="s">
        <v>8935</v>
      </c>
    </row>
    <row r="353" spans="1:11" x14ac:dyDescent="0.25">
      <c r="A353" t="s">
        <v>1323</v>
      </c>
      <c r="B353" t="s">
        <v>1324</v>
      </c>
      <c r="C353" t="s">
        <v>1135</v>
      </c>
      <c r="D353" t="s">
        <v>1325</v>
      </c>
      <c r="E353" t="s">
        <v>14</v>
      </c>
      <c r="F353" t="s">
        <v>15</v>
      </c>
      <c r="G353">
        <v>28277</v>
      </c>
      <c r="H353" t="s">
        <v>26</v>
      </c>
      <c r="I353">
        <v>58</v>
      </c>
      <c r="J353">
        <v>1</v>
      </c>
      <c r="K353" t="s">
        <v>8935</v>
      </c>
    </row>
    <row r="354" spans="1:11" x14ac:dyDescent="0.25">
      <c r="A354" t="s">
        <v>1326</v>
      </c>
      <c r="B354" t="s">
        <v>556</v>
      </c>
      <c r="C354" t="s">
        <v>51</v>
      </c>
      <c r="D354" t="s">
        <v>1327</v>
      </c>
      <c r="E354" t="s">
        <v>14</v>
      </c>
      <c r="F354" t="s">
        <v>15</v>
      </c>
      <c r="G354">
        <v>28226</v>
      </c>
      <c r="H354" t="s">
        <v>21</v>
      </c>
      <c r="I354">
        <v>5</v>
      </c>
      <c r="J354">
        <v>0</v>
      </c>
      <c r="K354" t="s">
        <v>8935</v>
      </c>
    </row>
    <row r="355" spans="1:11" x14ac:dyDescent="0.25">
      <c r="A355" t="s">
        <v>1328</v>
      </c>
      <c r="B355" t="s">
        <v>1329</v>
      </c>
      <c r="C355" t="s">
        <v>1330</v>
      </c>
      <c r="D355" t="s">
        <v>1331</v>
      </c>
      <c r="E355" t="s">
        <v>14</v>
      </c>
      <c r="F355" t="s">
        <v>15</v>
      </c>
      <c r="G355">
        <v>28209</v>
      </c>
      <c r="H355" t="s">
        <v>39</v>
      </c>
      <c r="I355">
        <v>16</v>
      </c>
      <c r="J355">
        <v>1</v>
      </c>
      <c r="K355" t="s">
        <v>8923</v>
      </c>
    </row>
    <row r="356" spans="1:11" x14ac:dyDescent="0.25">
      <c r="A356" t="s">
        <v>1332</v>
      </c>
      <c r="B356" t="s">
        <v>1333</v>
      </c>
      <c r="C356" t="s">
        <v>1334</v>
      </c>
      <c r="D356" t="s">
        <v>1335</v>
      </c>
      <c r="E356" t="s">
        <v>14</v>
      </c>
      <c r="F356" t="s">
        <v>15</v>
      </c>
      <c r="G356">
        <v>28203</v>
      </c>
      <c r="H356" t="s">
        <v>146</v>
      </c>
      <c r="I356">
        <v>4</v>
      </c>
      <c r="J356">
        <v>0</v>
      </c>
      <c r="K356" t="s">
        <v>8935</v>
      </c>
    </row>
    <row r="357" spans="1:11" x14ac:dyDescent="0.25">
      <c r="A357" t="s">
        <v>1336</v>
      </c>
      <c r="B357" t="s">
        <v>1337</v>
      </c>
      <c r="C357" t="s">
        <v>997</v>
      </c>
      <c r="D357" t="s">
        <v>1338</v>
      </c>
      <c r="E357" t="s">
        <v>14</v>
      </c>
      <c r="F357" t="s">
        <v>15</v>
      </c>
      <c r="G357">
        <v>28211</v>
      </c>
      <c r="H357" t="s">
        <v>48</v>
      </c>
      <c r="I357">
        <v>46</v>
      </c>
      <c r="J357">
        <v>1</v>
      </c>
      <c r="K357" t="s">
        <v>8935</v>
      </c>
    </row>
    <row r="358" spans="1:11" x14ac:dyDescent="0.25">
      <c r="A358" t="s">
        <v>1339</v>
      </c>
      <c r="B358" t="s">
        <v>1340</v>
      </c>
      <c r="C358" t="s">
        <v>1341</v>
      </c>
      <c r="D358" t="s">
        <v>954</v>
      </c>
      <c r="E358" t="s">
        <v>14</v>
      </c>
      <c r="F358" t="s">
        <v>15</v>
      </c>
      <c r="G358">
        <v>28202</v>
      </c>
      <c r="H358" t="s">
        <v>16</v>
      </c>
      <c r="I358">
        <v>60</v>
      </c>
      <c r="J358">
        <v>1</v>
      </c>
      <c r="K358" t="s">
        <v>8935</v>
      </c>
    </row>
    <row r="359" spans="1:11" x14ac:dyDescent="0.25">
      <c r="A359" t="s">
        <v>1342</v>
      </c>
      <c r="B359" t="s">
        <v>1343</v>
      </c>
      <c r="C359" t="s">
        <v>1344</v>
      </c>
      <c r="D359" t="s">
        <v>1345</v>
      </c>
      <c r="E359" t="s">
        <v>14</v>
      </c>
      <c r="F359" t="s">
        <v>15</v>
      </c>
      <c r="G359">
        <v>28205</v>
      </c>
      <c r="H359" t="s">
        <v>39</v>
      </c>
      <c r="I359">
        <v>35</v>
      </c>
      <c r="J359">
        <v>1</v>
      </c>
      <c r="K359" t="s">
        <v>8935</v>
      </c>
    </row>
    <row r="360" spans="1:11" x14ac:dyDescent="0.25">
      <c r="A360" t="s">
        <v>1346</v>
      </c>
      <c r="B360" t="s">
        <v>1347</v>
      </c>
      <c r="C360" t="s">
        <v>1348</v>
      </c>
      <c r="D360" t="s">
        <v>1349</v>
      </c>
      <c r="E360" t="s">
        <v>14</v>
      </c>
      <c r="F360" t="s">
        <v>15</v>
      </c>
      <c r="G360">
        <v>28217</v>
      </c>
      <c r="H360" t="s">
        <v>26</v>
      </c>
      <c r="I360">
        <v>4</v>
      </c>
      <c r="J360">
        <v>1</v>
      </c>
      <c r="K360" t="s">
        <v>8930</v>
      </c>
    </row>
    <row r="361" spans="1:11" x14ac:dyDescent="0.25">
      <c r="A361" t="s">
        <v>1350</v>
      </c>
      <c r="B361" t="s">
        <v>1351</v>
      </c>
      <c r="C361" t="s">
        <v>1352</v>
      </c>
      <c r="D361" t="s">
        <v>1353</v>
      </c>
      <c r="E361" t="s">
        <v>14</v>
      </c>
      <c r="F361" t="s">
        <v>15</v>
      </c>
      <c r="G361">
        <v>28202</v>
      </c>
      <c r="H361" t="s">
        <v>26</v>
      </c>
      <c r="I361">
        <v>71</v>
      </c>
      <c r="J361">
        <v>1</v>
      </c>
      <c r="K361" t="s">
        <v>8923</v>
      </c>
    </row>
    <row r="362" spans="1:11" x14ac:dyDescent="0.25">
      <c r="A362" t="s">
        <v>1354</v>
      </c>
      <c r="B362" t="s">
        <v>90</v>
      </c>
      <c r="C362" t="s">
        <v>1355</v>
      </c>
      <c r="D362" t="s">
        <v>1356</v>
      </c>
      <c r="E362" t="s">
        <v>14</v>
      </c>
      <c r="F362" t="s">
        <v>15</v>
      </c>
      <c r="G362">
        <v>28203</v>
      </c>
      <c r="H362" t="s">
        <v>16</v>
      </c>
      <c r="I362">
        <v>258</v>
      </c>
      <c r="J362">
        <v>1</v>
      </c>
      <c r="K362" t="s">
        <v>8935</v>
      </c>
    </row>
    <row r="363" spans="1:11" x14ac:dyDescent="0.25">
      <c r="A363" t="s">
        <v>1357</v>
      </c>
      <c r="B363" t="s">
        <v>1358</v>
      </c>
      <c r="C363" t="s">
        <v>735</v>
      </c>
      <c r="D363" t="s">
        <v>1359</v>
      </c>
      <c r="E363" t="s">
        <v>14</v>
      </c>
      <c r="F363" t="s">
        <v>15</v>
      </c>
      <c r="G363">
        <v>28262</v>
      </c>
      <c r="H363" t="s">
        <v>21</v>
      </c>
      <c r="I363">
        <v>51</v>
      </c>
      <c r="J363">
        <v>1</v>
      </c>
      <c r="K363" t="s">
        <v>8935</v>
      </c>
    </row>
    <row r="364" spans="1:11" x14ac:dyDescent="0.25">
      <c r="A364" t="s">
        <v>1360</v>
      </c>
      <c r="B364" t="s">
        <v>1361</v>
      </c>
      <c r="C364" t="s">
        <v>1362</v>
      </c>
      <c r="D364" t="s">
        <v>1363</v>
      </c>
      <c r="E364" t="s">
        <v>14</v>
      </c>
      <c r="F364" t="s">
        <v>15</v>
      </c>
      <c r="G364">
        <v>28277</v>
      </c>
      <c r="H364" t="s">
        <v>21</v>
      </c>
      <c r="I364">
        <v>24</v>
      </c>
      <c r="J364">
        <v>0</v>
      </c>
      <c r="K364" t="s">
        <v>8935</v>
      </c>
    </row>
    <row r="365" spans="1:11" x14ac:dyDescent="0.25">
      <c r="A365" t="s">
        <v>1364</v>
      </c>
      <c r="B365" t="s">
        <v>1365</v>
      </c>
      <c r="C365" t="s">
        <v>376</v>
      </c>
      <c r="D365" t="s">
        <v>1366</v>
      </c>
      <c r="E365" t="s">
        <v>14</v>
      </c>
      <c r="F365" t="s">
        <v>15</v>
      </c>
      <c r="G365">
        <v>28262</v>
      </c>
      <c r="H365" t="s">
        <v>21</v>
      </c>
      <c r="I365">
        <v>112</v>
      </c>
      <c r="J365">
        <v>1</v>
      </c>
      <c r="K365" t="s">
        <v>8929</v>
      </c>
    </row>
    <row r="366" spans="1:11" x14ac:dyDescent="0.25">
      <c r="A366" t="e">
        <f>-_Ph_Y9mJWNdKqArDxp0lQ</f>
        <v>#NAME?</v>
      </c>
      <c r="B366" t="s">
        <v>1367</v>
      </c>
      <c r="C366" t="s">
        <v>1368</v>
      </c>
      <c r="D366" t="s">
        <v>396</v>
      </c>
      <c r="E366" t="s">
        <v>14</v>
      </c>
      <c r="F366" t="s">
        <v>15</v>
      </c>
      <c r="G366">
        <v>28205</v>
      </c>
      <c r="H366" t="s">
        <v>16</v>
      </c>
      <c r="I366">
        <v>140</v>
      </c>
      <c r="J366">
        <v>0</v>
      </c>
      <c r="K366" t="s">
        <v>8935</v>
      </c>
    </row>
    <row r="367" spans="1:11" x14ac:dyDescent="0.25">
      <c r="A367" t="s">
        <v>1369</v>
      </c>
      <c r="B367" t="s">
        <v>1370</v>
      </c>
      <c r="C367" t="s">
        <v>1371</v>
      </c>
      <c r="D367" t="s">
        <v>1372</v>
      </c>
      <c r="E367" t="s">
        <v>14</v>
      </c>
      <c r="F367" t="s">
        <v>15</v>
      </c>
      <c r="G367">
        <v>28273</v>
      </c>
      <c r="H367" t="s">
        <v>26</v>
      </c>
      <c r="I367">
        <v>171</v>
      </c>
      <c r="J367">
        <v>1</v>
      </c>
      <c r="K367" t="s">
        <v>8921</v>
      </c>
    </row>
    <row r="368" spans="1:11" x14ac:dyDescent="0.25">
      <c r="A368" t="s">
        <v>1373</v>
      </c>
      <c r="B368" t="s">
        <v>316</v>
      </c>
      <c r="C368" t="s">
        <v>317</v>
      </c>
      <c r="D368" t="s">
        <v>1374</v>
      </c>
      <c r="E368" t="s">
        <v>14</v>
      </c>
      <c r="F368" t="s">
        <v>15</v>
      </c>
      <c r="G368">
        <v>28277</v>
      </c>
      <c r="H368" t="s">
        <v>101</v>
      </c>
      <c r="I368">
        <v>11</v>
      </c>
      <c r="J368">
        <v>1</v>
      </c>
      <c r="K368" t="s">
        <v>8935</v>
      </c>
    </row>
    <row r="369" spans="1:11" x14ac:dyDescent="0.25">
      <c r="A369" t="s">
        <v>1375</v>
      </c>
      <c r="B369" t="s">
        <v>1376</v>
      </c>
      <c r="C369" t="s">
        <v>1377</v>
      </c>
      <c r="D369" t="s">
        <v>1378</v>
      </c>
      <c r="E369" t="s">
        <v>14</v>
      </c>
      <c r="F369" t="s">
        <v>15</v>
      </c>
      <c r="G369">
        <v>28203</v>
      </c>
      <c r="H369" t="s">
        <v>16</v>
      </c>
      <c r="I369">
        <v>157</v>
      </c>
      <c r="J369">
        <v>1</v>
      </c>
      <c r="K369" t="s">
        <v>8935</v>
      </c>
    </row>
    <row r="370" spans="1:11" x14ac:dyDescent="0.25">
      <c r="A370" t="s">
        <v>1379</v>
      </c>
      <c r="B370" t="s">
        <v>1380</v>
      </c>
      <c r="C370" t="s">
        <v>1381</v>
      </c>
      <c r="D370" t="s">
        <v>1382</v>
      </c>
      <c r="E370" t="s">
        <v>14</v>
      </c>
      <c r="F370" t="s">
        <v>15</v>
      </c>
      <c r="G370">
        <v>28211</v>
      </c>
      <c r="H370" t="s">
        <v>26</v>
      </c>
      <c r="I370">
        <v>94</v>
      </c>
      <c r="J370">
        <v>1</v>
      </c>
      <c r="K370" t="s">
        <v>8926</v>
      </c>
    </row>
    <row r="371" spans="1:11" x14ac:dyDescent="0.25">
      <c r="A371" t="s">
        <v>1383</v>
      </c>
      <c r="B371" t="s">
        <v>1384</v>
      </c>
      <c r="C371" t="s">
        <v>1385</v>
      </c>
      <c r="D371" t="s">
        <v>1386</v>
      </c>
      <c r="E371" t="s">
        <v>14</v>
      </c>
      <c r="F371" t="s">
        <v>15</v>
      </c>
      <c r="G371">
        <v>28205</v>
      </c>
      <c r="H371" t="s">
        <v>16</v>
      </c>
      <c r="I371">
        <v>1095</v>
      </c>
      <c r="J371">
        <v>1</v>
      </c>
      <c r="K371" t="s">
        <v>8925</v>
      </c>
    </row>
    <row r="372" spans="1:11" x14ac:dyDescent="0.25">
      <c r="A372" t="s">
        <v>1387</v>
      </c>
      <c r="B372" t="s">
        <v>1301</v>
      </c>
      <c r="C372" t="s">
        <v>1388</v>
      </c>
      <c r="D372" t="s">
        <v>84</v>
      </c>
      <c r="E372" t="s">
        <v>14</v>
      </c>
      <c r="F372" t="s">
        <v>15</v>
      </c>
      <c r="G372">
        <v>28208</v>
      </c>
      <c r="H372" t="s">
        <v>101</v>
      </c>
      <c r="I372">
        <v>3</v>
      </c>
      <c r="J372">
        <v>1</v>
      </c>
      <c r="K372" t="s">
        <v>8935</v>
      </c>
    </row>
    <row r="373" spans="1:11" x14ac:dyDescent="0.25">
      <c r="A373" t="s">
        <v>1389</v>
      </c>
      <c r="B373" t="s">
        <v>1390</v>
      </c>
      <c r="C373" t="s">
        <v>1391</v>
      </c>
      <c r="D373" t="s">
        <v>1392</v>
      </c>
      <c r="E373" t="s">
        <v>14</v>
      </c>
      <c r="F373" t="s">
        <v>15</v>
      </c>
      <c r="G373">
        <v>28208</v>
      </c>
      <c r="H373" t="s">
        <v>16</v>
      </c>
      <c r="I373">
        <v>8</v>
      </c>
      <c r="J373">
        <v>1</v>
      </c>
      <c r="K373" t="s">
        <v>8929</v>
      </c>
    </row>
    <row r="374" spans="1:11" x14ac:dyDescent="0.25">
      <c r="A374" t="s">
        <v>1393</v>
      </c>
      <c r="B374" t="s">
        <v>1394</v>
      </c>
      <c r="C374" t="s">
        <v>1395</v>
      </c>
      <c r="D374" t="s">
        <v>1396</v>
      </c>
      <c r="E374" t="s">
        <v>14</v>
      </c>
      <c r="F374" t="s">
        <v>15</v>
      </c>
      <c r="G374">
        <v>28216</v>
      </c>
      <c r="H374" t="s">
        <v>26</v>
      </c>
      <c r="I374">
        <v>86</v>
      </c>
      <c r="J374">
        <v>1</v>
      </c>
      <c r="K374" t="s">
        <v>8926</v>
      </c>
    </row>
    <row r="375" spans="1:11" x14ac:dyDescent="0.25">
      <c r="A375" t="s">
        <v>1397</v>
      </c>
      <c r="B375" t="s">
        <v>927</v>
      </c>
      <c r="C375" t="s">
        <v>1398</v>
      </c>
      <c r="D375" t="s">
        <v>1399</v>
      </c>
      <c r="E375" t="s">
        <v>14</v>
      </c>
      <c r="F375" t="s">
        <v>15</v>
      </c>
      <c r="G375">
        <v>28273</v>
      </c>
      <c r="H375" t="s">
        <v>21</v>
      </c>
      <c r="I375">
        <v>14</v>
      </c>
      <c r="J375">
        <v>0</v>
      </c>
      <c r="K375" t="s">
        <v>8923</v>
      </c>
    </row>
    <row r="376" spans="1:11" x14ac:dyDescent="0.25">
      <c r="A376" t="s">
        <v>1400</v>
      </c>
      <c r="B376" t="s">
        <v>220</v>
      </c>
      <c r="C376" t="s">
        <v>221</v>
      </c>
      <c r="D376" t="s">
        <v>1401</v>
      </c>
      <c r="E376" t="s">
        <v>14</v>
      </c>
      <c r="F376" t="s">
        <v>15</v>
      </c>
      <c r="G376">
        <v>28215</v>
      </c>
      <c r="H376" t="s">
        <v>195</v>
      </c>
      <c r="I376">
        <v>25</v>
      </c>
      <c r="J376">
        <v>1</v>
      </c>
      <c r="K376" t="s">
        <v>8935</v>
      </c>
    </row>
    <row r="377" spans="1:11" x14ac:dyDescent="0.25">
      <c r="A377" t="s">
        <v>1402</v>
      </c>
      <c r="B377" t="s">
        <v>139</v>
      </c>
      <c r="C377" t="s">
        <v>1403</v>
      </c>
      <c r="D377" t="s">
        <v>1404</v>
      </c>
      <c r="E377" t="s">
        <v>14</v>
      </c>
      <c r="F377" t="s">
        <v>15</v>
      </c>
      <c r="G377">
        <v>28270</v>
      </c>
      <c r="H377" t="s">
        <v>26</v>
      </c>
      <c r="I377">
        <v>16</v>
      </c>
      <c r="J377">
        <v>1</v>
      </c>
      <c r="K377" t="s">
        <v>8926</v>
      </c>
    </row>
    <row r="378" spans="1:11" x14ac:dyDescent="0.25">
      <c r="A378" t="s">
        <v>1405</v>
      </c>
      <c r="B378" t="s">
        <v>1406</v>
      </c>
      <c r="C378" t="s">
        <v>1407</v>
      </c>
      <c r="D378" t="s">
        <v>1408</v>
      </c>
      <c r="E378" t="s">
        <v>14</v>
      </c>
      <c r="F378" t="s">
        <v>15</v>
      </c>
      <c r="G378">
        <v>28226</v>
      </c>
      <c r="H378" t="s">
        <v>16</v>
      </c>
      <c r="I378">
        <v>369</v>
      </c>
      <c r="J378">
        <v>1</v>
      </c>
      <c r="K378" t="s">
        <v>8920</v>
      </c>
    </row>
    <row r="379" spans="1:11" x14ac:dyDescent="0.25">
      <c r="A379" t="s">
        <v>1409</v>
      </c>
      <c r="B379" t="s">
        <v>316</v>
      </c>
      <c r="C379" t="s">
        <v>317</v>
      </c>
      <c r="D379" t="s">
        <v>1410</v>
      </c>
      <c r="E379" t="s">
        <v>14</v>
      </c>
      <c r="F379" t="s">
        <v>15</v>
      </c>
      <c r="G379">
        <v>28226</v>
      </c>
      <c r="H379" t="s">
        <v>26</v>
      </c>
      <c r="I379">
        <v>13</v>
      </c>
      <c r="J379">
        <v>1</v>
      </c>
      <c r="K379" t="s">
        <v>8935</v>
      </c>
    </row>
    <row r="380" spans="1:11" x14ac:dyDescent="0.25">
      <c r="A380" t="s">
        <v>1411</v>
      </c>
      <c r="B380" t="s">
        <v>359</v>
      </c>
      <c r="C380" t="s">
        <v>1252</v>
      </c>
      <c r="D380" t="s">
        <v>1412</v>
      </c>
      <c r="E380" t="s">
        <v>14</v>
      </c>
      <c r="F380" t="s">
        <v>15</v>
      </c>
      <c r="G380">
        <v>28278</v>
      </c>
      <c r="H380" t="s">
        <v>26</v>
      </c>
      <c r="I380">
        <v>18</v>
      </c>
      <c r="J380">
        <v>0</v>
      </c>
      <c r="K380" t="s">
        <v>8935</v>
      </c>
    </row>
    <row r="381" spans="1:11" x14ac:dyDescent="0.25">
      <c r="A381" t="s">
        <v>1413</v>
      </c>
      <c r="B381" t="s">
        <v>1414</v>
      </c>
      <c r="C381" t="s">
        <v>1415</v>
      </c>
      <c r="D381" t="s">
        <v>1416</v>
      </c>
      <c r="E381" t="s">
        <v>14</v>
      </c>
      <c r="F381" t="s">
        <v>15</v>
      </c>
      <c r="G381">
        <v>28202</v>
      </c>
      <c r="H381" t="s">
        <v>26</v>
      </c>
      <c r="I381">
        <v>62</v>
      </c>
      <c r="J381">
        <v>0</v>
      </c>
      <c r="K381" t="s">
        <v>8935</v>
      </c>
    </row>
    <row r="382" spans="1:11" x14ac:dyDescent="0.25">
      <c r="A382" t="s">
        <v>1417</v>
      </c>
      <c r="B382" t="s">
        <v>1418</v>
      </c>
      <c r="C382" t="s">
        <v>1419</v>
      </c>
      <c r="D382" t="s">
        <v>1420</v>
      </c>
      <c r="E382" t="s">
        <v>14</v>
      </c>
      <c r="F382" t="s">
        <v>15</v>
      </c>
      <c r="G382">
        <v>28277</v>
      </c>
      <c r="H382" t="s">
        <v>26</v>
      </c>
      <c r="I382">
        <v>11</v>
      </c>
      <c r="J382">
        <v>0</v>
      </c>
      <c r="K382" t="s">
        <v>8935</v>
      </c>
    </row>
    <row r="383" spans="1:11" x14ac:dyDescent="0.25">
      <c r="A383" t="s">
        <v>1421</v>
      </c>
      <c r="B383" t="s">
        <v>1422</v>
      </c>
      <c r="C383" t="s">
        <v>1423</v>
      </c>
      <c r="D383" t="s">
        <v>1424</v>
      </c>
      <c r="E383" t="s">
        <v>14</v>
      </c>
      <c r="F383" t="s">
        <v>15</v>
      </c>
      <c r="G383">
        <v>28203</v>
      </c>
      <c r="H383" t="s">
        <v>16</v>
      </c>
      <c r="I383">
        <v>49</v>
      </c>
      <c r="J383">
        <v>1</v>
      </c>
      <c r="K383" t="s">
        <v>8922</v>
      </c>
    </row>
    <row r="384" spans="1:11" x14ac:dyDescent="0.25">
      <c r="A384" t="s">
        <v>1425</v>
      </c>
      <c r="B384" t="s">
        <v>1426</v>
      </c>
      <c r="C384" t="s">
        <v>1427</v>
      </c>
      <c r="D384" t="s">
        <v>1284</v>
      </c>
      <c r="E384" t="s">
        <v>14</v>
      </c>
      <c r="F384" t="s">
        <v>15</v>
      </c>
      <c r="G384">
        <v>28202</v>
      </c>
      <c r="H384" t="s">
        <v>39</v>
      </c>
      <c r="I384">
        <v>3</v>
      </c>
      <c r="J384">
        <v>0</v>
      </c>
      <c r="K384" t="s">
        <v>8935</v>
      </c>
    </row>
    <row r="385" spans="1:11" x14ac:dyDescent="0.25">
      <c r="A385" t="s">
        <v>1428</v>
      </c>
      <c r="B385" t="s">
        <v>1429</v>
      </c>
      <c r="C385" t="s">
        <v>735</v>
      </c>
      <c r="D385" t="s">
        <v>1430</v>
      </c>
      <c r="E385" t="s">
        <v>14</v>
      </c>
      <c r="F385" t="s">
        <v>15</v>
      </c>
      <c r="G385">
        <v>28211</v>
      </c>
      <c r="H385" t="s">
        <v>21</v>
      </c>
      <c r="I385">
        <v>30</v>
      </c>
      <c r="J385">
        <v>1</v>
      </c>
      <c r="K385" t="s">
        <v>8935</v>
      </c>
    </row>
    <row r="386" spans="1:11" x14ac:dyDescent="0.25">
      <c r="A386" t="s">
        <v>1431</v>
      </c>
      <c r="B386" t="s">
        <v>1432</v>
      </c>
      <c r="C386" t="s">
        <v>1433</v>
      </c>
      <c r="D386" t="s">
        <v>1434</v>
      </c>
      <c r="E386" t="s">
        <v>14</v>
      </c>
      <c r="F386" t="s">
        <v>15</v>
      </c>
      <c r="G386">
        <v>28213</v>
      </c>
      <c r="H386" t="s">
        <v>48</v>
      </c>
      <c r="I386">
        <v>9</v>
      </c>
      <c r="J386">
        <v>1</v>
      </c>
      <c r="K386" t="s">
        <v>8936</v>
      </c>
    </row>
    <row r="387" spans="1:11" x14ac:dyDescent="0.25">
      <c r="A387" t="s">
        <v>1435</v>
      </c>
      <c r="B387" t="s">
        <v>1436</v>
      </c>
      <c r="C387" t="s">
        <v>1437</v>
      </c>
      <c r="D387" t="s">
        <v>875</v>
      </c>
      <c r="E387" t="s">
        <v>14</v>
      </c>
      <c r="F387" t="s">
        <v>15</v>
      </c>
      <c r="G387">
        <v>28202</v>
      </c>
      <c r="H387" t="s">
        <v>16</v>
      </c>
      <c r="I387">
        <v>25</v>
      </c>
      <c r="J387">
        <v>1</v>
      </c>
      <c r="K387" t="s">
        <v>8935</v>
      </c>
    </row>
    <row r="388" spans="1:11" x14ac:dyDescent="0.25">
      <c r="A388" t="s">
        <v>1438</v>
      </c>
      <c r="B388" t="s">
        <v>1439</v>
      </c>
      <c r="C388" t="s">
        <v>1440</v>
      </c>
      <c r="D388" t="s">
        <v>1441</v>
      </c>
      <c r="E388" t="s">
        <v>14</v>
      </c>
      <c r="F388" t="s">
        <v>15</v>
      </c>
      <c r="G388">
        <v>28202</v>
      </c>
      <c r="H388" t="s">
        <v>26</v>
      </c>
      <c r="I388">
        <v>21</v>
      </c>
      <c r="J388">
        <v>0</v>
      </c>
      <c r="K388" t="s">
        <v>8920</v>
      </c>
    </row>
    <row r="389" spans="1:11" x14ac:dyDescent="0.25">
      <c r="A389" t="s">
        <v>1442</v>
      </c>
      <c r="B389" t="s">
        <v>1443</v>
      </c>
      <c r="C389" t="s">
        <v>1444</v>
      </c>
      <c r="D389" t="s">
        <v>1445</v>
      </c>
      <c r="E389" t="s">
        <v>14</v>
      </c>
      <c r="F389" t="s">
        <v>15</v>
      </c>
      <c r="G389">
        <v>28217</v>
      </c>
      <c r="H389" t="s">
        <v>16</v>
      </c>
      <c r="I389">
        <v>20</v>
      </c>
      <c r="J389">
        <v>1</v>
      </c>
      <c r="K389" t="s">
        <v>8926</v>
      </c>
    </row>
    <row r="390" spans="1:11" x14ac:dyDescent="0.25">
      <c r="A390" t="s">
        <v>1446</v>
      </c>
      <c r="B390" t="s">
        <v>1447</v>
      </c>
      <c r="C390" t="s">
        <v>1448</v>
      </c>
      <c r="D390" t="s">
        <v>1449</v>
      </c>
      <c r="E390" t="s">
        <v>14</v>
      </c>
      <c r="F390" t="s">
        <v>15</v>
      </c>
      <c r="G390">
        <v>28202</v>
      </c>
      <c r="H390" t="s">
        <v>21</v>
      </c>
      <c r="I390">
        <v>45</v>
      </c>
      <c r="J390">
        <v>0</v>
      </c>
      <c r="K390" t="s">
        <v>8935</v>
      </c>
    </row>
    <row r="391" spans="1:11" x14ac:dyDescent="0.25">
      <c r="A391" t="s">
        <v>1450</v>
      </c>
      <c r="B391" t="s">
        <v>1451</v>
      </c>
      <c r="C391" t="s">
        <v>1452</v>
      </c>
      <c r="D391" t="s">
        <v>1453</v>
      </c>
      <c r="E391" t="s">
        <v>14</v>
      </c>
      <c r="F391" t="s">
        <v>15</v>
      </c>
      <c r="G391">
        <v>28207</v>
      </c>
      <c r="H391" t="s">
        <v>21</v>
      </c>
      <c r="I391">
        <v>40</v>
      </c>
      <c r="J391">
        <v>1</v>
      </c>
      <c r="K391" t="s">
        <v>8935</v>
      </c>
    </row>
    <row r="392" spans="1:11" x14ac:dyDescent="0.25">
      <c r="A392" t="s">
        <v>1454</v>
      </c>
      <c r="B392" t="s">
        <v>209</v>
      </c>
      <c r="C392" t="s">
        <v>276</v>
      </c>
      <c r="D392" t="s">
        <v>1455</v>
      </c>
      <c r="E392" t="s">
        <v>14</v>
      </c>
      <c r="F392" t="s">
        <v>15</v>
      </c>
      <c r="G392">
        <v>28216</v>
      </c>
      <c r="H392" t="s">
        <v>26</v>
      </c>
      <c r="I392">
        <v>75</v>
      </c>
      <c r="J392">
        <v>1</v>
      </c>
      <c r="K392" t="s">
        <v>8925</v>
      </c>
    </row>
    <row r="393" spans="1:11" x14ac:dyDescent="0.25">
      <c r="A393" t="s">
        <v>1456</v>
      </c>
      <c r="B393" t="s">
        <v>1457</v>
      </c>
      <c r="C393" t="s">
        <v>1458</v>
      </c>
      <c r="D393" t="s">
        <v>1399</v>
      </c>
      <c r="E393" t="s">
        <v>14</v>
      </c>
      <c r="F393" t="s">
        <v>15</v>
      </c>
      <c r="G393">
        <v>28273</v>
      </c>
      <c r="H393" t="s">
        <v>21</v>
      </c>
      <c r="I393">
        <v>82</v>
      </c>
      <c r="J393">
        <v>1</v>
      </c>
      <c r="K393" t="s">
        <v>8921</v>
      </c>
    </row>
    <row r="394" spans="1:11" x14ac:dyDescent="0.25">
      <c r="A394" t="s">
        <v>1459</v>
      </c>
      <c r="B394" t="s">
        <v>1460</v>
      </c>
      <c r="C394" t="s">
        <v>1461</v>
      </c>
      <c r="D394" t="s">
        <v>1462</v>
      </c>
      <c r="E394" t="s">
        <v>14</v>
      </c>
      <c r="F394" t="s">
        <v>15</v>
      </c>
      <c r="G394">
        <v>28209</v>
      </c>
      <c r="H394" t="s">
        <v>26</v>
      </c>
      <c r="I394">
        <v>48</v>
      </c>
      <c r="J394">
        <v>1</v>
      </c>
      <c r="K394" t="s">
        <v>8935</v>
      </c>
    </row>
    <row r="395" spans="1:11" x14ac:dyDescent="0.25">
      <c r="A395" t="s">
        <v>1463</v>
      </c>
      <c r="B395" t="s">
        <v>1464</v>
      </c>
      <c r="C395" t="s">
        <v>1465</v>
      </c>
      <c r="D395" t="s">
        <v>1466</v>
      </c>
      <c r="E395" t="s">
        <v>14</v>
      </c>
      <c r="F395" t="s">
        <v>15</v>
      </c>
      <c r="G395">
        <v>28277</v>
      </c>
      <c r="H395" t="s">
        <v>39</v>
      </c>
      <c r="I395">
        <v>11</v>
      </c>
      <c r="J395">
        <v>0</v>
      </c>
      <c r="K395" t="s">
        <v>8935</v>
      </c>
    </row>
    <row r="396" spans="1:11" x14ac:dyDescent="0.25">
      <c r="A396" t="s">
        <v>1467</v>
      </c>
      <c r="B396" t="s">
        <v>1468</v>
      </c>
      <c r="C396" t="s">
        <v>321</v>
      </c>
      <c r="D396" t="s">
        <v>1469</v>
      </c>
      <c r="E396" t="s">
        <v>14</v>
      </c>
      <c r="F396" t="s">
        <v>15</v>
      </c>
      <c r="G396">
        <v>28205</v>
      </c>
      <c r="H396" t="s">
        <v>101</v>
      </c>
      <c r="I396">
        <v>13</v>
      </c>
      <c r="J396">
        <v>1</v>
      </c>
      <c r="K396" t="s">
        <v>8935</v>
      </c>
    </row>
    <row r="397" spans="1:11" x14ac:dyDescent="0.25">
      <c r="A397" t="s">
        <v>1470</v>
      </c>
      <c r="B397" t="s">
        <v>1471</v>
      </c>
      <c r="C397" t="s">
        <v>1472</v>
      </c>
      <c r="D397" t="s">
        <v>1473</v>
      </c>
      <c r="E397" t="s">
        <v>14</v>
      </c>
      <c r="F397" t="s">
        <v>15</v>
      </c>
      <c r="G397">
        <v>28216</v>
      </c>
      <c r="H397" t="s">
        <v>39</v>
      </c>
      <c r="I397">
        <v>5</v>
      </c>
      <c r="J397">
        <v>1</v>
      </c>
      <c r="K397" t="s">
        <v>8932</v>
      </c>
    </row>
    <row r="398" spans="1:11" x14ac:dyDescent="0.25">
      <c r="A398" t="s">
        <v>1474</v>
      </c>
      <c r="B398" t="s">
        <v>1475</v>
      </c>
      <c r="C398" t="s">
        <v>46</v>
      </c>
      <c r="D398" t="s">
        <v>1476</v>
      </c>
      <c r="E398" t="s">
        <v>14</v>
      </c>
      <c r="F398" t="s">
        <v>15</v>
      </c>
      <c r="G398">
        <v>28262</v>
      </c>
      <c r="H398" t="s">
        <v>48</v>
      </c>
      <c r="I398">
        <v>59</v>
      </c>
      <c r="J398">
        <v>1</v>
      </c>
      <c r="K398" t="s">
        <v>8935</v>
      </c>
    </row>
    <row r="399" spans="1:11" x14ac:dyDescent="0.25">
      <c r="A399" t="s">
        <v>1477</v>
      </c>
      <c r="B399" t="s">
        <v>228</v>
      </c>
      <c r="C399" t="s">
        <v>1478</v>
      </c>
      <c r="D399" t="s">
        <v>1479</v>
      </c>
      <c r="E399" t="s">
        <v>14</v>
      </c>
      <c r="F399" t="s">
        <v>15</v>
      </c>
      <c r="G399">
        <v>28277</v>
      </c>
      <c r="H399" t="s">
        <v>48</v>
      </c>
      <c r="I399">
        <v>12</v>
      </c>
      <c r="J399">
        <v>0</v>
      </c>
      <c r="K399" t="s">
        <v>8935</v>
      </c>
    </row>
    <row r="400" spans="1:11" x14ac:dyDescent="0.25">
      <c r="A400" t="s">
        <v>1480</v>
      </c>
      <c r="B400" t="s">
        <v>1481</v>
      </c>
      <c r="C400" t="s">
        <v>1482</v>
      </c>
      <c r="D400" t="s">
        <v>1483</v>
      </c>
      <c r="E400" t="s">
        <v>14</v>
      </c>
      <c r="F400" t="s">
        <v>15</v>
      </c>
      <c r="G400">
        <v>28211</v>
      </c>
      <c r="H400" t="s">
        <v>48</v>
      </c>
      <c r="I400">
        <v>3</v>
      </c>
      <c r="J400">
        <v>1</v>
      </c>
      <c r="K400" t="s">
        <v>8935</v>
      </c>
    </row>
    <row r="401" spans="1:11" x14ac:dyDescent="0.25">
      <c r="A401" t="s">
        <v>1484</v>
      </c>
      <c r="B401" t="s">
        <v>1485</v>
      </c>
      <c r="C401" t="s">
        <v>1486</v>
      </c>
      <c r="D401" t="s">
        <v>1487</v>
      </c>
      <c r="E401" t="s">
        <v>14</v>
      </c>
      <c r="F401" t="s">
        <v>15</v>
      </c>
      <c r="G401">
        <v>28273</v>
      </c>
      <c r="H401" t="s">
        <v>195</v>
      </c>
      <c r="I401">
        <v>10</v>
      </c>
      <c r="J401">
        <v>1</v>
      </c>
      <c r="K401" t="s">
        <v>8927</v>
      </c>
    </row>
    <row r="402" spans="1:11" x14ac:dyDescent="0.25">
      <c r="A402" t="s">
        <v>1488</v>
      </c>
      <c r="B402" t="s">
        <v>1489</v>
      </c>
      <c r="C402" t="s">
        <v>1490</v>
      </c>
      <c r="D402" t="s">
        <v>1491</v>
      </c>
      <c r="E402" t="s">
        <v>14</v>
      </c>
      <c r="F402" t="s">
        <v>15</v>
      </c>
      <c r="G402">
        <v>28203</v>
      </c>
      <c r="H402" t="s">
        <v>16</v>
      </c>
      <c r="I402">
        <v>1502</v>
      </c>
      <c r="J402">
        <v>1</v>
      </c>
      <c r="K402" t="s">
        <v>8935</v>
      </c>
    </row>
    <row r="403" spans="1:11" x14ac:dyDescent="0.25">
      <c r="A403" t="s">
        <v>1492</v>
      </c>
      <c r="B403" t="s">
        <v>1493</v>
      </c>
      <c r="C403" t="s">
        <v>1494</v>
      </c>
      <c r="D403" t="s">
        <v>1495</v>
      </c>
      <c r="E403" t="s">
        <v>14</v>
      </c>
      <c r="F403" t="s">
        <v>15</v>
      </c>
      <c r="G403">
        <v>28270</v>
      </c>
      <c r="H403" t="s">
        <v>26</v>
      </c>
      <c r="I403">
        <v>33</v>
      </c>
      <c r="J403">
        <v>1</v>
      </c>
      <c r="K403" t="s">
        <v>8935</v>
      </c>
    </row>
    <row r="404" spans="1:11" x14ac:dyDescent="0.25">
      <c r="A404" t="s">
        <v>1496</v>
      </c>
      <c r="B404" t="s">
        <v>1497</v>
      </c>
      <c r="C404" t="s">
        <v>611</v>
      </c>
      <c r="D404" t="s">
        <v>1498</v>
      </c>
      <c r="E404" t="s">
        <v>14</v>
      </c>
      <c r="F404" t="s">
        <v>15</v>
      </c>
      <c r="G404">
        <v>28277</v>
      </c>
      <c r="H404" t="s">
        <v>26</v>
      </c>
      <c r="I404">
        <v>150</v>
      </c>
      <c r="J404">
        <v>1</v>
      </c>
      <c r="K404" t="s">
        <v>8925</v>
      </c>
    </row>
    <row r="405" spans="1:11" x14ac:dyDescent="0.25">
      <c r="A405" t="s">
        <v>1499</v>
      </c>
      <c r="B405" t="s">
        <v>840</v>
      </c>
      <c r="C405" t="s">
        <v>1500</v>
      </c>
      <c r="D405" t="s">
        <v>1501</v>
      </c>
      <c r="E405" t="s">
        <v>14</v>
      </c>
      <c r="F405" t="s">
        <v>15</v>
      </c>
      <c r="G405">
        <v>28277</v>
      </c>
      <c r="H405" t="s">
        <v>16</v>
      </c>
      <c r="I405">
        <v>18</v>
      </c>
      <c r="J405">
        <v>1</v>
      </c>
      <c r="K405" t="s">
        <v>8935</v>
      </c>
    </row>
    <row r="406" spans="1:11" x14ac:dyDescent="0.25">
      <c r="A406" t="s">
        <v>1502</v>
      </c>
      <c r="B406" t="s">
        <v>312</v>
      </c>
      <c r="C406" t="s">
        <v>1503</v>
      </c>
      <c r="D406" t="s">
        <v>1504</v>
      </c>
      <c r="E406" t="s">
        <v>14</v>
      </c>
      <c r="F406" t="s">
        <v>15</v>
      </c>
      <c r="G406">
        <v>28216</v>
      </c>
      <c r="H406" t="s">
        <v>48</v>
      </c>
      <c r="I406">
        <v>6</v>
      </c>
      <c r="J406">
        <v>0</v>
      </c>
      <c r="K406" t="s">
        <v>8925</v>
      </c>
    </row>
    <row r="407" spans="1:11" x14ac:dyDescent="0.25">
      <c r="A407" t="s">
        <v>1505</v>
      </c>
      <c r="B407" t="s">
        <v>1506</v>
      </c>
      <c r="C407" t="s">
        <v>1507</v>
      </c>
      <c r="D407" t="s">
        <v>1508</v>
      </c>
      <c r="E407" t="s">
        <v>14</v>
      </c>
      <c r="F407" t="s">
        <v>15</v>
      </c>
      <c r="G407">
        <v>28205</v>
      </c>
      <c r="H407" t="s">
        <v>16</v>
      </c>
      <c r="I407">
        <v>30</v>
      </c>
      <c r="J407">
        <v>1</v>
      </c>
      <c r="K407" t="s">
        <v>8935</v>
      </c>
    </row>
    <row r="408" spans="1:11" x14ac:dyDescent="0.25">
      <c r="A408" t="s">
        <v>1509</v>
      </c>
      <c r="B408" t="s">
        <v>1510</v>
      </c>
      <c r="C408" t="s">
        <v>1461</v>
      </c>
      <c r="D408" t="s">
        <v>1511</v>
      </c>
      <c r="E408" t="s">
        <v>14</v>
      </c>
      <c r="F408" t="s">
        <v>15</v>
      </c>
      <c r="G408">
        <v>28262</v>
      </c>
      <c r="H408" t="s">
        <v>21</v>
      </c>
      <c r="I408">
        <v>31</v>
      </c>
      <c r="J408">
        <v>0</v>
      </c>
      <c r="K408" t="s">
        <v>8935</v>
      </c>
    </row>
    <row r="409" spans="1:11" x14ac:dyDescent="0.25">
      <c r="A409" t="s">
        <v>1512</v>
      </c>
      <c r="B409" t="s">
        <v>1513</v>
      </c>
      <c r="C409" t="s">
        <v>1514</v>
      </c>
      <c r="D409" t="s">
        <v>1515</v>
      </c>
      <c r="E409" t="s">
        <v>14</v>
      </c>
      <c r="F409" t="s">
        <v>15</v>
      </c>
      <c r="G409">
        <v>28277</v>
      </c>
      <c r="H409" t="s">
        <v>39</v>
      </c>
      <c r="I409">
        <v>239</v>
      </c>
      <c r="J409">
        <v>1</v>
      </c>
      <c r="K409" t="s">
        <v>8923</v>
      </c>
    </row>
    <row r="410" spans="1:11" x14ac:dyDescent="0.25">
      <c r="A410" t="s">
        <v>1516</v>
      </c>
      <c r="B410" t="s">
        <v>1517</v>
      </c>
      <c r="C410" t="s">
        <v>1518</v>
      </c>
      <c r="D410" t="s">
        <v>1519</v>
      </c>
      <c r="E410" t="s">
        <v>14</v>
      </c>
      <c r="F410" t="s">
        <v>15</v>
      </c>
      <c r="G410">
        <v>28202</v>
      </c>
      <c r="H410" t="s">
        <v>26</v>
      </c>
      <c r="I410">
        <v>11</v>
      </c>
      <c r="J410">
        <v>0</v>
      </c>
      <c r="K410" t="s">
        <v>8935</v>
      </c>
    </row>
    <row r="411" spans="1:11" x14ac:dyDescent="0.25">
      <c r="A411" t="s">
        <v>1520</v>
      </c>
      <c r="B411" t="s">
        <v>1521</v>
      </c>
      <c r="C411" t="s">
        <v>1522</v>
      </c>
      <c r="D411" t="s">
        <v>1523</v>
      </c>
      <c r="E411" t="s">
        <v>14</v>
      </c>
      <c r="F411" t="s">
        <v>15</v>
      </c>
      <c r="G411">
        <v>28211</v>
      </c>
      <c r="H411" t="s">
        <v>16</v>
      </c>
      <c r="I411">
        <v>52</v>
      </c>
      <c r="J411">
        <v>1</v>
      </c>
      <c r="K411" t="s">
        <v>8935</v>
      </c>
    </row>
    <row r="412" spans="1:11" x14ac:dyDescent="0.25">
      <c r="A412" t="s">
        <v>1524</v>
      </c>
      <c r="B412" t="s">
        <v>1525</v>
      </c>
      <c r="C412" t="s">
        <v>1526</v>
      </c>
      <c r="D412" t="s">
        <v>1527</v>
      </c>
      <c r="E412" t="s">
        <v>14</v>
      </c>
      <c r="F412" t="s">
        <v>15</v>
      </c>
      <c r="G412">
        <v>28202</v>
      </c>
      <c r="H412" t="s">
        <v>39</v>
      </c>
      <c r="I412">
        <v>311</v>
      </c>
      <c r="J412">
        <v>1</v>
      </c>
      <c r="K412" t="s">
        <v>8935</v>
      </c>
    </row>
    <row r="413" spans="1:11" x14ac:dyDescent="0.25">
      <c r="A413" t="s">
        <v>1528</v>
      </c>
      <c r="B413" t="s">
        <v>1529</v>
      </c>
      <c r="C413" t="s">
        <v>1530</v>
      </c>
      <c r="D413" t="s">
        <v>1531</v>
      </c>
      <c r="E413" t="s">
        <v>14</v>
      </c>
      <c r="F413" t="s">
        <v>15</v>
      </c>
      <c r="G413">
        <v>28209</v>
      </c>
      <c r="H413" t="s">
        <v>21</v>
      </c>
      <c r="I413">
        <v>47</v>
      </c>
      <c r="J413">
        <v>1</v>
      </c>
      <c r="K413" t="s">
        <v>8935</v>
      </c>
    </row>
    <row r="414" spans="1:11" x14ac:dyDescent="0.25">
      <c r="A414" t="s">
        <v>1532</v>
      </c>
      <c r="B414" t="s">
        <v>1533</v>
      </c>
      <c r="C414" t="s">
        <v>1534</v>
      </c>
      <c r="D414" t="s">
        <v>1535</v>
      </c>
      <c r="E414" t="s">
        <v>14</v>
      </c>
      <c r="F414" t="s">
        <v>15</v>
      </c>
      <c r="G414">
        <v>28203</v>
      </c>
      <c r="H414" t="s">
        <v>16</v>
      </c>
      <c r="I414">
        <v>505</v>
      </c>
      <c r="J414">
        <v>1</v>
      </c>
      <c r="K414" t="s">
        <v>8935</v>
      </c>
    </row>
    <row r="415" spans="1:11" x14ac:dyDescent="0.25">
      <c r="A415" t="s">
        <v>1536</v>
      </c>
      <c r="B415" t="s">
        <v>1537</v>
      </c>
      <c r="C415" t="s">
        <v>1538</v>
      </c>
      <c r="D415" t="s">
        <v>353</v>
      </c>
      <c r="E415" t="s">
        <v>14</v>
      </c>
      <c r="F415" t="s">
        <v>15</v>
      </c>
      <c r="G415">
        <v>28262</v>
      </c>
      <c r="H415" t="s">
        <v>48</v>
      </c>
      <c r="I415">
        <v>11</v>
      </c>
      <c r="J415">
        <v>0</v>
      </c>
      <c r="K415" t="s">
        <v>8935</v>
      </c>
    </row>
    <row r="416" spans="1:11" x14ac:dyDescent="0.25">
      <c r="A416" t="s">
        <v>1539</v>
      </c>
      <c r="B416" t="s">
        <v>312</v>
      </c>
      <c r="C416" t="s">
        <v>1540</v>
      </c>
      <c r="D416" t="s">
        <v>1541</v>
      </c>
      <c r="E416" t="s">
        <v>14</v>
      </c>
      <c r="F416" t="s">
        <v>15</v>
      </c>
      <c r="G416">
        <v>28226</v>
      </c>
      <c r="H416" t="s">
        <v>16</v>
      </c>
      <c r="I416">
        <v>134</v>
      </c>
      <c r="J416">
        <v>1</v>
      </c>
      <c r="K416" t="s">
        <v>8925</v>
      </c>
    </row>
    <row r="417" spans="1:11" x14ac:dyDescent="0.25">
      <c r="A417" t="s">
        <v>1542</v>
      </c>
      <c r="B417" t="s">
        <v>1543</v>
      </c>
      <c r="C417" t="s">
        <v>1544</v>
      </c>
      <c r="D417" t="s">
        <v>1545</v>
      </c>
      <c r="E417" t="s">
        <v>14</v>
      </c>
      <c r="F417" t="s">
        <v>15</v>
      </c>
      <c r="G417">
        <v>28202</v>
      </c>
      <c r="H417" t="s">
        <v>48</v>
      </c>
      <c r="I417">
        <v>9</v>
      </c>
      <c r="J417">
        <v>1</v>
      </c>
      <c r="K417" t="s">
        <v>8930</v>
      </c>
    </row>
    <row r="418" spans="1:11" x14ac:dyDescent="0.25">
      <c r="A418" t="s">
        <v>1546</v>
      </c>
      <c r="B418" t="s">
        <v>1547</v>
      </c>
      <c r="C418" t="s">
        <v>1548</v>
      </c>
      <c r="D418" t="s">
        <v>1549</v>
      </c>
      <c r="E418" t="s">
        <v>14</v>
      </c>
      <c r="F418" t="s">
        <v>15</v>
      </c>
      <c r="G418">
        <v>28203</v>
      </c>
      <c r="H418" t="s">
        <v>39</v>
      </c>
      <c r="I418">
        <v>437</v>
      </c>
      <c r="J418">
        <v>1</v>
      </c>
      <c r="K418" t="s">
        <v>8935</v>
      </c>
    </row>
    <row r="419" spans="1:11" x14ac:dyDescent="0.25">
      <c r="A419" t="s">
        <v>1550</v>
      </c>
      <c r="B419" t="s">
        <v>1551</v>
      </c>
      <c r="C419" t="s">
        <v>1135</v>
      </c>
      <c r="D419" t="s">
        <v>1552</v>
      </c>
      <c r="E419" t="s">
        <v>14</v>
      </c>
      <c r="F419" t="s">
        <v>15</v>
      </c>
      <c r="G419">
        <v>28208</v>
      </c>
      <c r="H419" t="s">
        <v>101</v>
      </c>
      <c r="I419">
        <v>28</v>
      </c>
      <c r="J419">
        <v>1</v>
      </c>
      <c r="K419" t="s">
        <v>8935</v>
      </c>
    </row>
    <row r="420" spans="1:11" x14ac:dyDescent="0.25">
      <c r="A420" t="s">
        <v>1553</v>
      </c>
      <c r="B420" t="s">
        <v>1273</v>
      </c>
      <c r="C420" t="s">
        <v>364</v>
      </c>
      <c r="D420" t="s">
        <v>1554</v>
      </c>
      <c r="E420" t="s">
        <v>14</v>
      </c>
      <c r="F420" t="s">
        <v>15</v>
      </c>
      <c r="G420">
        <v>28282</v>
      </c>
      <c r="H420" t="s">
        <v>48</v>
      </c>
      <c r="I420">
        <v>5</v>
      </c>
      <c r="J420">
        <v>1</v>
      </c>
      <c r="K420" t="s">
        <v>8935</v>
      </c>
    </row>
    <row r="421" spans="1:11" x14ac:dyDescent="0.25">
      <c r="A421" t="s">
        <v>1555</v>
      </c>
      <c r="B421" t="s">
        <v>1556</v>
      </c>
      <c r="C421" t="s">
        <v>1557</v>
      </c>
      <c r="D421" t="s">
        <v>1558</v>
      </c>
      <c r="E421" t="s">
        <v>14</v>
      </c>
      <c r="F421" t="s">
        <v>15</v>
      </c>
      <c r="G421">
        <v>28217</v>
      </c>
      <c r="H421" t="s">
        <v>39</v>
      </c>
      <c r="I421">
        <v>21</v>
      </c>
      <c r="J421">
        <v>1</v>
      </c>
      <c r="K421" t="s">
        <v>8925</v>
      </c>
    </row>
    <row r="422" spans="1:11" x14ac:dyDescent="0.25">
      <c r="A422" t="s">
        <v>1559</v>
      </c>
      <c r="B422" t="s">
        <v>1560</v>
      </c>
      <c r="C422" t="s">
        <v>193</v>
      </c>
      <c r="D422" t="s">
        <v>1561</v>
      </c>
      <c r="E422" t="s">
        <v>14</v>
      </c>
      <c r="F422" t="s">
        <v>15</v>
      </c>
      <c r="G422">
        <v>28262</v>
      </c>
      <c r="H422" t="s">
        <v>195</v>
      </c>
      <c r="I422">
        <v>28</v>
      </c>
      <c r="J422">
        <v>1</v>
      </c>
      <c r="K422" t="s">
        <v>8935</v>
      </c>
    </row>
    <row r="423" spans="1:11" x14ac:dyDescent="0.25">
      <c r="A423" t="s">
        <v>1562</v>
      </c>
      <c r="B423" t="s">
        <v>1563</v>
      </c>
      <c r="C423" t="s">
        <v>1112</v>
      </c>
      <c r="D423" t="s">
        <v>1564</v>
      </c>
      <c r="E423" t="s">
        <v>14</v>
      </c>
      <c r="F423" t="s">
        <v>15</v>
      </c>
      <c r="G423">
        <v>28202</v>
      </c>
      <c r="H423" t="s">
        <v>16</v>
      </c>
      <c r="I423">
        <v>526</v>
      </c>
      <c r="J423">
        <v>1</v>
      </c>
      <c r="K423" t="s">
        <v>8935</v>
      </c>
    </row>
    <row r="424" spans="1:11" x14ac:dyDescent="0.25">
      <c r="A424" t="s">
        <v>1565</v>
      </c>
      <c r="B424" t="s">
        <v>1566</v>
      </c>
      <c r="C424" t="s">
        <v>1567</v>
      </c>
      <c r="D424" t="s">
        <v>842</v>
      </c>
      <c r="E424" t="s">
        <v>14</v>
      </c>
      <c r="F424" t="s">
        <v>15</v>
      </c>
      <c r="G424">
        <v>28202</v>
      </c>
      <c r="H424" t="s">
        <v>21</v>
      </c>
      <c r="I424">
        <v>13</v>
      </c>
      <c r="J424">
        <v>1</v>
      </c>
      <c r="K424" t="s">
        <v>8935</v>
      </c>
    </row>
    <row r="425" spans="1:11" x14ac:dyDescent="0.25">
      <c r="A425" t="s">
        <v>1568</v>
      </c>
      <c r="B425" t="s">
        <v>1569</v>
      </c>
      <c r="C425" t="s">
        <v>1570</v>
      </c>
      <c r="D425" t="s">
        <v>1571</v>
      </c>
      <c r="E425" t="s">
        <v>14</v>
      </c>
      <c r="F425" t="s">
        <v>15</v>
      </c>
      <c r="G425">
        <v>28202</v>
      </c>
      <c r="H425" t="s">
        <v>26</v>
      </c>
      <c r="I425">
        <v>647</v>
      </c>
      <c r="J425">
        <v>1</v>
      </c>
      <c r="K425" t="s">
        <v>8935</v>
      </c>
    </row>
    <row r="426" spans="1:11" x14ac:dyDescent="0.25">
      <c r="A426" t="s">
        <v>1572</v>
      </c>
      <c r="B426" t="s">
        <v>1573</v>
      </c>
      <c r="C426" t="s">
        <v>1574</v>
      </c>
      <c r="D426" t="s">
        <v>1575</v>
      </c>
      <c r="E426" t="s">
        <v>14</v>
      </c>
      <c r="F426" t="s">
        <v>15</v>
      </c>
      <c r="G426">
        <v>28277</v>
      </c>
      <c r="H426" t="s">
        <v>16</v>
      </c>
      <c r="I426">
        <v>42</v>
      </c>
      <c r="J426">
        <v>1</v>
      </c>
      <c r="K426" t="s">
        <v>8935</v>
      </c>
    </row>
    <row r="427" spans="1:11" x14ac:dyDescent="0.25">
      <c r="A427" t="s">
        <v>1576</v>
      </c>
      <c r="B427" t="s">
        <v>1577</v>
      </c>
      <c r="C427" t="s">
        <v>1578</v>
      </c>
      <c r="D427" t="s">
        <v>1579</v>
      </c>
      <c r="E427" t="s">
        <v>14</v>
      </c>
      <c r="F427" t="s">
        <v>15</v>
      </c>
      <c r="G427">
        <v>28277</v>
      </c>
      <c r="H427" t="s">
        <v>39</v>
      </c>
      <c r="I427">
        <v>51</v>
      </c>
      <c r="J427">
        <v>1</v>
      </c>
      <c r="K427" t="s">
        <v>8935</v>
      </c>
    </row>
    <row r="428" spans="1:11" x14ac:dyDescent="0.25">
      <c r="A428" t="s">
        <v>1580</v>
      </c>
      <c r="B428" t="s">
        <v>1581</v>
      </c>
      <c r="C428" t="s">
        <v>1582</v>
      </c>
      <c r="D428" t="s">
        <v>1583</v>
      </c>
      <c r="E428" t="s">
        <v>14</v>
      </c>
      <c r="F428" t="s">
        <v>15</v>
      </c>
      <c r="G428">
        <v>28210</v>
      </c>
      <c r="H428" t="s">
        <v>21</v>
      </c>
      <c r="I428">
        <v>243</v>
      </c>
      <c r="J428">
        <v>1</v>
      </c>
      <c r="K428" t="s">
        <v>8921</v>
      </c>
    </row>
    <row r="429" spans="1:11" x14ac:dyDescent="0.25">
      <c r="A429" t="s">
        <v>1584</v>
      </c>
      <c r="B429" t="s">
        <v>1585</v>
      </c>
      <c r="C429" t="s">
        <v>1586</v>
      </c>
      <c r="D429" t="s">
        <v>1587</v>
      </c>
      <c r="E429" t="s">
        <v>14</v>
      </c>
      <c r="F429" t="s">
        <v>15</v>
      </c>
      <c r="G429">
        <v>28217</v>
      </c>
      <c r="H429" t="s">
        <v>16</v>
      </c>
      <c r="I429">
        <v>4</v>
      </c>
      <c r="J429">
        <v>1</v>
      </c>
      <c r="K429" t="s">
        <v>8925</v>
      </c>
    </row>
    <row r="430" spans="1:11" x14ac:dyDescent="0.25">
      <c r="A430" t="s">
        <v>1588</v>
      </c>
      <c r="B430" t="s">
        <v>1589</v>
      </c>
      <c r="C430" t="s">
        <v>1590</v>
      </c>
      <c r="D430" t="s">
        <v>1591</v>
      </c>
      <c r="E430" t="s">
        <v>14</v>
      </c>
      <c r="F430" t="s">
        <v>15</v>
      </c>
      <c r="G430">
        <v>28277</v>
      </c>
      <c r="H430" t="s">
        <v>16</v>
      </c>
      <c r="I430">
        <v>302</v>
      </c>
      <c r="J430">
        <v>1</v>
      </c>
      <c r="K430" t="s">
        <v>8935</v>
      </c>
    </row>
    <row r="431" spans="1:11" x14ac:dyDescent="0.25">
      <c r="A431" t="s">
        <v>1592</v>
      </c>
      <c r="B431" t="s">
        <v>1593</v>
      </c>
      <c r="C431" t="s">
        <v>1594</v>
      </c>
      <c r="D431" t="s">
        <v>583</v>
      </c>
      <c r="E431" t="s">
        <v>14</v>
      </c>
      <c r="F431" t="s">
        <v>15</v>
      </c>
      <c r="G431">
        <v>28203</v>
      </c>
      <c r="H431" t="s">
        <v>26</v>
      </c>
      <c r="I431">
        <v>10</v>
      </c>
      <c r="J431">
        <v>0</v>
      </c>
      <c r="K431" t="s">
        <v>8935</v>
      </c>
    </row>
    <row r="432" spans="1:11" x14ac:dyDescent="0.25">
      <c r="A432" t="s">
        <v>1595</v>
      </c>
      <c r="B432" t="s">
        <v>1596</v>
      </c>
      <c r="C432" t="s">
        <v>1597</v>
      </c>
      <c r="D432" t="s">
        <v>1598</v>
      </c>
      <c r="E432" t="s">
        <v>14</v>
      </c>
      <c r="F432" t="s">
        <v>15</v>
      </c>
      <c r="G432">
        <v>28213</v>
      </c>
      <c r="H432" t="s">
        <v>48</v>
      </c>
      <c r="I432">
        <v>17</v>
      </c>
      <c r="J432">
        <v>1</v>
      </c>
      <c r="K432" t="s">
        <v>8935</v>
      </c>
    </row>
    <row r="433" spans="1:11" x14ac:dyDescent="0.25">
      <c r="A433" t="s">
        <v>1599</v>
      </c>
      <c r="B433" t="s">
        <v>691</v>
      </c>
      <c r="C433" t="s">
        <v>1600</v>
      </c>
      <c r="D433" t="s">
        <v>1601</v>
      </c>
      <c r="E433" t="s">
        <v>14</v>
      </c>
      <c r="F433" t="s">
        <v>15</v>
      </c>
      <c r="G433">
        <v>28209</v>
      </c>
      <c r="H433" t="s">
        <v>39</v>
      </c>
      <c r="I433">
        <v>9</v>
      </c>
      <c r="J433">
        <v>1</v>
      </c>
      <c r="K433" t="s">
        <v>8935</v>
      </c>
    </row>
    <row r="434" spans="1:11" x14ac:dyDescent="0.25">
      <c r="A434" t="s">
        <v>1602</v>
      </c>
      <c r="B434" t="s">
        <v>1603</v>
      </c>
      <c r="C434" t="s">
        <v>1604</v>
      </c>
      <c r="D434" t="s">
        <v>1605</v>
      </c>
      <c r="E434" t="s">
        <v>14</v>
      </c>
      <c r="F434" t="s">
        <v>15</v>
      </c>
      <c r="G434">
        <v>28262</v>
      </c>
      <c r="H434" t="s">
        <v>26</v>
      </c>
      <c r="I434">
        <v>210</v>
      </c>
      <c r="J434">
        <v>1</v>
      </c>
      <c r="K434" t="s">
        <v>8925</v>
      </c>
    </row>
    <row r="435" spans="1:11" x14ac:dyDescent="0.25">
      <c r="A435" t="s">
        <v>1606</v>
      </c>
      <c r="B435" t="s">
        <v>1607</v>
      </c>
      <c r="C435" t="s">
        <v>1608</v>
      </c>
      <c r="D435" t="s">
        <v>1609</v>
      </c>
      <c r="E435" t="s">
        <v>14</v>
      </c>
      <c r="F435" t="s">
        <v>15</v>
      </c>
      <c r="G435">
        <v>28226</v>
      </c>
      <c r="H435" t="s">
        <v>195</v>
      </c>
      <c r="I435">
        <v>29</v>
      </c>
      <c r="J435">
        <v>1</v>
      </c>
      <c r="K435" t="s">
        <v>8921</v>
      </c>
    </row>
    <row r="436" spans="1:11" x14ac:dyDescent="0.25">
      <c r="A436" t="s">
        <v>1610</v>
      </c>
      <c r="B436" t="s">
        <v>1611</v>
      </c>
      <c r="C436" t="s">
        <v>1612</v>
      </c>
      <c r="D436" t="s">
        <v>1613</v>
      </c>
      <c r="E436" t="s">
        <v>14</v>
      </c>
      <c r="F436" t="s">
        <v>15</v>
      </c>
      <c r="G436">
        <v>28203</v>
      </c>
      <c r="H436" t="s">
        <v>21</v>
      </c>
      <c r="I436">
        <v>45</v>
      </c>
      <c r="J436">
        <v>1</v>
      </c>
      <c r="K436" t="s">
        <v>8923</v>
      </c>
    </row>
    <row r="437" spans="1:11" x14ac:dyDescent="0.25">
      <c r="A437" t="s">
        <v>1614</v>
      </c>
      <c r="B437" t="s">
        <v>139</v>
      </c>
      <c r="C437" t="s">
        <v>1615</v>
      </c>
      <c r="D437" t="s">
        <v>1009</v>
      </c>
      <c r="E437" t="s">
        <v>14</v>
      </c>
      <c r="F437" t="s">
        <v>15</v>
      </c>
      <c r="G437">
        <v>28204</v>
      </c>
      <c r="H437" t="s">
        <v>26</v>
      </c>
      <c r="I437">
        <v>31</v>
      </c>
      <c r="J437">
        <v>1</v>
      </c>
      <c r="K437" t="s">
        <v>8926</v>
      </c>
    </row>
    <row r="438" spans="1:11" x14ac:dyDescent="0.25">
      <c r="A438" t="s">
        <v>1616</v>
      </c>
      <c r="B438" t="s">
        <v>1329</v>
      </c>
      <c r="C438" t="s">
        <v>1617</v>
      </c>
      <c r="D438" t="s">
        <v>1618</v>
      </c>
      <c r="E438" t="s">
        <v>14</v>
      </c>
      <c r="F438" t="s">
        <v>15</v>
      </c>
      <c r="G438">
        <v>28204</v>
      </c>
      <c r="H438" t="s">
        <v>16</v>
      </c>
      <c r="I438">
        <v>106</v>
      </c>
      <c r="J438">
        <v>1</v>
      </c>
      <c r="K438" t="s">
        <v>8923</v>
      </c>
    </row>
    <row r="439" spans="1:11" x14ac:dyDescent="0.25">
      <c r="A439" t="s">
        <v>1619</v>
      </c>
      <c r="B439" t="s">
        <v>1620</v>
      </c>
      <c r="C439" t="s">
        <v>364</v>
      </c>
      <c r="D439" t="s">
        <v>1621</v>
      </c>
      <c r="E439" t="s">
        <v>14</v>
      </c>
      <c r="F439" t="s">
        <v>15</v>
      </c>
      <c r="G439">
        <v>28208</v>
      </c>
      <c r="H439" t="s">
        <v>21</v>
      </c>
      <c r="I439">
        <v>7</v>
      </c>
      <c r="J439">
        <v>1</v>
      </c>
      <c r="K439" t="s">
        <v>8935</v>
      </c>
    </row>
    <row r="440" spans="1:11" x14ac:dyDescent="0.25">
      <c r="A440" t="s">
        <v>1622</v>
      </c>
      <c r="B440" t="s">
        <v>1623</v>
      </c>
      <c r="C440" t="s">
        <v>1624</v>
      </c>
      <c r="D440" t="s">
        <v>1625</v>
      </c>
      <c r="E440" t="s">
        <v>14</v>
      </c>
      <c r="F440" t="s">
        <v>15</v>
      </c>
      <c r="G440">
        <v>28217</v>
      </c>
      <c r="H440" t="s">
        <v>48</v>
      </c>
      <c r="I440">
        <v>4</v>
      </c>
      <c r="J440">
        <v>0</v>
      </c>
      <c r="K440" t="s">
        <v>8935</v>
      </c>
    </row>
    <row r="441" spans="1:11" x14ac:dyDescent="0.25">
      <c r="A441" t="s">
        <v>1626</v>
      </c>
      <c r="B441" t="s">
        <v>98</v>
      </c>
      <c r="C441" t="s">
        <v>221</v>
      </c>
      <c r="D441" t="s">
        <v>1627</v>
      </c>
      <c r="E441" t="s">
        <v>14</v>
      </c>
      <c r="F441" t="s">
        <v>15</v>
      </c>
      <c r="G441">
        <v>28216</v>
      </c>
      <c r="H441" t="s">
        <v>195</v>
      </c>
      <c r="I441">
        <v>20</v>
      </c>
      <c r="J441">
        <v>1</v>
      </c>
      <c r="K441" t="s">
        <v>8935</v>
      </c>
    </row>
    <row r="442" spans="1:11" x14ac:dyDescent="0.25">
      <c r="A442" t="s">
        <v>1628</v>
      </c>
      <c r="B442" t="s">
        <v>1629</v>
      </c>
      <c r="C442" t="s">
        <v>1630</v>
      </c>
      <c r="D442" t="s">
        <v>1631</v>
      </c>
      <c r="E442" t="s">
        <v>14</v>
      </c>
      <c r="F442" t="s">
        <v>15</v>
      </c>
      <c r="G442">
        <v>28211</v>
      </c>
      <c r="H442" t="s">
        <v>26</v>
      </c>
      <c r="I442">
        <v>10</v>
      </c>
      <c r="J442">
        <v>1</v>
      </c>
      <c r="K442" t="s">
        <v>8935</v>
      </c>
    </row>
    <row r="443" spans="1:11" x14ac:dyDescent="0.25">
      <c r="A443" t="s">
        <v>1632</v>
      </c>
      <c r="B443" t="s">
        <v>1633</v>
      </c>
      <c r="C443" t="s">
        <v>1634</v>
      </c>
      <c r="E443" t="s">
        <v>14</v>
      </c>
      <c r="F443" t="s">
        <v>15</v>
      </c>
      <c r="G443">
        <v>28027</v>
      </c>
      <c r="H443" t="s">
        <v>39</v>
      </c>
      <c r="I443">
        <v>3</v>
      </c>
      <c r="J443">
        <v>1</v>
      </c>
      <c r="K443" t="s">
        <v>8935</v>
      </c>
    </row>
    <row r="444" spans="1:11" x14ac:dyDescent="0.25">
      <c r="A444" t="s">
        <v>1635</v>
      </c>
      <c r="B444" t="s">
        <v>1636</v>
      </c>
      <c r="C444" t="s">
        <v>1341</v>
      </c>
      <c r="D444" t="s">
        <v>1637</v>
      </c>
      <c r="E444" t="s">
        <v>14</v>
      </c>
      <c r="F444" t="s">
        <v>15</v>
      </c>
      <c r="G444">
        <v>28269</v>
      </c>
      <c r="H444" t="s">
        <v>21</v>
      </c>
      <c r="I444">
        <v>55</v>
      </c>
      <c r="J444">
        <v>1</v>
      </c>
      <c r="K444" t="s">
        <v>8935</v>
      </c>
    </row>
    <row r="445" spans="1:11" x14ac:dyDescent="0.25">
      <c r="A445" t="s">
        <v>1638</v>
      </c>
      <c r="B445" t="s">
        <v>1639</v>
      </c>
      <c r="C445" t="s">
        <v>1640</v>
      </c>
      <c r="D445" t="s">
        <v>1641</v>
      </c>
      <c r="E445" t="s">
        <v>14</v>
      </c>
      <c r="F445" t="s">
        <v>15</v>
      </c>
      <c r="G445">
        <v>28202</v>
      </c>
      <c r="H445" t="s">
        <v>39</v>
      </c>
      <c r="I445">
        <v>58</v>
      </c>
      <c r="J445">
        <v>1</v>
      </c>
      <c r="K445" t="s">
        <v>8935</v>
      </c>
    </row>
    <row r="446" spans="1:11" x14ac:dyDescent="0.25">
      <c r="A446" t="s">
        <v>1642</v>
      </c>
      <c r="B446" t="s">
        <v>1343</v>
      </c>
      <c r="C446" t="s">
        <v>1643</v>
      </c>
      <c r="D446" t="s">
        <v>1644</v>
      </c>
      <c r="E446" t="s">
        <v>14</v>
      </c>
      <c r="F446" t="s">
        <v>15</v>
      </c>
      <c r="G446">
        <v>28209</v>
      </c>
      <c r="H446" t="s">
        <v>21</v>
      </c>
      <c r="I446">
        <v>22</v>
      </c>
      <c r="J446">
        <v>0</v>
      </c>
      <c r="K446" t="s">
        <v>8935</v>
      </c>
    </row>
    <row r="447" spans="1:11" x14ac:dyDescent="0.25">
      <c r="A447" t="s">
        <v>1645</v>
      </c>
      <c r="B447" t="s">
        <v>201</v>
      </c>
      <c r="C447" t="s">
        <v>615</v>
      </c>
      <c r="D447" t="s">
        <v>1646</v>
      </c>
      <c r="E447" t="s">
        <v>14</v>
      </c>
      <c r="F447" t="s">
        <v>15</v>
      </c>
      <c r="G447">
        <v>28205</v>
      </c>
      <c r="H447" t="s">
        <v>21</v>
      </c>
      <c r="I447">
        <v>8</v>
      </c>
      <c r="J447">
        <v>1</v>
      </c>
      <c r="K447" t="s">
        <v>8935</v>
      </c>
    </row>
    <row r="448" spans="1:11" x14ac:dyDescent="0.25">
      <c r="A448" t="s">
        <v>1647</v>
      </c>
      <c r="B448" t="s">
        <v>1648</v>
      </c>
      <c r="C448" t="s">
        <v>1649</v>
      </c>
      <c r="D448" t="s">
        <v>594</v>
      </c>
      <c r="E448" t="s">
        <v>14</v>
      </c>
      <c r="F448" t="s">
        <v>15</v>
      </c>
      <c r="G448">
        <v>28208</v>
      </c>
      <c r="H448" t="s">
        <v>26</v>
      </c>
      <c r="I448">
        <v>38</v>
      </c>
      <c r="J448">
        <v>1</v>
      </c>
      <c r="K448" t="s">
        <v>8920</v>
      </c>
    </row>
    <row r="449" spans="1:11" x14ac:dyDescent="0.25">
      <c r="A449" t="s">
        <v>1650</v>
      </c>
      <c r="B449" t="s">
        <v>726</v>
      </c>
      <c r="C449" t="s">
        <v>1651</v>
      </c>
      <c r="D449" t="s">
        <v>1652</v>
      </c>
      <c r="E449" t="s">
        <v>14</v>
      </c>
      <c r="F449" t="s">
        <v>15</v>
      </c>
      <c r="G449">
        <v>28208</v>
      </c>
      <c r="H449" t="s">
        <v>21</v>
      </c>
      <c r="I449">
        <v>29</v>
      </c>
      <c r="J449">
        <v>1</v>
      </c>
      <c r="K449" t="s">
        <v>8935</v>
      </c>
    </row>
    <row r="450" spans="1:11" x14ac:dyDescent="0.25">
      <c r="A450" t="e">
        <f>-RTEVGUP2wnKB3PV-_fueg</f>
        <v>#NAME?</v>
      </c>
      <c r="B450" t="s">
        <v>1653</v>
      </c>
      <c r="C450" t="s">
        <v>1654</v>
      </c>
      <c r="D450" t="s">
        <v>1655</v>
      </c>
      <c r="E450" t="s">
        <v>14</v>
      </c>
      <c r="F450" t="s">
        <v>15</v>
      </c>
      <c r="G450">
        <v>28273</v>
      </c>
      <c r="H450" t="s">
        <v>39</v>
      </c>
      <c r="I450">
        <v>12</v>
      </c>
      <c r="J450">
        <v>1</v>
      </c>
      <c r="K450" t="s">
        <v>8935</v>
      </c>
    </row>
    <row r="451" spans="1:11" x14ac:dyDescent="0.25">
      <c r="A451" t="s">
        <v>1656</v>
      </c>
      <c r="B451" t="s">
        <v>1657</v>
      </c>
      <c r="C451" t="s">
        <v>1658</v>
      </c>
      <c r="D451" t="s">
        <v>1659</v>
      </c>
      <c r="E451" t="s">
        <v>14</v>
      </c>
      <c r="F451" t="s">
        <v>15</v>
      </c>
      <c r="G451">
        <v>28208</v>
      </c>
      <c r="H451" t="s">
        <v>146</v>
      </c>
      <c r="I451">
        <v>4</v>
      </c>
      <c r="J451">
        <v>0</v>
      </c>
      <c r="K451" t="s">
        <v>8935</v>
      </c>
    </row>
    <row r="452" spans="1:11" x14ac:dyDescent="0.25">
      <c r="A452" t="s">
        <v>1660</v>
      </c>
      <c r="B452" t="s">
        <v>1661</v>
      </c>
      <c r="C452" t="s">
        <v>1662</v>
      </c>
      <c r="D452" t="s">
        <v>1663</v>
      </c>
      <c r="E452" t="s">
        <v>14</v>
      </c>
      <c r="F452" t="s">
        <v>15</v>
      </c>
      <c r="G452">
        <v>28273</v>
      </c>
      <c r="H452" t="s">
        <v>21</v>
      </c>
      <c r="I452">
        <v>121</v>
      </c>
      <c r="J452">
        <v>1</v>
      </c>
      <c r="K452" t="s">
        <v>8920</v>
      </c>
    </row>
    <row r="453" spans="1:11" x14ac:dyDescent="0.25">
      <c r="A453" t="s">
        <v>1664</v>
      </c>
      <c r="B453" t="s">
        <v>1665</v>
      </c>
      <c r="C453" t="s">
        <v>1666</v>
      </c>
      <c r="D453" t="s">
        <v>1667</v>
      </c>
      <c r="E453" t="s">
        <v>14</v>
      </c>
      <c r="F453" t="s">
        <v>15</v>
      </c>
      <c r="G453">
        <v>28216</v>
      </c>
      <c r="H453" t="s">
        <v>48</v>
      </c>
      <c r="I453">
        <v>5</v>
      </c>
      <c r="J453">
        <v>1</v>
      </c>
      <c r="K453" t="s">
        <v>8926</v>
      </c>
    </row>
    <row r="454" spans="1:11" x14ac:dyDescent="0.25">
      <c r="A454" t="s">
        <v>1668</v>
      </c>
      <c r="B454" t="s">
        <v>691</v>
      </c>
      <c r="C454" t="s">
        <v>1669</v>
      </c>
      <c r="D454" t="s">
        <v>1670</v>
      </c>
      <c r="E454" t="s">
        <v>14</v>
      </c>
      <c r="F454" t="s">
        <v>15</v>
      </c>
      <c r="G454">
        <v>28203</v>
      </c>
      <c r="H454" t="s">
        <v>21</v>
      </c>
      <c r="I454">
        <v>93</v>
      </c>
      <c r="J454">
        <v>1</v>
      </c>
      <c r="K454" t="s">
        <v>8935</v>
      </c>
    </row>
    <row r="455" spans="1:11" x14ac:dyDescent="0.25">
      <c r="A455" t="s">
        <v>1671</v>
      </c>
      <c r="B455" t="s">
        <v>1672</v>
      </c>
      <c r="C455" t="s">
        <v>321</v>
      </c>
      <c r="D455" t="s">
        <v>1673</v>
      </c>
      <c r="E455" t="s">
        <v>14</v>
      </c>
      <c r="F455" t="s">
        <v>15</v>
      </c>
      <c r="G455">
        <v>28173</v>
      </c>
      <c r="H455" t="s">
        <v>16</v>
      </c>
      <c r="I455">
        <v>12</v>
      </c>
      <c r="J455">
        <v>1</v>
      </c>
      <c r="K455" t="s">
        <v>8921</v>
      </c>
    </row>
    <row r="456" spans="1:11" x14ac:dyDescent="0.25">
      <c r="A456" t="s">
        <v>1674</v>
      </c>
      <c r="B456" t="s">
        <v>1675</v>
      </c>
      <c r="C456" t="s">
        <v>1676</v>
      </c>
      <c r="D456" t="s">
        <v>1677</v>
      </c>
      <c r="E456" t="s">
        <v>14</v>
      </c>
      <c r="F456" t="s">
        <v>15</v>
      </c>
      <c r="G456">
        <v>28206</v>
      </c>
      <c r="H456" t="s">
        <v>39</v>
      </c>
      <c r="I456">
        <v>15</v>
      </c>
      <c r="J456">
        <v>1</v>
      </c>
      <c r="K456" t="s">
        <v>8922</v>
      </c>
    </row>
    <row r="457" spans="1:11" x14ac:dyDescent="0.25">
      <c r="A457" t="s">
        <v>1678</v>
      </c>
      <c r="B457" t="s">
        <v>442</v>
      </c>
      <c r="C457" t="s">
        <v>1679</v>
      </c>
      <c r="D457" t="s">
        <v>1680</v>
      </c>
      <c r="E457" t="s">
        <v>14</v>
      </c>
      <c r="F457" t="s">
        <v>15</v>
      </c>
      <c r="G457">
        <v>28226</v>
      </c>
      <c r="H457" t="s">
        <v>21</v>
      </c>
      <c r="I457">
        <v>34</v>
      </c>
      <c r="J457">
        <v>1</v>
      </c>
      <c r="K457" t="s">
        <v>8935</v>
      </c>
    </row>
    <row r="458" spans="1:11" x14ac:dyDescent="0.25">
      <c r="A458" t="s">
        <v>1681</v>
      </c>
      <c r="B458" t="s">
        <v>1682</v>
      </c>
      <c r="C458" t="s">
        <v>1683</v>
      </c>
      <c r="D458" t="s">
        <v>1684</v>
      </c>
      <c r="E458" t="s">
        <v>14</v>
      </c>
      <c r="F458" t="s">
        <v>15</v>
      </c>
      <c r="G458">
        <v>28204</v>
      </c>
      <c r="H458" t="s">
        <v>16</v>
      </c>
      <c r="I458">
        <v>6</v>
      </c>
      <c r="J458">
        <v>0</v>
      </c>
      <c r="K458" t="s">
        <v>8935</v>
      </c>
    </row>
    <row r="459" spans="1:11" x14ac:dyDescent="0.25">
      <c r="A459" t="s">
        <v>1685</v>
      </c>
      <c r="B459" t="s">
        <v>1686</v>
      </c>
      <c r="C459" t="s">
        <v>1687</v>
      </c>
      <c r="D459" t="s">
        <v>1688</v>
      </c>
      <c r="E459" t="s">
        <v>14</v>
      </c>
      <c r="F459" t="s">
        <v>15</v>
      </c>
      <c r="G459">
        <v>28277</v>
      </c>
      <c r="H459" t="s">
        <v>21</v>
      </c>
      <c r="I459">
        <v>83</v>
      </c>
      <c r="J459">
        <v>1</v>
      </c>
      <c r="K459" t="s">
        <v>8935</v>
      </c>
    </row>
    <row r="460" spans="1:11" x14ac:dyDescent="0.25">
      <c r="A460" t="s">
        <v>1689</v>
      </c>
      <c r="B460" t="s">
        <v>1690</v>
      </c>
      <c r="C460" t="s">
        <v>1691</v>
      </c>
      <c r="D460" t="s">
        <v>1692</v>
      </c>
      <c r="E460" t="s">
        <v>14</v>
      </c>
      <c r="F460" t="s">
        <v>15</v>
      </c>
      <c r="G460">
        <v>28209</v>
      </c>
      <c r="H460" t="s">
        <v>16</v>
      </c>
      <c r="I460">
        <v>206</v>
      </c>
      <c r="J460">
        <v>1</v>
      </c>
      <c r="K460" t="s">
        <v>8921</v>
      </c>
    </row>
    <row r="461" spans="1:11" x14ac:dyDescent="0.25">
      <c r="A461" t="s">
        <v>1693</v>
      </c>
      <c r="B461" t="s">
        <v>1694</v>
      </c>
      <c r="C461" t="s">
        <v>1695</v>
      </c>
      <c r="D461" t="s">
        <v>1696</v>
      </c>
      <c r="E461" t="s">
        <v>14</v>
      </c>
      <c r="F461" t="s">
        <v>15</v>
      </c>
      <c r="G461">
        <v>28203</v>
      </c>
      <c r="H461" t="s">
        <v>16</v>
      </c>
      <c r="I461">
        <v>64</v>
      </c>
      <c r="J461">
        <v>1</v>
      </c>
      <c r="K461" t="s">
        <v>8935</v>
      </c>
    </row>
    <row r="462" spans="1:11" x14ac:dyDescent="0.25">
      <c r="A462" t="s">
        <v>1697</v>
      </c>
      <c r="B462" t="s">
        <v>1698</v>
      </c>
      <c r="C462" t="s">
        <v>1699</v>
      </c>
      <c r="D462" t="s">
        <v>1700</v>
      </c>
      <c r="E462" t="s">
        <v>14</v>
      </c>
      <c r="F462" t="s">
        <v>15</v>
      </c>
      <c r="G462">
        <v>28105</v>
      </c>
      <c r="H462" t="s">
        <v>16</v>
      </c>
      <c r="I462">
        <v>81</v>
      </c>
      <c r="J462">
        <v>1</v>
      </c>
      <c r="K462" t="s">
        <v>8925</v>
      </c>
    </row>
    <row r="463" spans="1:11" x14ac:dyDescent="0.25">
      <c r="A463" t="s">
        <v>1701</v>
      </c>
      <c r="B463" t="s">
        <v>1702</v>
      </c>
      <c r="C463" t="s">
        <v>1703</v>
      </c>
      <c r="E463" t="s">
        <v>14</v>
      </c>
      <c r="F463" t="s">
        <v>15</v>
      </c>
      <c r="H463" t="s">
        <v>146</v>
      </c>
      <c r="I463">
        <v>3</v>
      </c>
      <c r="J463">
        <v>1</v>
      </c>
      <c r="K463" t="s">
        <v>8930</v>
      </c>
    </row>
    <row r="464" spans="1:11" x14ac:dyDescent="0.25">
      <c r="A464" t="s">
        <v>1704</v>
      </c>
      <c r="B464" t="s">
        <v>1705</v>
      </c>
      <c r="C464" t="s">
        <v>1706</v>
      </c>
      <c r="D464" t="s">
        <v>1707</v>
      </c>
      <c r="E464" t="s">
        <v>14</v>
      </c>
      <c r="F464" t="s">
        <v>15</v>
      </c>
      <c r="G464">
        <v>28227</v>
      </c>
      <c r="H464" t="s">
        <v>26</v>
      </c>
      <c r="I464">
        <v>5</v>
      </c>
      <c r="J464">
        <v>1</v>
      </c>
      <c r="K464" t="s">
        <v>8935</v>
      </c>
    </row>
    <row r="465" spans="1:11" x14ac:dyDescent="0.25">
      <c r="A465" t="s">
        <v>1708</v>
      </c>
      <c r="B465" t="s">
        <v>1709</v>
      </c>
      <c r="C465" t="s">
        <v>1710</v>
      </c>
      <c r="D465" t="s">
        <v>1711</v>
      </c>
      <c r="E465" t="s">
        <v>14</v>
      </c>
      <c r="F465" t="s">
        <v>15</v>
      </c>
      <c r="G465">
        <v>28280</v>
      </c>
      <c r="H465" t="s">
        <v>48</v>
      </c>
      <c r="I465">
        <v>13</v>
      </c>
      <c r="J465">
        <v>1</v>
      </c>
      <c r="K465" t="s">
        <v>8935</v>
      </c>
    </row>
    <row r="466" spans="1:11" x14ac:dyDescent="0.25">
      <c r="A466" t="s">
        <v>1712</v>
      </c>
      <c r="B466" t="s">
        <v>1713</v>
      </c>
      <c r="C466" t="s">
        <v>1714</v>
      </c>
      <c r="D466" t="s">
        <v>1715</v>
      </c>
      <c r="E466" t="s">
        <v>14</v>
      </c>
      <c r="F466" t="s">
        <v>15</v>
      </c>
      <c r="G466">
        <v>28277</v>
      </c>
      <c r="H466" t="s">
        <v>16</v>
      </c>
      <c r="I466">
        <v>98</v>
      </c>
      <c r="J466">
        <v>1</v>
      </c>
      <c r="K466" t="s">
        <v>8920</v>
      </c>
    </row>
    <row r="467" spans="1:11" x14ac:dyDescent="0.25">
      <c r="A467" t="s">
        <v>1716</v>
      </c>
      <c r="B467" t="s">
        <v>1717</v>
      </c>
      <c r="C467" t="s">
        <v>193</v>
      </c>
      <c r="D467" t="s">
        <v>1718</v>
      </c>
      <c r="E467" t="s">
        <v>14</v>
      </c>
      <c r="F467" t="s">
        <v>15</v>
      </c>
      <c r="G467">
        <v>28210</v>
      </c>
      <c r="H467" t="s">
        <v>195</v>
      </c>
      <c r="I467">
        <v>11</v>
      </c>
      <c r="J467">
        <v>1</v>
      </c>
      <c r="K467" t="s">
        <v>8935</v>
      </c>
    </row>
    <row r="468" spans="1:11" x14ac:dyDescent="0.25">
      <c r="A468" t="s">
        <v>1719</v>
      </c>
      <c r="B468" t="s">
        <v>1720</v>
      </c>
      <c r="C468" t="s">
        <v>1721</v>
      </c>
      <c r="D468" t="s">
        <v>1722</v>
      </c>
      <c r="E468" t="s">
        <v>14</v>
      </c>
      <c r="F468" t="s">
        <v>15</v>
      </c>
      <c r="G468">
        <v>28206</v>
      </c>
      <c r="H468" t="s">
        <v>26</v>
      </c>
      <c r="I468">
        <v>7</v>
      </c>
      <c r="J468">
        <v>0</v>
      </c>
      <c r="K468" t="s">
        <v>8935</v>
      </c>
    </row>
    <row r="469" spans="1:11" x14ac:dyDescent="0.25">
      <c r="A469" t="s">
        <v>1723</v>
      </c>
      <c r="B469" t="s">
        <v>1724</v>
      </c>
      <c r="C469" t="s">
        <v>1725</v>
      </c>
      <c r="D469" t="s">
        <v>1726</v>
      </c>
      <c r="E469" t="s">
        <v>14</v>
      </c>
      <c r="F469" t="s">
        <v>15</v>
      </c>
      <c r="G469">
        <v>28211</v>
      </c>
      <c r="H469" t="s">
        <v>16</v>
      </c>
      <c r="I469">
        <v>151</v>
      </c>
      <c r="J469">
        <v>1</v>
      </c>
      <c r="K469" t="s">
        <v>8925</v>
      </c>
    </row>
    <row r="470" spans="1:11" x14ac:dyDescent="0.25">
      <c r="A470" t="s">
        <v>1727</v>
      </c>
      <c r="B470" t="s">
        <v>1236</v>
      </c>
      <c r="C470" t="s">
        <v>1728</v>
      </c>
      <c r="D470" t="s">
        <v>1729</v>
      </c>
      <c r="E470" t="s">
        <v>14</v>
      </c>
      <c r="F470" t="s">
        <v>15</v>
      </c>
      <c r="G470">
        <v>28205</v>
      </c>
      <c r="H470" t="s">
        <v>16</v>
      </c>
      <c r="I470">
        <v>37</v>
      </c>
      <c r="J470">
        <v>1</v>
      </c>
      <c r="K470" t="s">
        <v>8931</v>
      </c>
    </row>
    <row r="471" spans="1:11" x14ac:dyDescent="0.25">
      <c r="A471" t="s">
        <v>1730</v>
      </c>
      <c r="B471" t="s">
        <v>1731</v>
      </c>
      <c r="C471" t="s">
        <v>1732</v>
      </c>
      <c r="D471" t="s">
        <v>1733</v>
      </c>
      <c r="E471" t="s">
        <v>14</v>
      </c>
      <c r="F471" t="s">
        <v>15</v>
      </c>
      <c r="G471">
        <v>28212</v>
      </c>
      <c r="H471" t="s">
        <v>39</v>
      </c>
      <c r="I471">
        <v>5</v>
      </c>
      <c r="J471">
        <v>0</v>
      </c>
      <c r="K471" t="s">
        <v>8931</v>
      </c>
    </row>
    <row r="472" spans="1:11" x14ac:dyDescent="0.25">
      <c r="A472" t="s">
        <v>1734</v>
      </c>
      <c r="B472" t="s">
        <v>1735</v>
      </c>
      <c r="C472" t="s">
        <v>1736</v>
      </c>
      <c r="D472" t="s">
        <v>1737</v>
      </c>
      <c r="E472" t="s">
        <v>14</v>
      </c>
      <c r="F472" t="s">
        <v>15</v>
      </c>
      <c r="G472">
        <v>28273</v>
      </c>
      <c r="H472" t="s">
        <v>101</v>
      </c>
      <c r="I472">
        <v>30</v>
      </c>
      <c r="J472">
        <v>1</v>
      </c>
      <c r="K472" t="s">
        <v>8935</v>
      </c>
    </row>
    <row r="473" spans="1:11" x14ac:dyDescent="0.25">
      <c r="A473" t="s">
        <v>1738</v>
      </c>
      <c r="B473" t="s">
        <v>1739</v>
      </c>
      <c r="C473" t="s">
        <v>1740</v>
      </c>
      <c r="D473" t="s">
        <v>381</v>
      </c>
      <c r="E473" t="s">
        <v>14</v>
      </c>
      <c r="F473" t="s">
        <v>15</v>
      </c>
      <c r="G473">
        <v>28262</v>
      </c>
      <c r="H473" t="s">
        <v>48</v>
      </c>
      <c r="I473">
        <v>31</v>
      </c>
      <c r="J473">
        <v>0</v>
      </c>
      <c r="K473" t="s">
        <v>8935</v>
      </c>
    </row>
    <row r="474" spans="1:11" x14ac:dyDescent="0.25">
      <c r="A474" t="s">
        <v>1741</v>
      </c>
      <c r="B474" t="s">
        <v>1742</v>
      </c>
      <c r="C474" t="s">
        <v>1743</v>
      </c>
      <c r="D474" t="s">
        <v>1744</v>
      </c>
      <c r="E474" t="s">
        <v>14</v>
      </c>
      <c r="F474" t="s">
        <v>15</v>
      </c>
      <c r="G474">
        <v>28202</v>
      </c>
      <c r="H474" t="s">
        <v>21</v>
      </c>
      <c r="I474">
        <v>76</v>
      </c>
      <c r="J474">
        <v>0</v>
      </c>
      <c r="K474" t="s">
        <v>8935</v>
      </c>
    </row>
    <row r="475" spans="1:11" x14ac:dyDescent="0.25">
      <c r="A475" t="s">
        <v>1745</v>
      </c>
      <c r="B475" t="s">
        <v>1746</v>
      </c>
      <c r="C475" t="s">
        <v>1747</v>
      </c>
      <c r="D475" t="s">
        <v>1748</v>
      </c>
      <c r="E475" t="s">
        <v>14</v>
      </c>
      <c r="F475" t="s">
        <v>15</v>
      </c>
      <c r="G475">
        <v>28217</v>
      </c>
      <c r="H475" t="s">
        <v>26</v>
      </c>
      <c r="I475">
        <v>28</v>
      </c>
      <c r="J475">
        <v>0</v>
      </c>
      <c r="K475" t="s">
        <v>8935</v>
      </c>
    </row>
    <row r="476" spans="1:11" x14ac:dyDescent="0.25">
      <c r="A476" t="s">
        <v>1749</v>
      </c>
      <c r="B476" t="s">
        <v>1750</v>
      </c>
      <c r="C476" t="s">
        <v>1751</v>
      </c>
      <c r="D476" t="s">
        <v>1752</v>
      </c>
      <c r="E476" t="s">
        <v>14</v>
      </c>
      <c r="F476" t="s">
        <v>15</v>
      </c>
      <c r="G476">
        <v>28202</v>
      </c>
      <c r="H476" t="s">
        <v>26</v>
      </c>
      <c r="I476">
        <v>42</v>
      </c>
      <c r="J476">
        <v>0</v>
      </c>
      <c r="K476" t="s">
        <v>8935</v>
      </c>
    </row>
    <row r="477" spans="1:11" x14ac:dyDescent="0.25">
      <c r="A477" t="s">
        <v>1753</v>
      </c>
      <c r="B477" t="s">
        <v>1754</v>
      </c>
      <c r="C477" t="s">
        <v>1755</v>
      </c>
      <c r="D477" t="s">
        <v>1756</v>
      </c>
      <c r="E477" t="s">
        <v>14</v>
      </c>
      <c r="F477" t="s">
        <v>15</v>
      </c>
      <c r="G477">
        <v>28205</v>
      </c>
      <c r="H477" t="s">
        <v>39</v>
      </c>
      <c r="I477">
        <v>78</v>
      </c>
      <c r="J477">
        <v>1</v>
      </c>
      <c r="K477" t="s">
        <v>8932</v>
      </c>
    </row>
    <row r="478" spans="1:11" x14ac:dyDescent="0.25">
      <c r="A478" t="s">
        <v>1757</v>
      </c>
      <c r="B478" t="s">
        <v>1758</v>
      </c>
      <c r="C478" t="s">
        <v>1759</v>
      </c>
      <c r="D478" t="s">
        <v>1760</v>
      </c>
      <c r="E478" t="s">
        <v>14</v>
      </c>
      <c r="F478" t="s">
        <v>15</v>
      </c>
      <c r="G478">
        <v>28216</v>
      </c>
      <c r="H478" t="s">
        <v>16</v>
      </c>
      <c r="I478">
        <v>58</v>
      </c>
      <c r="J478">
        <v>1</v>
      </c>
      <c r="K478" t="s">
        <v>8935</v>
      </c>
    </row>
    <row r="479" spans="1:11" x14ac:dyDescent="0.25">
      <c r="A479" t="s">
        <v>1761</v>
      </c>
      <c r="B479" t="s">
        <v>1762</v>
      </c>
      <c r="C479" t="s">
        <v>735</v>
      </c>
      <c r="D479" t="s">
        <v>1763</v>
      </c>
      <c r="E479" t="s">
        <v>14</v>
      </c>
      <c r="F479" t="s">
        <v>15</v>
      </c>
      <c r="G479">
        <v>28216</v>
      </c>
      <c r="H479" t="s">
        <v>21</v>
      </c>
      <c r="I479">
        <v>31</v>
      </c>
      <c r="J479">
        <v>1</v>
      </c>
      <c r="K479" t="s">
        <v>8935</v>
      </c>
    </row>
    <row r="480" spans="1:11" x14ac:dyDescent="0.25">
      <c r="A480" t="s">
        <v>1764</v>
      </c>
      <c r="B480" t="s">
        <v>275</v>
      </c>
      <c r="C480" t="s">
        <v>1765</v>
      </c>
      <c r="D480" t="s">
        <v>1766</v>
      </c>
      <c r="E480" t="s">
        <v>14</v>
      </c>
      <c r="F480" t="s">
        <v>15</v>
      </c>
      <c r="G480">
        <v>28203</v>
      </c>
      <c r="H480" t="s">
        <v>16</v>
      </c>
      <c r="I480">
        <v>227</v>
      </c>
      <c r="J480">
        <v>1</v>
      </c>
      <c r="K480" t="s">
        <v>8925</v>
      </c>
    </row>
    <row r="481" spans="1:11" x14ac:dyDescent="0.25">
      <c r="A481" t="s">
        <v>1767</v>
      </c>
      <c r="B481" t="s">
        <v>1768</v>
      </c>
      <c r="C481" t="s">
        <v>1769</v>
      </c>
      <c r="D481" t="s">
        <v>84</v>
      </c>
      <c r="E481" t="s">
        <v>14</v>
      </c>
      <c r="F481" t="s">
        <v>15</v>
      </c>
      <c r="G481">
        <v>28208</v>
      </c>
      <c r="H481" t="s">
        <v>265</v>
      </c>
      <c r="I481">
        <v>14</v>
      </c>
      <c r="J481">
        <v>0</v>
      </c>
      <c r="K481" t="s">
        <v>8926</v>
      </c>
    </row>
    <row r="482" spans="1:11" x14ac:dyDescent="0.25">
      <c r="A482" t="s">
        <v>1770</v>
      </c>
      <c r="B482" t="s">
        <v>1771</v>
      </c>
      <c r="C482" t="s">
        <v>1772</v>
      </c>
      <c r="D482" t="s">
        <v>1773</v>
      </c>
      <c r="E482" t="s">
        <v>14</v>
      </c>
      <c r="F482" t="s">
        <v>15</v>
      </c>
      <c r="G482">
        <v>28262</v>
      </c>
      <c r="H482" t="s">
        <v>21</v>
      </c>
      <c r="I482">
        <v>13</v>
      </c>
      <c r="J482">
        <v>1</v>
      </c>
      <c r="K482" t="s">
        <v>8935</v>
      </c>
    </row>
    <row r="483" spans="1:11" x14ac:dyDescent="0.25">
      <c r="A483" t="s">
        <v>1774</v>
      </c>
      <c r="B483" t="s">
        <v>1775</v>
      </c>
      <c r="C483" t="s">
        <v>1776</v>
      </c>
      <c r="D483" t="s">
        <v>1777</v>
      </c>
      <c r="E483" t="s">
        <v>14</v>
      </c>
      <c r="F483" t="s">
        <v>15</v>
      </c>
      <c r="G483">
        <v>28202</v>
      </c>
      <c r="H483" t="s">
        <v>146</v>
      </c>
      <c r="I483">
        <v>5</v>
      </c>
      <c r="J483">
        <v>0</v>
      </c>
      <c r="K483" t="s">
        <v>8936</v>
      </c>
    </row>
    <row r="484" spans="1:11" x14ac:dyDescent="0.25">
      <c r="A484" t="s">
        <v>1778</v>
      </c>
      <c r="B484" t="s">
        <v>1779</v>
      </c>
      <c r="C484" t="s">
        <v>1780</v>
      </c>
      <c r="D484" t="s">
        <v>1781</v>
      </c>
      <c r="E484" t="s">
        <v>14</v>
      </c>
      <c r="F484" t="s">
        <v>15</v>
      </c>
      <c r="G484">
        <v>28273</v>
      </c>
      <c r="H484" t="s">
        <v>21</v>
      </c>
      <c r="I484">
        <v>4</v>
      </c>
      <c r="J484">
        <v>0</v>
      </c>
      <c r="K484" t="s">
        <v>8935</v>
      </c>
    </row>
    <row r="485" spans="1:11" x14ac:dyDescent="0.25">
      <c r="A485" t="s">
        <v>1782</v>
      </c>
      <c r="B485" t="s">
        <v>1783</v>
      </c>
      <c r="C485" t="s">
        <v>1578</v>
      </c>
      <c r="D485" t="s">
        <v>1784</v>
      </c>
      <c r="E485" t="s">
        <v>14</v>
      </c>
      <c r="F485" t="s">
        <v>15</v>
      </c>
      <c r="G485">
        <v>28211</v>
      </c>
      <c r="H485" t="s">
        <v>39</v>
      </c>
      <c r="I485">
        <v>41</v>
      </c>
      <c r="J485">
        <v>0</v>
      </c>
      <c r="K485" t="s">
        <v>8935</v>
      </c>
    </row>
    <row r="486" spans="1:11" x14ac:dyDescent="0.25">
      <c r="A486" t="s">
        <v>1785</v>
      </c>
      <c r="B486" t="s">
        <v>1786</v>
      </c>
      <c r="C486" t="s">
        <v>1787</v>
      </c>
      <c r="D486" t="s">
        <v>1788</v>
      </c>
      <c r="E486" t="s">
        <v>14</v>
      </c>
      <c r="F486" t="s">
        <v>15</v>
      </c>
      <c r="G486">
        <v>28214</v>
      </c>
      <c r="H486" t="s">
        <v>16</v>
      </c>
      <c r="I486">
        <v>32</v>
      </c>
      <c r="J486">
        <v>0</v>
      </c>
      <c r="K486" t="s">
        <v>8922</v>
      </c>
    </row>
    <row r="487" spans="1:11" x14ac:dyDescent="0.25">
      <c r="A487" t="s">
        <v>1789</v>
      </c>
      <c r="B487" t="s">
        <v>1790</v>
      </c>
      <c r="C487" t="s">
        <v>1791</v>
      </c>
      <c r="D487" t="s">
        <v>1792</v>
      </c>
      <c r="E487" t="s">
        <v>14</v>
      </c>
      <c r="F487" t="s">
        <v>15</v>
      </c>
      <c r="G487">
        <v>28262</v>
      </c>
      <c r="H487" t="s">
        <v>16</v>
      </c>
      <c r="I487">
        <v>8</v>
      </c>
      <c r="J487">
        <v>0</v>
      </c>
      <c r="K487" t="s">
        <v>8930</v>
      </c>
    </row>
    <row r="488" spans="1:11" x14ac:dyDescent="0.25">
      <c r="A488" t="s">
        <v>1793</v>
      </c>
      <c r="B488" t="s">
        <v>1794</v>
      </c>
      <c r="C488" t="s">
        <v>1795</v>
      </c>
      <c r="D488" t="s">
        <v>1002</v>
      </c>
      <c r="E488" t="s">
        <v>14</v>
      </c>
      <c r="F488" t="s">
        <v>15</v>
      </c>
      <c r="G488">
        <v>28202</v>
      </c>
      <c r="H488" t="s">
        <v>16</v>
      </c>
      <c r="I488">
        <v>10</v>
      </c>
      <c r="J488">
        <v>0</v>
      </c>
      <c r="K488" t="s">
        <v>8931</v>
      </c>
    </row>
    <row r="489" spans="1:11" x14ac:dyDescent="0.25">
      <c r="A489" t="s">
        <v>1796</v>
      </c>
      <c r="B489" t="s">
        <v>1797</v>
      </c>
      <c r="C489" t="s">
        <v>1798</v>
      </c>
      <c r="D489" t="s">
        <v>1799</v>
      </c>
      <c r="E489" t="s">
        <v>14</v>
      </c>
      <c r="F489" t="s">
        <v>15</v>
      </c>
      <c r="G489">
        <v>28269</v>
      </c>
      <c r="H489" t="s">
        <v>101</v>
      </c>
      <c r="I489">
        <v>6</v>
      </c>
      <c r="J489">
        <v>0</v>
      </c>
      <c r="K489" t="s">
        <v>8935</v>
      </c>
    </row>
    <row r="490" spans="1:11" x14ac:dyDescent="0.25">
      <c r="A490" t="s">
        <v>1800</v>
      </c>
      <c r="B490" t="s">
        <v>1801</v>
      </c>
      <c r="C490" t="s">
        <v>1802</v>
      </c>
      <c r="D490" t="s">
        <v>1803</v>
      </c>
      <c r="E490" t="s">
        <v>14</v>
      </c>
      <c r="F490" t="s">
        <v>15</v>
      </c>
      <c r="G490">
        <v>28208</v>
      </c>
      <c r="H490" t="s">
        <v>16</v>
      </c>
      <c r="I490">
        <v>8</v>
      </c>
      <c r="J490">
        <v>1</v>
      </c>
      <c r="K490" t="s">
        <v>8935</v>
      </c>
    </row>
    <row r="491" spans="1:11" x14ac:dyDescent="0.25">
      <c r="A491" t="s">
        <v>1804</v>
      </c>
      <c r="B491" t="s">
        <v>1805</v>
      </c>
      <c r="C491" t="s">
        <v>1806</v>
      </c>
      <c r="D491" t="s">
        <v>1807</v>
      </c>
      <c r="E491" t="s">
        <v>14</v>
      </c>
      <c r="F491" t="s">
        <v>15</v>
      </c>
      <c r="G491">
        <v>28203</v>
      </c>
      <c r="H491" t="s">
        <v>26</v>
      </c>
      <c r="I491">
        <v>183</v>
      </c>
      <c r="J491">
        <v>1</v>
      </c>
      <c r="K491" t="s">
        <v>8935</v>
      </c>
    </row>
    <row r="492" spans="1:11" x14ac:dyDescent="0.25">
      <c r="A492" t="s">
        <v>1808</v>
      </c>
      <c r="B492" t="s">
        <v>1351</v>
      </c>
      <c r="C492" t="s">
        <v>1809</v>
      </c>
      <c r="D492" t="s">
        <v>416</v>
      </c>
      <c r="E492" t="s">
        <v>14</v>
      </c>
      <c r="F492" t="s">
        <v>15</v>
      </c>
      <c r="G492">
        <v>28277</v>
      </c>
      <c r="H492" t="s">
        <v>21</v>
      </c>
      <c r="I492">
        <v>87</v>
      </c>
      <c r="J492">
        <v>0</v>
      </c>
      <c r="K492" t="s">
        <v>8923</v>
      </c>
    </row>
    <row r="493" spans="1:11" x14ac:dyDescent="0.25">
      <c r="A493" t="s">
        <v>1810</v>
      </c>
      <c r="B493" t="s">
        <v>1811</v>
      </c>
      <c r="C493" t="s">
        <v>1812</v>
      </c>
      <c r="D493" t="s">
        <v>1813</v>
      </c>
      <c r="E493" t="s">
        <v>14</v>
      </c>
      <c r="F493" t="s">
        <v>15</v>
      </c>
      <c r="G493">
        <v>28217</v>
      </c>
      <c r="H493" t="s">
        <v>16</v>
      </c>
      <c r="I493">
        <v>92</v>
      </c>
      <c r="J493">
        <v>1</v>
      </c>
      <c r="K493" t="s">
        <v>8935</v>
      </c>
    </row>
    <row r="494" spans="1:11" x14ac:dyDescent="0.25">
      <c r="A494" t="s">
        <v>1814</v>
      </c>
      <c r="B494" t="s">
        <v>560</v>
      </c>
      <c r="C494" t="s">
        <v>193</v>
      </c>
      <c r="D494" t="s">
        <v>1815</v>
      </c>
      <c r="E494" t="s">
        <v>14</v>
      </c>
      <c r="F494" t="s">
        <v>15</v>
      </c>
      <c r="G494">
        <v>28202</v>
      </c>
      <c r="H494" t="s">
        <v>265</v>
      </c>
      <c r="I494">
        <v>4</v>
      </c>
      <c r="J494">
        <v>0</v>
      </c>
      <c r="K494" t="s">
        <v>8935</v>
      </c>
    </row>
    <row r="495" spans="1:11" x14ac:dyDescent="0.25">
      <c r="A495" t="s">
        <v>1816</v>
      </c>
      <c r="B495" t="s">
        <v>1817</v>
      </c>
      <c r="C495" t="s">
        <v>1818</v>
      </c>
      <c r="D495" t="s">
        <v>1819</v>
      </c>
      <c r="E495" t="s">
        <v>14</v>
      </c>
      <c r="F495" t="s">
        <v>15</v>
      </c>
      <c r="G495">
        <v>28203</v>
      </c>
      <c r="H495" t="s">
        <v>26</v>
      </c>
      <c r="I495">
        <v>89</v>
      </c>
      <c r="J495">
        <v>1</v>
      </c>
      <c r="K495" t="s">
        <v>8935</v>
      </c>
    </row>
    <row r="496" spans="1:11" x14ac:dyDescent="0.25">
      <c r="A496" t="s">
        <v>1820</v>
      </c>
      <c r="B496" t="s">
        <v>691</v>
      </c>
      <c r="C496" t="s">
        <v>1821</v>
      </c>
      <c r="D496" t="s">
        <v>1822</v>
      </c>
      <c r="E496" t="s">
        <v>14</v>
      </c>
      <c r="F496" t="s">
        <v>15</v>
      </c>
      <c r="G496">
        <v>28214</v>
      </c>
      <c r="H496" t="s">
        <v>101</v>
      </c>
      <c r="I496">
        <v>3</v>
      </c>
      <c r="J496">
        <v>0</v>
      </c>
      <c r="K496" t="s">
        <v>8935</v>
      </c>
    </row>
    <row r="497" spans="1:11" x14ac:dyDescent="0.25">
      <c r="A497" t="s">
        <v>1823</v>
      </c>
      <c r="B497" t="s">
        <v>556</v>
      </c>
      <c r="C497" t="s">
        <v>1824</v>
      </c>
      <c r="D497" t="s">
        <v>1825</v>
      </c>
      <c r="E497" t="s">
        <v>14</v>
      </c>
      <c r="F497" t="s">
        <v>15</v>
      </c>
      <c r="G497">
        <v>28210</v>
      </c>
      <c r="H497" t="s">
        <v>16</v>
      </c>
      <c r="I497">
        <v>3</v>
      </c>
      <c r="J497">
        <v>0</v>
      </c>
      <c r="K497" t="s">
        <v>8935</v>
      </c>
    </row>
    <row r="498" spans="1:11" x14ac:dyDescent="0.25">
      <c r="A498" t="s">
        <v>1826</v>
      </c>
      <c r="B498" t="s">
        <v>1827</v>
      </c>
      <c r="C498" t="s">
        <v>1828</v>
      </c>
      <c r="D498" t="s">
        <v>1829</v>
      </c>
      <c r="E498" t="s">
        <v>14</v>
      </c>
      <c r="F498" t="s">
        <v>15</v>
      </c>
      <c r="G498">
        <v>28214</v>
      </c>
      <c r="H498" t="s">
        <v>16</v>
      </c>
      <c r="I498">
        <v>20</v>
      </c>
      <c r="J498">
        <v>1</v>
      </c>
      <c r="K498" t="s">
        <v>8926</v>
      </c>
    </row>
    <row r="499" spans="1:11" x14ac:dyDescent="0.25">
      <c r="A499" t="s">
        <v>1830</v>
      </c>
      <c r="B499" t="s">
        <v>1831</v>
      </c>
      <c r="C499" t="s">
        <v>1174</v>
      </c>
      <c r="D499" t="s">
        <v>1832</v>
      </c>
      <c r="E499" t="s">
        <v>14</v>
      </c>
      <c r="F499" t="s">
        <v>15</v>
      </c>
      <c r="G499">
        <v>28277</v>
      </c>
      <c r="H499" t="s">
        <v>16</v>
      </c>
      <c r="I499">
        <v>19</v>
      </c>
      <c r="J499">
        <v>1</v>
      </c>
      <c r="K499" t="s">
        <v>8935</v>
      </c>
    </row>
    <row r="500" spans="1:11" x14ac:dyDescent="0.25">
      <c r="A500" t="s">
        <v>1833</v>
      </c>
      <c r="B500" t="s">
        <v>718</v>
      </c>
      <c r="C500" t="s">
        <v>1834</v>
      </c>
      <c r="D500" t="s">
        <v>1835</v>
      </c>
      <c r="E500" t="s">
        <v>14</v>
      </c>
      <c r="F500" t="s">
        <v>15</v>
      </c>
      <c r="G500">
        <v>28277</v>
      </c>
      <c r="H500" t="s">
        <v>16</v>
      </c>
      <c r="I500">
        <v>169</v>
      </c>
      <c r="J500">
        <v>1</v>
      </c>
      <c r="K500" t="s">
        <v>8935</v>
      </c>
    </row>
    <row r="501" spans="1:11" x14ac:dyDescent="0.25">
      <c r="A501" t="s">
        <v>1836</v>
      </c>
      <c r="B501" t="s">
        <v>1837</v>
      </c>
      <c r="C501" t="s">
        <v>1838</v>
      </c>
      <c r="D501" t="s">
        <v>1839</v>
      </c>
      <c r="E501" t="s">
        <v>14</v>
      </c>
      <c r="F501" t="s">
        <v>15</v>
      </c>
      <c r="G501">
        <v>28203</v>
      </c>
      <c r="H501" t="s">
        <v>26</v>
      </c>
      <c r="I501">
        <v>43</v>
      </c>
      <c r="J501">
        <v>0</v>
      </c>
      <c r="K501" t="s">
        <v>8935</v>
      </c>
    </row>
    <row r="502" spans="1:11" x14ac:dyDescent="0.25">
      <c r="A502" t="s">
        <v>1840</v>
      </c>
      <c r="B502" t="s">
        <v>1841</v>
      </c>
      <c r="C502" t="s">
        <v>1842</v>
      </c>
      <c r="D502" t="s">
        <v>1843</v>
      </c>
      <c r="E502" t="s">
        <v>14</v>
      </c>
      <c r="F502" t="s">
        <v>15</v>
      </c>
      <c r="G502">
        <v>28277</v>
      </c>
      <c r="H502" t="s">
        <v>26</v>
      </c>
      <c r="I502">
        <v>92</v>
      </c>
      <c r="J502">
        <v>1</v>
      </c>
      <c r="K502" t="s">
        <v>8935</v>
      </c>
    </row>
    <row r="503" spans="1:11" x14ac:dyDescent="0.25">
      <c r="A503" t="s">
        <v>1844</v>
      </c>
      <c r="B503" t="s">
        <v>1845</v>
      </c>
      <c r="C503" t="s">
        <v>1846</v>
      </c>
      <c r="D503" t="s">
        <v>1847</v>
      </c>
      <c r="E503" t="s">
        <v>14</v>
      </c>
      <c r="F503" t="s">
        <v>15</v>
      </c>
      <c r="G503">
        <v>28202</v>
      </c>
      <c r="H503" t="s">
        <v>21</v>
      </c>
      <c r="I503">
        <v>151</v>
      </c>
      <c r="J503">
        <v>1</v>
      </c>
      <c r="K503" t="s">
        <v>8935</v>
      </c>
    </row>
    <row r="504" spans="1:11" x14ac:dyDescent="0.25">
      <c r="A504" t="s">
        <v>1848</v>
      </c>
      <c r="B504" t="s">
        <v>279</v>
      </c>
      <c r="C504" t="s">
        <v>1849</v>
      </c>
      <c r="D504" t="s">
        <v>1850</v>
      </c>
      <c r="E504" t="s">
        <v>14</v>
      </c>
      <c r="F504" t="s">
        <v>15</v>
      </c>
      <c r="G504">
        <v>28212</v>
      </c>
      <c r="H504" t="s">
        <v>48</v>
      </c>
      <c r="I504">
        <v>13</v>
      </c>
      <c r="J504">
        <v>1</v>
      </c>
      <c r="K504" t="s">
        <v>8926</v>
      </c>
    </row>
    <row r="505" spans="1:11" x14ac:dyDescent="0.25">
      <c r="A505" t="s">
        <v>1851</v>
      </c>
      <c r="B505" t="s">
        <v>1852</v>
      </c>
      <c r="C505" t="s">
        <v>1853</v>
      </c>
      <c r="D505" t="s">
        <v>1854</v>
      </c>
      <c r="E505" t="s">
        <v>14</v>
      </c>
      <c r="F505" t="s">
        <v>15</v>
      </c>
      <c r="G505">
        <v>28270</v>
      </c>
      <c r="H505" t="s">
        <v>21</v>
      </c>
      <c r="I505">
        <v>91</v>
      </c>
      <c r="J505">
        <v>1</v>
      </c>
      <c r="K505" t="s">
        <v>8920</v>
      </c>
    </row>
    <row r="506" spans="1:11" x14ac:dyDescent="0.25">
      <c r="A506" t="s">
        <v>1855</v>
      </c>
      <c r="B506" t="s">
        <v>279</v>
      </c>
      <c r="C506" t="s">
        <v>1856</v>
      </c>
      <c r="D506" t="s">
        <v>1857</v>
      </c>
      <c r="E506" t="s">
        <v>14</v>
      </c>
      <c r="F506" t="s">
        <v>15</v>
      </c>
      <c r="G506">
        <v>28226</v>
      </c>
      <c r="H506" t="s">
        <v>16</v>
      </c>
      <c r="I506">
        <v>64</v>
      </c>
      <c r="J506">
        <v>1</v>
      </c>
      <c r="K506" t="s">
        <v>8926</v>
      </c>
    </row>
    <row r="507" spans="1:11" x14ac:dyDescent="0.25">
      <c r="A507" t="s">
        <v>1858</v>
      </c>
      <c r="B507" t="s">
        <v>1004</v>
      </c>
      <c r="C507" t="s">
        <v>1859</v>
      </c>
      <c r="D507" t="s">
        <v>1860</v>
      </c>
      <c r="E507" t="s">
        <v>14</v>
      </c>
      <c r="F507" t="s">
        <v>15</v>
      </c>
      <c r="G507">
        <v>28217</v>
      </c>
      <c r="H507" t="s">
        <v>26</v>
      </c>
      <c r="I507">
        <v>11</v>
      </c>
      <c r="J507">
        <v>0</v>
      </c>
      <c r="K507" t="s">
        <v>8935</v>
      </c>
    </row>
    <row r="508" spans="1:11" x14ac:dyDescent="0.25">
      <c r="A508" t="s">
        <v>1861</v>
      </c>
      <c r="B508" t="s">
        <v>1862</v>
      </c>
      <c r="C508" t="s">
        <v>1863</v>
      </c>
      <c r="D508" t="s">
        <v>1864</v>
      </c>
      <c r="E508" t="s">
        <v>14</v>
      </c>
      <c r="F508" t="s">
        <v>15</v>
      </c>
      <c r="G508">
        <v>28211</v>
      </c>
      <c r="H508" t="s">
        <v>48</v>
      </c>
      <c r="I508">
        <v>37</v>
      </c>
      <c r="J508">
        <v>0</v>
      </c>
      <c r="K508" t="s">
        <v>8925</v>
      </c>
    </row>
    <row r="509" spans="1:11" x14ac:dyDescent="0.25">
      <c r="A509" t="s">
        <v>1865</v>
      </c>
      <c r="B509" t="s">
        <v>1866</v>
      </c>
      <c r="C509" t="s">
        <v>1867</v>
      </c>
      <c r="D509" t="s">
        <v>1335</v>
      </c>
      <c r="E509" t="s">
        <v>14</v>
      </c>
      <c r="F509" t="s">
        <v>15</v>
      </c>
      <c r="G509">
        <v>28203</v>
      </c>
      <c r="H509" t="s">
        <v>21</v>
      </c>
      <c r="I509">
        <v>385</v>
      </c>
      <c r="J509">
        <v>0</v>
      </c>
      <c r="K509" t="s">
        <v>8935</v>
      </c>
    </row>
    <row r="510" spans="1:11" x14ac:dyDescent="0.25">
      <c r="A510" t="s">
        <v>1868</v>
      </c>
      <c r="B510" t="s">
        <v>811</v>
      </c>
      <c r="C510" t="s">
        <v>1869</v>
      </c>
      <c r="D510" t="s">
        <v>1870</v>
      </c>
      <c r="E510" t="s">
        <v>14</v>
      </c>
      <c r="F510" t="s">
        <v>15</v>
      </c>
      <c r="G510">
        <v>28204</v>
      </c>
      <c r="H510" t="s">
        <v>26</v>
      </c>
      <c r="I510">
        <v>150</v>
      </c>
      <c r="J510">
        <v>1</v>
      </c>
      <c r="K510" t="s">
        <v>8925</v>
      </c>
    </row>
    <row r="511" spans="1:11" x14ac:dyDescent="0.25">
      <c r="A511" t="s">
        <v>1871</v>
      </c>
      <c r="B511" t="s">
        <v>1872</v>
      </c>
      <c r="C511" t="s">
        <v>1873</v>
      </c>
      <c r="D511" t="s">
        <v>1874</v>
      </c>
      <c r="E511" t="s">
        <v>14</v>
      </c>
      <c r="F511" t="s">
        <v>15</v>
      </c>
      <c r="G511">
        <v>28209</v>
      </c>
      <c r="H511" t="s">
        <v>16</v>
      </c>
      <c r="I511">
        <v>298</v>
      </c>
      <c r="J511">
        <v>1</v>
      </c>
      <c r="K511" t="s">
        <v>8925</v>
      </c>
    </row>
    <row r="512" spans="1:11" x14ac:dyDescent="0.25">
      <c r="A512" t="s">
        <v>1875</v>
      </c>
      <c r="B512" t="s">
        <v>1876</v>
      </c>
      <c r="C512" t="s">
        <v>1877</v>
      </c>
      <c r="D512" t="s">
        <v>1878</v>
      </c>
      <c r="E512" t="s">
        <v>14</v>
      </c>
      <c r="F512" t="s">
        <v>15</v>
      </c>
      <c r="G512">
        <v>28210</v>
      </c>
      <c r="H512" t="s">
        <v>16</v>
      </c>
      <c r="I512">
        <v>235</v>
      </c>
      <c r="J512">
        <v>1</v>
      </c>
      <c r="K512" t="s">
        <v>8935</v>
      </c>
    </row>
    <row r="513" spans="1:11" x14ac:dyDescent="0.25">
      <c r="A513" t="s">
        <v>1879</v>
      </c>
      <c r="B513" t="s">
        <v>279</v>
      </c>
      <c r="C513" t="s">
        <v>1403</v>
      </c>
      <c r="D513" t="s">
        <v>1880</v>
      </c>
      <c r="E513" t="s">
        <v>14</v>
      </c>
      <c r="F513" t="s">
        <v>15</v>
      </c>
      <c r="G513">
        <v>28212</v>
      </c>
      <c r="H513" t="s">
        <v>48</v>
      </c>
      <c r="I513">
        <v>24</v>
      </c>
      <c r="J513">
        <v>1</v>
      </c>
      <c r="K513" t="s">
        <v>8926</v>
      </c>
    </row>
    <row r="514" spans="1:11" x14ac:dyDescent="0.25">
      <c r="A514" t="s">
        <v>1881</v>
      </c>
      <c r="B514" t="s">
        <v>1343</v>
      </c>
      <c r="C514" t="s">
        <v>1882</v>
      </c>
      <c r="D514" t="s">
        <v>1883</v>
      </c>
      <c r="E514" t="s">
        <v>14</v>
      </c>
      <c r="F514" t="s">
        <v>15</v>
      </c>
      <c r="G514">
        <v>28277</v>
      </c>
      <c r="H514" t="s">
        <v>21</v>
      </c>
      <c r="I514">
        <v>34</v>
      </c>
      <c r="J514">
        <v>1</v>
      </c>
      <c r="K514" t="s">
        <v>8935</v>
      </c>
    </row>
    <row r="515" spans="1:11" x14ac:dyDescent="0.25">
      <c r="A515" t="s">
        <v>1884</v>
      </c>
      <c r="B515" t="s">
        <v>1885</v>
      </c>
      <c r="C515" t="s">
        <v>337</v>
      </c>
      <c r="D515" t="s">
        <v>1886</v>
      </c>
      <c r="E515" t="s">
        <v>14</v>
      </c>
      <c r="F515" t="s">
        <v>15</v>
      </c>
      <c r="G515">
        <v>28262</v>
      </c>
      <c r="H515" t="s">
        <v>21</v>
      </c>
      <c r="I515">
        <v>45</v>
      </c>
      <c r="J515">
        <v>1</v>
      </c>
      <c r="K515" t="s">
        <v>8935</v>
      </c>
    </row>
    <row r="516" spans="1:11" x14ac:dyDescent="0.25">
      <c r="A516" t="s">
        <v>1887</v>
      </c>
      <c r="B516" t="s">
        <v>1888</v>
      </c>
      <c r="C516" t="s">
        <v>1889</v>
      </c>
      <c r="D516" t="s">
        <v>1890</v>
      </c>
      <c r="E516" t="s">
        <v>14</v>
      </c>
      <c r="F516" t="s">
        <v>15</v>
      </c>
      <c r="G516">
        <v>28216</v>
      </c>
      <c r="H516" t="s">
        <v>21</v>
      </c>
      <c r="I516">
        <v>14</v>
      </c>
      <c r="J516">
        <v>1</v>
      </c>
      <c r="K516" t="s">
        <v>8935</v>
      </c>
    </row>
    <row r="517" spans="1:11" x14ac:dyDescent="0.25">
      <c r="A517" t="s">
        <v>1891</v>
      </c>
      <c r="B517" t="s">
        <v>279</v>
      </c>
      <c r="C517" t="s">
        <v>1892</v>
      </c>
      <c r="D517" t="s">
        <v>1893</v>
      </c>
      <c r="E517" t="s">
        <v>14</v>
      </c>
      <c r="F517" t="s">
        <v>15</v>
      </c>
      <c r="G517">
        <v>28216</v>
      </c>
      <c r="H517" t="s">
        <v>26</v>
      </c>
      <c r="I517">
        <v>6</v>
      </c>
      <c r="J517">
        <v>1</v>
      </c>
      <c r="K517" t="s">
        <v>8926</v>
      </c>
    </row>
    <row r="518" spans="1:11" x14ac:dyDescent="0.25">
      <c r="A518" t="s">
        <v>1894</v>
      </c>
      <c r="B518" t="s">
        <v>312</v>
      </c>
      <c r="C518" t="s">
        <v>1895</v>
      </c>
      <c r="D518" t="s">
        <v>1896</v>
      </c>
      <c r="E518" t="s">
        <v>14</v>
      </c>
      <c r="F518" t="s">
        <v>15</v>
      </c>
      <c r="G518">
        <v>28227</v>
      </c>
      <c r="H518" t="s">
        <v>21</v>
      </c>
      <c r="I518">
        <v>26</v>
      </c>
      <c r="J518">
        <v>1</v>
      </c>
      <c r="K518" t="s">
        <v>8925</v>
      </c>
    </row>
    <row r="519" spans="1:11" x14ac:dyDescent="0.25">
      <c r="A519" t="s">
        <v>1897</v>
      </c>
      <c r="B519" t="s">
        <v>1898</v>
      </c>
      <c r="C519" t="s">
        <v>1899</v>
      </c>
      <c r="D519" t="s">
        <v>1900</v>
      </c>
      <c r="E519" t="s">
        <v>14</v>
      </c>
      <c r="F519" t="s">
        <v>15</v>
      </c>
      <c r="G519">
        <v>28212</v>
      </c>
      <c r="H519" t="s">
        <v>16</v>
      </c>
      <c r="I519">
        <v>54</v>
      </c>
      <c r="J519">
        <v>0</v>
      </c>
      <c r="K519" t="s">
        <v>8936</v>
      </c>
    </row>
    <row r="520" spans="1:11" x14ac:dyDescent="0.25">
      <c r="A520" t="s">
        <v>1901</v>
      </c>
      <c r="B520" t="s">
        <v>1902</v>
      </c>
      <c r="C520" t="s">
        <v>1903</v>
      </c>
      <c r="D520" t="s">
        <v>1752</v>
      </c>
      <c r="E520" t="s">
        <v>14</v>
      </c>
      <c r="F520" t="s">
        <v>15</v>
      </c>
      <c r="G520">
        <v>28202</v>
      </c>
      <c r="H520" t="s">
        <v>21</v>
      </c>
      <c r="I520">
        <v>309</v>
      </c>
      <c r="J520">
        <v>1</v>
      </c>
      <c r="K520" t="s">
        <v>8935</v>
      </c>
    </row>
    <row r="521" spans="1:11" x14ac:dyDescent="0.25">
      <c r="A521" t="s">
        <v>1904</v>
      </c>
      <c r="B521" t="s">
        <v>1905</v>
      </c>
      <c r="C521" t="s">
        <v>1906</v>
      </c>
      <c r="D521" t="s">
        <v>1907</v>
      </c>
      <c r="E521" t="s">
        <v>14</v>
      </c>
      <c r="F521" t="s">
        <v>15</v>
      </c>
      <c r="G521">
        <v>28262</v>
      </c>
      <c r="H521" t="s">
        <v>101</v>
      </c>
      <c r="I521">
        <v>26</v>
      </c>
      <c r="J521">
        <v>1</v>
      </c>
      <c r="K521" t="s">
        <v>8935</v>
      </c>
    </row>
    <row r="522" spans="1:11" x14ac:dyDescent="0.25">
      <c r="A522" t="s">
        <v>1908</v>
      </c>
      <c r="B522" t="s">
        <v>1909</v>
      </c>
      <c r="C522" t="s">
        <v>1910</v>
      </c>
      <c r="D522" t="s">
        <v>1911</v>
      </c>
      <c r="E522" t="s">
        <v>14</v>
      </c>
      <c r="F522" t="s">
        <v>15</v>
      </c>
      <c r="G522">
        <v>28202</v>
      </c>
      <c r="H522" t="s">
        <v>21</v>
      </c>
      <c r="I522">
        <v>35</v>
      </c>
      <c r="J522">
        <v>0</v>
      </c>
      <c r="K522" t="s">
        <v>8921</v>
      </c>
    </row>
    <row r="523" spans="1:11" x14ac:dyDescent="0.25">
      <c r="A523" t="s">
        <v>1912</v>
      </c>
      <c r="B523" t="s">
        <v>1913</v>
      </c>
      <c r="C523" t="s">
        <v>1914</v>
      </c>
      <c r="D523" t="s">
        <v>1915</v>
      </c>
      <c r="E523" t="s">
        <v>14</v>
      </c>
      <c r="F523" t="s">
        <v>15</v>
      </c>
      <c r="G523">
        <v>28277</v>
      </c>
      <c r="H523" t="s">
        <v>21</v>
      </c>
      <c r="I523">
        <v>63</v>
      </c>
      <c r="J523">
        <v>1</v>
      </c>
      <c r="K523" t="s">
        <v>8921</v>
      </c>
    </row>
    <row r="524" spans="1:11" x14ac:dyDescent="0.25">
      <c r="A524" t="s">
        <v>1916</v>
      </c>
      <c r="B524" t="s">
        <v>1917</v>
      </c>
      <c r="C524" t="s">
        <v>1918</v>
      </c>
      <c r="D524" t="s">
        <v>1919</v>
      </c>
      <c r="E524" t="s">
        <v>14</v>
      </c>
      <c r="F524" t="s">
        <v>15</v>
      </c>
      <c r="G524">
        <v>28217</v>
      </c>
      <c r="H524" t="s">
        <v>26</v>
      </c>
      <c r="I524">
        <v>17</v>
      </c>
      <c r="J524">
        <v>0</v>
      </c>
      <c r="K524" t="s">
        <v>8929</v>
      </c>
    </row>
    <row r="525" spans="1:11" x14ac:dyDescent="0.25">
      <c r="A525" t="s">
        <v>1920</v>
      </c>
      <c r="B525" t="s">
        <v>1921</v>
      </c>
      <c r="C525" t="s">
        <v>1922</v>
      </c>
      <c r="D525" t="s">
        <v>1923</v>
      </c>
      <c r="E525" t="s">
        <v>14</v>
      </c>
      <c r="F525" t="s">
        <v>15</v>
      </c>
      <c r="G525">
        <v>28205</v>
      </c>
      <c r="H525" t="s">
        <v>21</v>
      </c>
      <c r="I525">
        <v>56</v>
      </c>
      <c r="J525">
        <v>1</v>
      </c>
      <c r="K525" t="s">
        <v>8935</v>
      </c>
    </row>
    <row r="526" spans="1:11" x14ac:dyDescent="0.25">
      <c r="A526" t="s">
        <v>1924</v>
      </c>
      <c r="B526" t="s">
        <v>1925</v>
      </c>
      <c r="C526" t="s">
        <v>1926</v>
      </c>
      <c r="D526" t="s">
        <v>1927</v>
      </c>
      <c r="E526" t="s">
        <v>14</v>
      </c>
      <c r="F526" t="s">
        <v>15</v>
      </c>
      <c r="G526">
        <v>28262</v>
      </c>
      <c r="H526" t="s">
        <v>26</v>
      </c>
      <c r="I526">
        <v>44</v>
      </c>
      <c r="J526">
        <v>1</v>
      </c>
      <c r="K526" t="s">
        <v>8929</v>
      </c>
    </row>
    <row r="527" spans="1:11" x14ac:dyDescent="0.25">
      <c r="A527" t="s">
        <v>1928</v>
      </c>
      <c r="B527" t="s">
        <v>1929</v>
      </c>
      <c r="C527" t="s">
        <v>1930</v>
      </c>
      <c r="D527" t="s">
        <v>1931</v>
      </c>
      <c r="E527" t="s">
        <v>14</v>
      </c>
      <c r="F527" t="s">
        <v>15</v>
      </c>
      <c r="G527">
        <v>28209</v>
      </c>
      <c r="H527" t="s">
        <v>21</v>
      </c>
      <c r="I527">
        <v>144</v>
      </c>
      <c r="J527">
        <v>1</v>
      </c>
      <c r="K527" t="s">
        <v>8935</v>
      </c>
    </row>
    <row r="528" spans="1:11" x14ac:dyDescent="0.25">
      <c r="A528" t="s">
        <v>1932</v>
      </c>
      <c r="B528" t="s">
        <v>1933</v>
      </c>
      <c r="C528" t="s">
        <v>51</v>
      </c>
      <c r="D528" t="s">
        <v>1934</v>
      </c>
      <c r="E528" t="s">
        <v>14</v>
      </c>
      <c r="F528" t="s">
        <v>15</v>
      </c>
      <c r="G528">
        <v>28278</v>
      </c>
      <c r="H528" t="s">
        <v>26</v>
      </c>
      <c r="I528">
        <v>108</v>
      </c>
      <c r="J528">
        <v>1</v>
      </c>
      <c r="K528" t="s">
        <v>8935</v>
      </c>
    </row>
    <row r="529" spans="1:11" x14ac:dyDescent="0.25">
      <c r="A529" t="s">
        <v>1935</v>
      </c>
      <c r="B529" t="s">
        <v>1936</v>
      </c>
      <c r="C529" t="s">
        <v>1937</v>
      </c>
      <c r="D529" t="s">
        <v>1938</v>
      </c>
      <c r="E529" t="s">
        <v>14</v>
      </c>
      <c r="F529" t="s">
        <v>15</v>
      </c>
      <c r="G529">
        <v>28277</v>
      </c>
      <c r="H529" t="s">
        <v>16</v>
      </c>
      <c r="I529">
        <v>34</v>
      </c>
      <c r="J529">
        <v>1</v>
      </c>
      <c r="K529" t="s">
        <v>8935</v>
      </c>
    </row>
    <row r="530" spans="1:11" x14ac:dyDescent="0.25">
      <c r="A530" t="s">
        <v>1939</v>
      </c>
      <c r="B530" t="s">
        <v>1940</v>
      </c>
      <c r="C530" t="s">
        <v>1941</v>
      </c>
      <c r="D530" t="s">
        <v>1942</v>
      </c>
      <c r="E530" t="s">
        <v>14</v>
      </c>
      <c r="F530" t="s">
        <v>15</v>
      </c>
      <c r="G530">
        <v>28202</v>
      </c>
      <c r="H530" t="s">
        <v>26</v>
      </c>
      <c r="I530">
        <v>50</v>
      </c>
      <c r="J530">
        <v>1</v>
      </c>
      <c r="K530" t="s">
        <v>8920</v>
      </c>
    </row>
    <row r="531" spans="1:11" x14ac:dyDescent="0.25">
      <c r="A531" t="s">
        <v>1943</v>
      </c>
      <c r="B531" t="s">
        <v>1944</v>
      </c>
      <c r="C531" t="s">
        <v>1945</v>
      </c>
      <c r="D531" t="s">
        <v>1946</v>
      </c>
      <c r="E531" t="s">
        <v>14</v>
      </c>
      <c r="F531" t="s">
        <v>15</v>
      </c>
      <c r="G531">
        <v>28202</v>
      </c>
      <c r="H531" t="s">
        <v>48</v>
      </c>
      <c r="I531">
        <v>23</v>
      </c>
      <c r="J531">
        <v>0</v>
      </c>
      <c r="K531" t="s">
        <v>8935</v>
      </c>
    </row>
    <row r="532" spans="1:11" x14ac:dyDescent="0.25">
      <c r="A532" t="s">
        <v>1947</v>
      </c>
      <c r="B532" t="s">
        <v>1948</v>
      </c>
      <c r="C532" t="s">
        <v>1949</v>
      </c>
      <c r="D532" t="s">
        <v>1950</v>
      </c>
      <c r="E532" t="s">
        <v>14</v>
      </c>
      <c r="F532" t="s">
        <v>15</v>
      </c>
      <c r="G532">
        <v>28227</v>
      </c>
      <c r="H532" t="s">
        <v>26</v>
      </c>
      <c r="I532">
        <v>67</v>
      </c>
      <c r="J532">
        <v>0</v>
      </c>
      <c r="K532" t="s">
        <v>8928</v>
      </c>
    </row>
    <row r="533" spans="1:11" x14ac:dyDescent="0.25">
      <c r="A533" t="s">
        <v>1951</v>
      </c>
      <c r="B533" t="s">
        <v>811</v>
      </c>
      <c r="C533" t="s">
        <v>1952</v>
      </c>
      <c r="D533" t="s">
        <v>1953</v>
      </c>
      <c r="E533" t="s">
        <v>14</v>
      </c>
      <c r="F533" t="s">
        <v>15</v>
      </c>
      <c r="G533">
        <v>28203</v>
      </c>
      <c r="H533" t="s">
        <v>48</v>
      </c>
      <c r="I533">
        <v>23</v>
      </c>
      <c r="J533">
        <v>0</v>
      </c>
      <c r="K533" t="s">
        <v>8925</v>
      </c>
    </row>
    <row r="534" spans="1:11" x14ac:dyDescent="0.25">
      <c r="A534" t="s">
        <v>1954</v>
      </c>
      <c r="B534" t="s">
        <v>1955</v>
      </c>
      <c r="C534" t="s">
        <v>1956</v>
      </c>
      <c r="D534" t="s">
        <v>1957</v>
      </c>
      <c r="E534" t="s">
        <v>14</v>
      </c>
      <c r="F534" t="s">
        <v>15</v>
      </c>
      <c r="G534">
        <v>28262</v>
      </c>
      <c r="H534" t="s">
        <v>39</v>
      </c>
      <c r="I534">
        <v>92</v>
      </c>
      <c r="J534">
        <v>1</v>
      </c>
      <c r="K534" t="s">
        <v>8920</v>
      </c>
    </row>
    <row r="535" spans="1:11" x14ac:dyDescent="0.25">
      <c r="A535" t="s">
        <v>1958</v>
      </c>
      <c r="B535" t="s">
        <v>1959</v>
      </c>
      <c r="C535" t="s">
        <v>1094</v>
      </c>
      <c r="D535" t="s">
        <v>1960</v>
      </c>
      <c r="E535" t="s">
        <v>14</v>
      </c>
      <c r="F535" t="s">
        <v>15</v>
      </c>
      <c r="G535">
        <v>28278</v>
      </c>
      <c r="H535" t="s">
        <v>101</v>
      </c>
      <c r="I535">
        <v>19</v>
      </c>
      <c r="J535">
        <v>1</v>
      </c>
      <c r="K535" t="s">
        <v>8925</v>
      </c>
    </row>
    <row r="536" spans="1:11" x14ac:dyDescent="0.25">
      <c r="A536" t="s">
        <v>1961</v>
      </c>
      <c r="B536" t="s">
        <v>1962</v>
      </c>
      <c r="C536" t="s">
        <v>1963</v>
      </c>
      <c r="D536" t="s">
        <v>1964</v>
      </c>
      <c r="E536" t="s">
        <v>14</v>
      </c>
      <c r="F536" t="s">
        <v>15</v>
      </c>
      <c r="G536">
        <v>28216</v>
      </c>
      <c r="H536" t="s">
        <v>21</v>
      </c>
      <c r="I536">
        <v>27</v>
      </c>
      <c r="J536">
        <v>1</v>
      </c>
      <c r="K536" t="s">
        <v>8920</v>
      </c>
    </row>
    <row r="537" spans="1:11" x14ac:dyDescent="0.25">
      <c r="A537" t="e">
        <f>-EVu9Hy0YzUvfCBc0_1cgQ</f>
        <v>#NAME?</v>
      </c>
      <c r="B537" t="s">
        <v>1965</v>
      </c>
      <c r="C537" t="s">
        <v>1966</v>
      </c>
      <c r="D537" t="s">
        <v>1967</v>
      </c>
      <c r="E537" t="s">
        <v>14</v>
      </c>
      <c r="F537" t="s">
        <v>15</v>
      </c>
      <c r="G537">
        <v>28202</v>
      </c>
      <c r="H537" t="s">
        <v>16</v>
      </c>
      <c r="I537">
        <v>16</v>
      </c>
      <c r="J537">
        <v>0</v>
      </c>
      <c r="K537" t="s">
        <v>8935</v>
      </c>
    </row>
    <row r="538" spans="1:11" x14ac:dyDescent="0.25">
      <c r="A538" t="s">
        <v>1968</v>
      </c>
      <c r="B538" t="s">
        <v>1969</v>
      </c>
      <c r="C538" t="s">
        <v>1608</v>
      </c>
      <c r="D538" t="s">
        <v>1970</v>
      </c>
      <c r="E538" t="s">
        <v>14</v>
      </c>
      <c r="F538" t="s">
        <v>15</v>
      </c>
      <c r="G538">
        <v>28277</v>
      </c>
      <c r="H538" t="s">
        <v>195</v>
      </c>
      <c r="I538">
        <v>20</v>
      </c>
      <c r="J538">
        <v>1</v>
      </c>
      <c r="K538" t="s">
        <v>8921</v>
      </c>
    </row>
    <row r="539" spans="1:11" x14ac:dyDescent="0.25">
      <c r="A539" t="s">
        <v>1971</v>
      </c>
      <c r="B539" t="s">
        <v>1972</v>
      </c>
      <c r="C539" t="s">
        <v>1973</v>
      </c>
      <c r="D539" t="s">
        <v>1974</v>
      </c>
      <c r="E539" t="s">
        <v>14</v>
      </c>
      <c r="F539" t="s">
        <v>15</v>
      </c>
      <c r="G539">
        <v>28202</v>
      </c>
      <c r="H539" t="s">
        <v>21</v>
      </c>
      <c r="I539">
        <v>248</v>
      </c>
      <c r="J539">
        <v>1</v>
      </c>
      <c r="K539" t="s">
        <v>8935</v>
      </c>
    </row>
    <row r="540" spans="1:11" x14ac:dyDescent="0.25">
      <c r="A540" t="s">
        <v>1975</v>
      </c>
      <c r="B540" t="s">
        <v>1976</v>
      </c>
      <c r="C540" t="s">
        <v>1977</v>
      </c>
      <c r="D540" t="s">
        <v>954</v>
      </c>
      <c r="E540" t="s">
        <v>14</v>
      </c>
      <c r="F540" t="s">
        <v>15</v>
      </c>
      <c r="G540">
        <v>28202</v>
      </c>
      <c r="H540" t="s">
        <v>21</v>
      </c>
      <c r="I540">
        <v>243</v>
      </c>
      <c r="J540">
        <v>1</v>
      </c>
      <c r="K540" t="s">
        <v>8935</v>
      </c>
    </row>
    <row r="541" spans="1:11" x14ac:dyDescent="0.25">
      <c r="A541" t="e">
        <f>-sUf12Imjs68dBrmELiwzQ</f>
        <v>#NAME?</v>
      </c>
      <c r="B541" t="s">
        <v>1978</v>
      </c>
      <c r="C541" t="s">
        <v>1979</v>
      </c>
      <c r="D541" t="s">
        <v>1980</v>
      </c>
      <c r="E541" t="s">
        <v>14</v>
      </c>
      <c r="F541" t="s">
        <v>15</v>
      </c>
      <c r="G541">
        <v>28205</v>
      </c>
      <c r="H541" t="s">
        <v>16</v>
      </c>
      <c r="I541">
        <v>230</v>
      </c>
      <c r="J541">
        <v>1</v>
      </c>
      <c r="K541" t="s">
        <v>8936</v>
      </c>
    </row>
    <row r="542" spans="1:11" x14ac:dyDescent="0.25">
      <c r="A542" t="s">
        <v>1981</v>
      </c>
      <c r="B542" t="s">
        <v>1982</v>
      </c>
      <c r="C542" t="s">
        <v>1983</v>
      </c>
      <c r="D542" t="s">
        <v>1984</v>
      </c>
      <c r="E542" t="s">
        <v>14</v>
      </c>
      <c r="F542" t="s">
        <v>15</v>
      </c>
      <c r="G542">
        <v>28027</v>
      </c>
      <c r="H542" t="s">
        <v>21</v>
      </c>
      <c r="I542">
        <v>28</v>
      </c>
      <c r="J542">
        <v>1</v>
      </c>
      <c r="K542" t="s">
        <v>8930</v>
      </c>
    </row>
    <row r="543" spans="1:11" x14ac:dyDescent="0.25">
      <c r="A543" t="s">
        <v>1985</v>
      </c>
      <c r="B543" t="s">
        <v>1986</v>
      </c>
      <c r="C543" t="s">
        <v>1987</v>
      </c>
      <c r="D543" t="s">
        <v>1988</v>
      </c>
      <c r="E543" t="s">
        <v>14</v>
      </c>
      <c r="F543" t="s">
        <v>15</v>
      </c>
      <c r="G543">
        <v>28203</v>
      </c>
      <c r="H543" t="s">
        <v>16</v>
      </c>
      <c r="I543">
        <v>67</v>
      </c>
      <c r="J543">
        <v>1</v>
      </c>
      <c r="K543" t="s">
        <v>8935</v>
      </c>
    </row>
    <row r="544" spans="1:11" x14ac:dyDescent="0.25">
      <c r="A544" t="s">
        <v>1989</v>
      </c>
      <c r="B544" t="s">
        <v>1093</v>
      </c>
      <c r="C544" t="s">
        <v>1094</v>
      </c>
      <c r="D544" t="s">
        <v>1990</v>
      </c>
      <c r="E544" t="s">
        <v>14</v>
      </c>
      <c r="F544" t="s">
        <v>15</v>
      </c>
      <c r="G544">
        <v>28227</v>
      </c>
      <c r="H544" t="s">
        <v>101</v>
      </c>
      <c r="I544">
        <v>9</v>
      </c>
      <c r="J544">
        <v>1</v>
      </c>
      <c r="K544" t="s">
        <v>8925</v>
      </c>
    </row>
    <row r="545" spans="1:11" x14ac:dyDescent="0.25">
      <c r="A545" t="s">
        <v>1991</v>
      </c>
      <c r="B545" t="s">
        <v>1909</v>
      </c>
      <c r="C545" t="s">
        <v>1992</v>
      </c>
      <c r="D545" t="s">
        <v>1993</v>
      </c>
      <c r="E545" t="s">
        <v>14</v>
      </c>
      <c r="F545" t="s">
        <v>15</v>
      </c>
      <c r="G545">
        <v>28262</v>
      </c>
      <c r="H545" t="s">
        <v>16</v>
      </c>
      <c r="I545">
        <v>94</v>
      </c>
      <c r="J545">
        <v>1</v>
      </c>
      <c r="K545" t="s">
        <v>8921</v>
      </c>
    </row>
    <row r="546" spans="1:11" x14ac:dyDescent="0.25">
      <c r="A546" t="s">
        <v>1994</v>
      </c>
      <c r="B546" t="s">
        <v>176</v>
      </c>
      <c r="C546" t="s">
        <v>1995</v>
      </c>
      <c r="D546" t="s">
        <v>1209</v>
      </c>
      <c r="E546" t="s">
        <v>14</v>
      </c>
      <c r="F546" t="s">
        <v>15</v>
      </c>
      <c r="G546">
        <v>28204</v>
      </c>
      <c r="H546" t="s">
        <v>21</v>
      </c>
      <c r="I546">
        <v>44</v>
      </c>
      <c r="J546">
        <v>0</v>
      </c>
      <c r="K546" t="s">
        <v>8935</v>
      </c>
    </row>
    <row r="547" spans="1:11" x14ac:dyDescent="0.25">
      <c r="A547" t="s">
        <v>1996</v>
      </c>
      <c r="B547" t="s">
        <v>1997</v>
      </c>
      <c r="C547" t="s">
        <v>1998</v>
      </c>
      <c r="D547" t="s">
        <v>1999</v>
      </c>
      <c r="E547" t="s">
        <v>14</v>
      </c>
      <c r="F547" t="s">
        <v>15</v>
      </c>
      <c r="G547">
        <v>28205</v>
      </c>
      <c r="H547" t="s">
        <v>39</v>
      </c>
      <c r="I547">
        <v>82</v>
      </c>
      <c r="J547">
        <v>1</v>
      </c>
      <c r="K547" t="s">
        <v>8935</v>
      </c>
    </row>
    <row r="548" spans="1:11" x14ac:dyDescent="0.25">
      <c r="A548" t="s">
        <v>2000</v>
      </c>
      <c r="B548" t="s">
        <v>2001</v>
      </c>
      <c r="C548" t="s">
        <v>2002</v>
      </c>
      <c r="D548" t="s">
        <v>2003</v>
      </c>
      <c r="E548" t="s">
        <v>14</v>
      </c>
      <c r="F548" t="s">
        <v>15</v>
      </c>
      <c r="G548">
        <v>28209</v>
      </c>
      <c r="H548" t="s">
        <v>16</v>
      </c>
      <c r="I548">
        <v>9</v>
      </c>
      <c r="J548">
        <v>0</v>
      </c>
      <c r="K548" t="s">
        <v>8935</v>
      </c>
    </row>
    <row r="549" spans="1:11" x14ac:dyDescent="0.25">
      <c r="A549" t="s">
        <v>2004</v>
      </c>
      <c r="B549" t="s">
        <v>2005</v>
      </c>
      <c r="C549" t="s">
        <v>2006</v>
      </c>
      <c r="D549" t="s">
        <v>2007</v>
      </c>
      <c r="E549" t="s">
        <v>14</v>
      </c>
      <c r="F549" t="s">
        <v>15</v>
      </c>
      <c r="G549">
        <v>28210</v>
      </c>
      <c r="H549" t="s">
        <v>48</v>
      </c>
      <c r="I549">
        <v>19</v>
      </c>
      <c r="J549">
        <v>1</v>
      </c>
      <c r="K549" t="s">
        <v>8935</v>
      </c>
    </row>
    <row r="550" spans="1:11" x14ac:dyDescent="0.25">
      <c r="A550" t="s">
        <v>2008</v>
      </c>
      <c r="B550" t="s">
        <v>312</v>
      </c>
      <c r="C550" t="s">
        <v>2009</v>
      </c>
      <c r="D550" t="s">
        <v>2010</v>
      </c>
      <c r="E550" t="s">
        <v>14</v>
      </c>
      <c r="F550" t="s">
        <v>15</v>
      </c>
      <c r="G550">
        <v>28217</v>
      </c>
      <c r="H550" t="s">
        <v>21</v>
      </c>
      <c r="I550">
        <v>287</v>
      </c>
      <c r="J550">
        <v>1</v>
      </c>
      <c r="K550" t="s">
        <v>8925</v>
      </c>
    </row>
    <row r="551" spans="1:11" x14ac:dyDescent="0.25">
      <c r="A551" t="s">
        <v>2011</v>
      </c>
      <c r="B551" t="s">
        <v>2012</v>
      </c>
      <c r="C551" t="s">
        <v>193</v>
      </c>
      <c r="D551" t="s">
        <v>2013</v>
      </c>
      <c r="E551" t="s">
        <v>14</v>
      </c>
      <c r="F551" t="s">
        <v>15</v>
      </c>
      <c r="G551">
        <v>28226</v>
      </c>
      <c r="H551" t="s">
        <v>101</v>
      </c>
      <c r="I551">
        <v>23</v>
      </c>
      <c r="J551">
        <v>1</v>
      </c>
      <c r="K551" t="s">
        <v>8935</v>
      </c>
    </row>
    <row r="552" spans="1:11" x14ac:dyDescent="0.25">
      <c r="A552" t="s">
        <v>2014</v>
      </c>
      <c r="B552" t="s">
        <v>103</v>
      </c>
      <c r="C552" t="s">
        <v>2015</v>
      </c>
      <c r="D552" t="s">
        <v>1843</v>
      </c>
      <c r="E552" t="s">
        <v>14</v>
      </c>
      <c r="F552" t="s">
        <v>15</v>
      </c>
      <c r="G552">
        <v>28277</v>
      </c>
      <c r="H552" t="s">
        <v>21</v>
      </c>
      <c r="I552">
        <v>73</v>
      </c>
      <c r="J552">
        <v>0</v>
      </c>
      <c r="K552" t="s">
        <v>8921</v>
      </c>
    </row>
    <row r="553" spans="1:11" x14ac:dyDescent="0.25">
      <c r="A553" t="s">
        <v>2016</v>
      </c>
      <c r="B553" t="s">
        <v>2017</v>
      </c>
      <c r="C553" t="s">
        <v>193</v>
      </c>
      <c r="D553" t="s">
        <v>2018</v>
      </c>
      <c r="E553" t="s">
        <v>14</v>
      </c>
      <c r="F553" t="s">
        <v>15</v>
      </c>
      <c r="G553">
        <v>28215</v>
      </c>
      <c r="H553" t="s">
        <v>101</v>
      </c>
      <c r="I553">
        <v>6</v>
      </c>
      <c r="J553">
        <v>1</v>
      </c>
      <c r="K553" t="s">
        <v>8935</v>
      </c>
    </row>
    <row r="554" spans="1:11" x14ac:dyDescent="0.25">
      <c r="A554" t="s">
        <v>2019</v>
      </c>
      <c r="B554" t="s">
        <v>2020</v>
      </c>
      <c r="C554" t="s">
        <v>2021</v>
      </c>
      <c r="D554" t="s">
        <v>2022</v>
      </c>
      <c r="E554" t="s">
        <v>14</v>
      </c>
      <c r="F554" t="s">
        <v>15</v>
      </c>
      <c r="G554">
        <v>28269</v>
      </c>
      <c r="H554" t="s">
        <v>21</v>
      </c>
      <c r="I554">
        <v>19</v>
      </c>
      <c r="J554">
        <v>1</v>
      </c>
      <c r="K554" t="s">
        <v>8926</v>
      </c>
    </row>
    <row r="555" spans="1:11" x14ac:dyDescent="0.25">
      <c r="A555" t="s">
        <v>2023</v>
      </c>
      <c r="B555" t="s">
        <v>2024</v>
      </c>
      <c r="C555" t="s">
        <v>2025</v>
      </c>
      <c r="D555" t="s">
        <v>480</v>
      </c>
      <c r="E555" t="s">
        <v>14</v>
      </c>
      <c r="F555" t="s">
        <v>15</v>
      </c>
      <c r="G555">
        <v>28205</v>
      </c>
      <c r="H555" t="s">
        <v>26</v>
      </c>
      <c r="I555">
        <v>5</v>
      </c>
      <c r="J555">
        <v>0</v>
      </c>
      <c r="K555" t="s">
        <v>8923</v>
      </c>
    </row>
    <row r="556" spans="1:11" x14ac:dyDescent="0.25">
      <c r="A556" t="s">
        <v>2026</v>
      </c>
      <c r="B556" t="s">
        <v>2027</v>
      </c>
      <c r="C556" t="s">
        <v>2028</v>
      </c>
      <c r="D556" t="s">
        <v>2029</v>
      </c>
      <c r="E556" t="s">
        <v>14</v>
      </c>
      <c r="F556" t="s">
        <v>15</v>
      </c>
      <c r="G556">
        <v>28226</v>
      </c>
      <c r="H556" t="s">
        <v>16</v>
      </c>
      <c r="I556">
        <v>66</v>
      </c>
      <c r="J556">
        <v>1</v>
      </c>
      <c r="K556" t="s">
        <v>8935</v>
      </c>
    </row>
    <row r="557" spans="1:11" x14ac:dyDescent="0.25">
      <c r="A557" t="s">
        <v>2030</v>
      </c>
      <c r="B557" t="s">
        <v>2031</v>
      </c>
      <c r="C557" t="s">
        <v>2032</v>
      </c>
      <c r="D557" t="s">
        <v>113</v>
      </c>
      <c r="E557" t="s">
        <v>14</v>
      </c>
      <c r="F557" t="s">
        <v>15</v>
      </c>
      <c r="G557">
        <v>28202</v>
      </c>
      <c r="H557" t="s">
        <v>26</v>
      </c>
      <c r="I557">
        <v>27</v>
      </c>
      <c r="J557">
        <v>0</v>
      </c>
      <c r="K557" t="s">
        <v>8935</v>
      </c>
    </row>
    <row r="558" spans="1:11" x14ac:dyDescent="0.25">
      <c r="A558" t="s">
        <v>2033</v>
      </c>
      <c r="B558" t="s">
        <v>2034</v>
      </c>
      <c r="C558" t="s">
        <v>2035</v>
      </c>
      <c r="D558" t="s">
        <v>2036</v>
      </c>
      <c r="E558" t="s">
        <v>14</v>
      </c>
      <c r="F558" t="s">
        <v>15</v>
      </c>
      <c r="G558">
        <v>28203</v>
      </c>
      <c r="H558" t="s">
        <v>21</v>
      </c>
      <c r="I558">
        <v>103</v>
      </c>
      <c r="J558">
        <v>1</v>
      </c>
      <c r="K558" t="s">
        <v>8935</v>
      </c>
    </row>
    <row r="559" spans="1:11" x14ac:dyDescent="0.25">
      <c r="A559" t="s">
        <v>2037</v>
      </c>
      <c r="B559" t="s">
        <v>2038</v>
      </c>
      <c r="C559" t="s">
        <v>2039</v>
      </c>
      <c r="D559" t="s">
        <v>1363</v>
      </c>
      <c r="E559" t="s">
        <v>14</v>
      </c>
      <c r="F559" t="s">
        <v>15</v>
      </c>
      <c r="G559">
        <v>28277</v>
      </c>
      <c r="H559" t="s">
        <v>21</v>
      </c>
      <c r="I559">
        <v>97</v>
      </c>
      <c r="J559">
        <v>0</v>
      </c>
      <c r="K559" t="s">
        <v>8935</v>
      </c>
    </row>
    <row r="560" spans="1:11" x14ac:dyDescent="0.25">
      <c r="A560" t="s">
        <v>2040</v>
      </c>
      <c r="B560" t="s">
        <v>2041</v>
      </c>
      <c r="C560" t="s">
        <v>2042</v>
      </c>
      <c r="D560" t="s">
        <v>2043</v>
      </c>
      <c r="E560" t="s">
        <v>14</v>
      </c>
      <c r="F560" t="s">
        <v>15</v>
      </c>
      <c r="G560">
        <v>28202</v>
      </c>
      <c r="H560" t="s">
        <v>21</v>
      </c>
      <c r="I560">
        <v>433</v>
      </c>
      <c r="J560">
        <v>1</v>
      </c>
      <c r="K560" t="s">
        <v>8921</v>
      </c>
    </row>
    <row r="561" spans="1:11" x14ac:dyDescent="0.25">
      <c r="A561" t="s">
        <v>2044</v>
      </c>
      <c r="B561" t="s">
        <v>2045</v>
      </c>
      <c r="C561" t="s">
        <v>622</v>
      </c>
      <c r="D561" t="s">
        <v>2046</v>
      </c>
      <c r="E561" t="s">
        <v>14</v>
      </c>
      <c r="F561" t="s">
        <v>15</v>
      </c>
      <c r="G561">
        <v>28217</v>
      </c>
      <c r="H561" t="s">
        <v>195</v>
      </c>
      <c r="I561">
        <v>10</v>
      </c>
      <c r="J561">
        <v>1</v>
      </c>
      <c r="K561" t="s">
        <v>8935</v>
      </c>
    </row>
    <row r="562" spans="1:11" x14ac:dyDescent="0.25">
      <c r="A562" t="s">
        <v>2047</v>
      </c>
      <c r="B562" t="s">
        <v>2048</v>
      </c>
      <c r="C562" t="s">
        <v>1608</v>
      </c>
      <c r="D562" t="s">
        <v>2049</v>
      </c>
      <c r="E562" t="s">
        <v>14</v>
      </c>
      <c r="F562" t="s">
        <v>15</v>
      </c>
      <c r="G562">
        <v>28204</v>
      </c>
      <c r="H562" t="s">
        <v>195</v>
      </c>
      <c r="I562">
        <v>32</v>
      </c>
      <c r="J562">
        <v>1</v>
      </c>
      <c r="K562" t="s">
        <v>8921</v>
      </c>
    </row>
    <row r="563" spans="1:11" x14ac:dyDescent="0.25">
      <c r="A563" t="s">
        <v>2050</v>
      </c>
      <c r="B563" t="s">
        <v>90</v>
      </c>
      <c r="C563" t="s">
        <v>2051</v>
      </c>
      <c r="D563" t="s">
        <v>2052</v>
      </c>
      <c r="E563" t="s">
        <v>14</v>
      </c>
      <c r="F563" t="s">
        <v>15</v>
      </c>
      <c r="G563">
        <v>28262</v>
      </c>
      <c r="H563" t="s">
        <v>21</v>
      </c>
      <c r="I563">
        <v>23</v>
      </c>
      <c r="J563">
        <v>1</v>
      </c>
      <c r="K563" t="s">
        <v>8935</v>
      </c>
    </row>
    <row r="564" spans="1:11" x14ac:dyDescent="0.25">
      <c r="A564" t="s">
        <v>2053</v>
      </c>
      <c r="B564" t="s">
        <v>2054</v>
      </c>
      <c r="C564" t="s">
        <v>2055</v>
      </c>
      <c r="D564" t="s">
        <v>2056</v>
      </c>
      <c r="E564" t="s">
        <v>14</v>
      </c>
      <c r="F564" t="s">
        <v>15</v>
      </c>
      <c r="G564">
        <v>28202</v>
      </c>
      <c r="H564" t="s">
        <v>26</v>
      </c>
      <c r="I564">
        <v>137</v>
      </c>
      <c r="J564">
        <v>1</v>
      </c>
      <c r="K564" t="s">
        <v>8936</v>
      </c>
    </row>
    <row r="565" spans="1:11" x14ac:dyDescent="0.25">
      <c r="A565" t="s">
        <v>2057</v>
      </c>
      <c r="B565" t="s">
        <v>2058</v>
      </c>
      <c r="C565" t="s">
        <v>1200</v>
      </c>
      <c r="D565" t="s">
        <v>2059</v>
      </c>
      <c r="E565" t="s">
        <v>14</v>
      </c>
      <c r="F565" t="s">
        <v>15</v>
      </c>
      <c r="G565">
        <v>28263</v>
      </c>
      <c r="H565" t="s">
        <v>16</v>
      </c>
      <c r="I565">
        <v>35</v>
      </c>
      <c r="J565">
        <v>1</v>
      </c>
      <c r="K565" t="s">
        <v>8935</v>
      </c>
    </row>
    <row r="566" spans="1:11" x14ac:dyDescent="0.25">
      <c r="A566" t="s">
        <v>2060</v>
      </c>
      <c r="B566" t="s">
        <v>2061</v>
      </c>
      <c r="C566" t="s">
        <v>2062</v>
      </c>
      <c r="D566" t="s">
        <v>2063</v>
      </c>
      <c r="E566" t="s">
        <v>14</v>
      </c>
      <c r="F566" t="s">
        <v>15</v>
      </c>
      <c r="G566">
        <v>28226</v>
      </c>
      <c r="H566" t="s">
        <v>21</v>
      </c>
      <c r="I566">
        <v>95</v>
      </c>
      <c r="J566">
        <v>1</v>
      </c>
      <c r="K566" t="s">
        <v>8935</v>
      </c>
    </row>
    <row r="567" spans="1:11" x14ac:dyDescent="0.25">
      <c r="A567" t="s">
        <v>2064</v>
      </c>
      <c r="B567" t="s">
        <v>2065</v>
      </c>
      <c r="C567" t="s">
        <v>317</v>
      </c>
      <c r="D567" t="s">
        <v>2066</v>
      </c>
      <c r="E567" t="s">
        <v>14</v>
      </c>
      <c r="F567" t="s">
        <v>15</v>
      </c>
      <c r="G567">
        <v>28105</v>
      </c>
      <c r="H567" t="s">
        <v>26</v>
      </c>
      <c r="I567">
        <v>5</v>
      </c>
      <c r="J567">
        <v>1</v>
      </c>
      <c r="K567" t="s">
        <v>8921</v>
      </c>
    </row>
    <row r="568" spans="1:11" x14ac:dyDescent="0.25">
      <c r="A568" t="s">
        <v>2067</v>
      </c>
      <c r="B568" t="s">
        <v>2068</v>
      </c>
      <c r="C568" t="s">
        <v>2069</v>
      </c>
      <c r="D568" t="s">
        <v>2070</v>
      </c>
      <c r="E568" t="s">
        <v>14</v>
      </c>
      <c r="F568" t="s">
        <v>15</v>
      </c>
      <c r="G568">
        <v>28277</v>
      </c>
      <c r="H568" t="s">
        <v>26</v>
      </c>
      <c r="I568">
        <v>36</v>
      </c>
      <c r="J568">
        <v>1</v>
      </c>
      <c r="K568" t="s">
        <v>8930</v>
      </c>
    </row>
    <row r="569" spans="1:11" x14ac:dyDescent="0.25">
      <c r="A569" t="s">
        <v>2071</v>
      </c>
      <c r="B569" t="s">
        <v>2072</v>
      </c>
      <c r="C569" t="s">
        <v>2073</v>
      </c>
      <c r="D569" t="s">
        <v>2074</v>
      </c>
      <c r="E569" t="s">
        <v>14</v>
      </c>
      <c r="F569" t="s">
        <v>15</v>
      </c>
      <c r="G569">
        <v>28205</v>
      </c>
      <c r="H569" t="s">
        <v>26</v>
      </c>
      <c r="I569">
        <v>203</v>
      </c>
      <c r="J569">
        <v>1</v>
      </c>
      <c r="K569" t="s">
        <v>8926</v>
      </c>
    </row>
    <row r="570" spans="1:11" x14ac:dyDescent="0.25">
      <c r="A570" t="s">
        <v>2075</v>
      </c>
      <c r="B570" t="s">
        <v>691</v>
      </c>
      <c r="C570" t="s">
        <v>2076</v>
      </c>
      <c r="D570" t="s">
        <v>2077</v>
      </c>
      <c r="E570" t="s">
        <v>14</v>
      </c>
      <c r="F570" t="s">
        <v>15</v>
      </c>
      <c r="G570">
        <v>28205</v>
      </c>
      <c r="H570" t="s">
        <v>16</v>
      </c>
      <c r="I570">
        <v>220</v>
      </c>
      <c r="J570">
        <v>1</v>
      </c>
      <c r="K570" t="s">
        <v>8935</v>
      </c>
    </row>
    <row r="571" spans="1:11" x14ac:dyDescent="0.25">
      <c r="A571" t="s">
        <v>2078</v>
      </c>
      <c r="B571" t="s">
        <v>2079</v>
      </c>
      <c r="C571" t="s">
        <v>2080</v>
      </c>
      <c r="D571" t="s">
        <v>816</v>
      </c>
      <c r="E571" t="s">
        <v>14</v>
      </c>
      <c r="F571" t="s">
        <v>15</v>
      </c>
      <c r="G571">
        <v>28269</v>
      </c>
      <c r="H571" t="s">
        <v>21</v>
      </c>
      <c r="I571">
        <v>119</v>
      </c>
      <c r="J571">
        <v>1</v>
      </c>
      <c r="K571" t="s">
        <v>8929</v>
      </c>
    </row>
    <row r="572" spans="1:11" x14ac:dyDescent="0.25">
      <c r="A572" t="s">
        <v>2081</v>
      </c>
      <c r="B572" t="s">
        <v>760</v>
      </c>
      <c r="C572" t="s">
        <v>2082</v>
      </c>
      <c r="D572" t="s">
        <v>2083</v>
      </c>
      <c r="E572" t="s">
        <v>14</v>
      </c>
      <c r="F572" t="s">
        <v>15</v>
      </c>
      <c r="G572">
        <v>28216</v>
      </c>
      <c r="H572" t="s">
        <v>48</v>
      </c>
      <c r="I572">
        <v>15</v>
      </c>
      <c r="J572">
        <v>1</v>
      </c>
      <c r="K572" t="s">
        <v>8935</v>
      </c>
    </row>
    <row r="573" spans="1:11" x14ac:dyDescent="0.25">
      <c r="A573" t="s">
        <v>2084</v>
      </c>
      <c r="B573" t="s">
        <v>2085</v>
      </c>
      <c r="C573" t="s">
        <v>2086</v>
      </c>
      <c r="D573" t="s">
        <v>2087</v>
      </c>
      <c r="E573" t="s">
        <v>14</v>
      </c>
      <c r="F573" t="s">
        <v>15</v>
      </c>
      <c r="G573">
        <v>28204</v>
      </c>
      <c r="H573" t="s">
        <v>21</v>
      </c>
      <c r="I573">
        <v>154</v>
      </c>
      <c r="J573">
        <v>0</v>
      </c>
      <c r="K573" t="s">
        <v>8935</v>
      </c>
    </row>
    <row r="574" spans="1:11" x14ac:dyDescent="0.25">
      <c r="A574" t="s">
        <v>2088</v>
      </c>
      <c r="B574" t="s">
        <v>2089</v>
      </c>
      <c r="C574" t="s">
        <v>2090</v>
      </c>
      <c r="D574" t="s">
        <v>2091</v>
      </c>
      <c r="E574" t="s">
        <v>14</v>
      </c>
      <c r="F574" t="s">
        <v>15</v>
      </c>
      <c r="G574">
        <v>28203</v>
      </c>
      <c r="H574" t="s">
        <v>39</v>
      </c>
      <c r="I574">
        <v>49</v>
      </c>
      <c r="J574">
        <v>1</v>
      </c>
      <c r="K574" t="s">
        <v>8935</v>
      </c>
    </row>
    <row r="575" spans="1:11" x14ac:dyDescent="0.25">
      <c r="A575" t="s">
        <v>2092</v>
      </c>
      <c r="B575" t="s">
        <v>691</v>
      </c>
      <c r="C575" t="s">
        <v>2093</v>
      </c>
      <c r="D575" t="s">
        <v>2094</v>
      </c>
      <c r="E575" t="s">
        <v>14</v>
      </c>
      <c r="F575" t="s">
        <v>15</v>
      </c>
      <c r="G575">
        <v>28209</v>
      </c>
      <c r="H575" t="s">
        <v>21</v>
      </c>
      <c r="I575">
        <v>15</v>
      </c>
      <c r="J575">
        <v>0</v>
      </c>
      <c r="K575" t="s">
        <v>8935</v>
      </c>
    </row>
    <row r="576" spans="1:11" x14ac:dyDescent="0.25">
      <c r="A576" t="s">
        <v>2095</v>
      </c>
      <c r="B576" t="s">
        <v>279</v>
      </c>
      <c r="C576" t="s">
        <v>2096</v>
      </c>
      <c r="D576" t="s">
        <v>2097</v>
      </c>
      <c r="E576" t="s">
        <v>14</v>
      </c>
      <c r="F576" t="s">
        <v>15</v>
      </c>
      <c r="G576">
        <v>28205</v>
      </c>
      <c r="H576" t="s">
        <v>16</v>
      </c>
      <c r="I576">
        <v>5</v>
      </c>
      <c r="J576">
        <v>1</v>
      </c>
      <c r="K576" t="s">
        <v>8926</v>
      </c>
    </row>
    <row r="577" spans="1:11" x14ac:dyDescent="0.25">
      <c r="A577" t="s">
        <v>2098</v>
      </c>
      <c r="B577" t="s">
        <v>2099</v>
      </c>
      <c r="C577" t="s">
        <v>622</v>
      </c>
      <c r="D577" t="s">
        <v>2100</v>
      </c>
      <c r="E577" t="s">
        <v>14</v>
      </c>
      <c r="F577" t="s">
        <v>15</v>
      </c>
      <c r="G577">
        <v>28262</v>
      </c>
      <c r="H577" t="s">
        <v>26</v>
      </c>
      <c r="I577">
        <v>34</v>
      </c>
      <c r="J577">
        <v>1</v>
      </c>
      <c r="K577" t="s">
        <v>8935</v>
      </c>
    </row>
    <row r="578" spans="1:11" x14ac:dyDescent="0.25">
      <c r="A578" t="s">
        <v>2101</v>
      </c>
      <c r="B578" t="s">
        <v>316</v>
      </c>
      <c r="C578" t="s">
        <v>1276</v>
      </c>
      <c r="D578" t="s">
        <v>2102</v>
      </c>
      <c r="E578" t="s">
        <v>14</v>
      </c>
      <c r="F578" t="s">
        <v>15</v>
      </c>
      <c r="G578">
        <v>28212</v>
      </c>
      <c r="H578" t="s">
        <v>101</v>
      </c>
      <c r="I578">
        <v>4</v>
      </c>
      <c r="J578">
        <v>1</v>
      </c>
      <c r="K578" t="s">
        <v>8935</v>
      </c>
    </row>
    <row r="579" spans="1:11" x14ac:dyDescent="0.25">
      <c r="A579" t="s">
        <v>2103</v>
      </c>
      <c r="B579" t="s">
        <v>2104</v>
      </c>
      <c r="C579" t="s">
        <v>2105</v>
      </c>
      <c r="E579" t="s">
        <v>14</v>
      </c>
      <c r="F579" t="s">
        <v>15</v>
      </c>
      <c r="G579">
        <v>28105</v>
      </c>
      <c r="H579" t="s">
        <v>39</v>
      </c>
      <c r="I579">
        <v>6</v>
      </c>
      <c r="J579">
        <v>1</v>
      </c>
      <c r="K579" t="s">
        <v>8935</v>
      </c>
    </row>
    <row r="580" spans="1:11" x14ac:dyDescent="0.25">
      <c r="A580" t="s">
        <v>2106</v>
      </c>
      <c r="B580" t="s">
        <v>1053</v>
      </c>
      <c r="C580" t="s">
        <v>2080</v>
      </c>
      <c r="D580" t="s">
        <v>1040</v>
      </c>
      <c r="E580" t="s">
        <v>14</v>
      </c>
      <c r="F580" t="s">
        <v>15</v>
      </c>
      <c r="G580">
        <v>28204</v>
      </c>
      <c r="H580" t="s">
        <v>26</v>
      </c>
      <c r="I580">
        <v>54</v>
      </c>
      <c r="J580">
        <v>1</v>
      </c>
      <c r="K580" t="s">
        <v>8929</v>
      </c>
    </row>
    <row r="581" spans="1:11" x14ac:dyDescent="0.25">
      <c r="A581" t="s">
        <v>2107</v>
      </c>
      <c r="B581" t="s">
        <v>2108</v>
      </c>
      <c r="C581" t="s">
        <v>2109</v>
      </c>
      <c r="D581" t="s">
        <v>2110</v>
      </c>
      <c r="E581" t="s">
        <v>14</v>
      </c>
      <c r="F581" t="s">
        <v>15</v>
      </c>
      <c r="G581">
        <v>28255</v>
      </c>
      <c r="H581" t="s">
        <v>21</v>
      </c>
      <c r="I581">
        <v>4</v>
      </c>
      <c r="J581">
        <v>1</v>
      </c>
      <c r="K581" t="s">
        <v>8935</v>
      </c>
    </row>
    <row r="582" spans="1:11" x14ac:dyDescent="0.25">
      <c r="A582" t="s">
        <v>2111</v>
      </c>
      <c r="B582" t="s">
        <v>2112</v>
      </c>
      <c r="C582" t="s">
        <v>2113</v>
      </c>
      <c r="D582" t="s">
        <v>2114</v>
      </c>
      <c r="E582" t="s">
        <v>14</v>
      </c>
      <c r="F582" t="s">
        <v>15</v>
      </c>
      <c r="G582">
        <v>28204</v>
      </c>
      <c r="H582" t="s">
        <v>16</v>
      </c>
      <c r="I582">
        <v>277</v>
      </c>
      <c r="J582">
        <v>1</v>
      </c>
      <c r="K582" t="s">
        <v>8935</v>
      </c>
    </row>
    <row r="583" spans="1:11" x14ac:dyDescent="0.25">
      <c r="A583" t="s">
        <v>2115</v>
      </c>
      <c r="B583" t="s">
        <v>2116</v>
      </c>
      <c r="C583" t="s">
        <v>2117</v>
      </c>
      <c r="D583" t="s">
        <v>2118</v>
      </c>
      <c r="E583" t="s">
        <v>14</v>
      </c>
      <c r="F583" t="s">
        <v>15</v>
      </c>
      <c r="G583">
        <v>28217</v>
      </c>
      <c r="H583" t="s">
        <v>265</v>
      </c>
      <c r="I583">
        <v>5</v>
      </c>
      <c r="J583">
        <v>0</v>
      </c>
      <c r="K583" t="s">
        <v>8935</v>
      </c>
    </row>
    <row r="584" spans="1:11" x14ac:dyDescent="0.25">
      <c r="A584" t="s">
        <v>2119</v>
      </c>
      <c r="B584" t="s">
        <v>391</v>
      </c>
      <c r="C584" t="s">
        <v>364</v>
      </c>
      <c r="D584" t="s">
        <v>2120</v>
      </c>
      <c r="E584" t="s">
        <v>14</v>
      </c>
      <c r="F584" t="s">
        <v>15</v>
      </c>
      <c r="G584">
        <v>28277</v>
      </c>
      <c r="H584" t="s">
        <v>101</v>
      </c>
      <c r="I584">
        <v>17</v>
      </c>
      <c r="J584">
        <v>1</v>
      </c>
      <c r="K584" t="s">
        <v>8935</v>
      </c>
    </row>
    <row r="585" spans="1:11" x14ac:dyDescent="0.25">
      <c r="A585" t="s">
        <v>2121</v>
      </c>
      <c r="B585" t="s">
        <v>2122</v>
      </c>
      <c r="C585" t="s">
        <v>2123</v>
      </c>
      <c r="D585" t="s">
        <v>2124</v>
      </c>
      <c r="E585" t="s">
        <v>14</v>
      </c>
      <c r="F585" t="s">
        <v>15</v>
      </c>
      <c r="G585">
        <v>28211</v>
      </c>
      <c r="H585" t="s">
        <v>16</v>
      </c>
      <c r="I585">
        <v>1572</v>
      </c>
      <c r="J585">
        <v>1</v>
      </c>
      <c r="K585" t="s">
        <v>8936</v>
      </c>
    </row>
    <row r="586" spans="1:11" x14ac:dyDescent="0.25">
      <c r="A586" t="s">
        <v>2125</v>
      </c>
      <c r="B586" t="s">
        <v>2126</v>
      </c>
      <c r="C586" t="s">
        <v>2127</v>
      </c>
      <c r="D586" t="s">
        <v>2128</v>
      </c>
      <c r="E586" t="s">
        <v>14</v>
      </c>
      <c r="F586" t="s">
        <v>15</v>
      </c>
      <c r="G586">
        <v>28203</v>
      </c>
      <c r="H586" t="s">
        <v>48</v>
      </c>
      <c r="I586">
        <v>4</v>
      </c>
      <c r="J586">
        <v>0</v>
      </c>
      <c r="K586" t="s">
        <v>8935</v>
      </c>
    </row>
    <row r="587" spans="1:11" x14ac:dyDescent="0.25">
      <c r="A587" t="s">
        <v>2129</v>
      </c>
      <c r="B587" t="s">
        <v>2130</v>
      </c>
      <c r="C587" t="s">
        <v>321</v>
      </c>
      <c r="D587" t="s">
        <v>2131</v>
      </c>
      <c r="E587" t="s">
        <v>14</v>
      </c>
      <c r="F587" t="s">
        <v>15</v>
      </c>
      <c r="G587">
        <v>28210</v>
      </c>
      <c r="H587" t="s">
        <v>26</v>
      </c>
      <c r="I587">
        <v>13</v>
      </c>
      <c r="J587">
        <v>1</v>
      </c>
      <c r="K587" t="s">
        <v>8935</v>
      </c>
    </row>
    <row r="588" spans="1:11" x14ac:dyDescent="0.25">
      <c r="A588" t="s">
        <v>2132</v>
      </c>
      <c r="B588" t="s">
        <v>2133</v>
      </c>
      <c r="C588" t="s">
        <v>2134</v>
      </c>
      <c r="D588" t="s">
        <v>2135</v>
      </c>
      <c r="E588" t="s">
        <v>14</v>
      </c>
      <c r="F588" t="s">
        <v>15</v>
      </c>
      <c r="G588">
        <v>28210</v>
      </c>
      <c r="H588" t="s">
        <v>16</v>
      </c>
      <c r="I588">
        <v>337</v>
      </c>
      <c r="J588">
        <v>1</v>
      </c>
      <c r="K588" t="s">
        <v>8935</v>
      </c>
    </row>
    <row r="589" spans="1:11" x14ac:dyDescent="0.25">
      <c r="A589" t="s">
        <v>2136</v>
      </c>
      <c r="B589" t="s">
        <v>2137</v>
      </c>
      <c r="C589" t="s">
        <v>411</v>
      </c>
      <c r="D589" t="s">
        <v>954</v>
      </c>
      <c r="E589" t="s">
        <v>14</v>
      </c>
      <c r="F589" t="s">
        <v>15</v>
      </c>
      <c r="G589">
        <v>28204</v>
      </c>
      <c r="H589" t="s">
        <v>26</v>
      </c>
      <c r="I589">
        <v>41</v>
      </c>
      <c r="J589">
        <v>1</v>
      </c>
      <c r="K589" t="s">
        <v>8935</v>
      </c>
    </row>
    <row r="590" spans="1:11" x14ac:dyDescent="0.25">
      <c r="A590" t="s">
        <v>2138</v>
      </c>
      <c r="B590" t="s">
        <v>2139</v>
      </c>
      <c r="C590" t="s">
        <v>2140</v>
      </c>
      <c r="D590" t="s">
        <v>2141</v>
      </c>
      <c r="E590" t="s">
        <v>14</v>
      </c>
      <c r="F590" t="s">
        <v>15</v>
      </c>
      <c r="G590">
        <v>28203</v>
      </c>
      <c r="H590" t="s">
        <v>39</v>
      </c>
      <c r="I590">
        <v>171</v>
      </c>
      <c r="J590">
        <v>1</v>
      </c>
      <c r="K590" t="s">
        <v>8928</v>
      </c>
    </row>
    <row r="591" spans="1:11" x14ac:dyDescent="0.25">
      <c r="A591" t="s">
        <v>2142</v>
      </c>
      <c r="B591" t="s">
        <v>2143</v>
      </c>
      <c r="C591" t="s">
        <v>415</v>
      </c>
      <c r="D591" t="s">
        <v>2144</v>
      </c>
      <c r="E591" t="s">
        <v>14</v>
      </c>
      <c r="F591" t="s">
        <v>15</v>
      </c>
      <c r="G591">
        <v>28210</v>
      </c>
      <c r="H591" t="s">
        <v>21</v>
      </c>
      <c r="I591">
        <v>3</v>
      </c>
      <c r="J591">
        <v>1</v>
      </c>
      <c r="K591" t="s">
        <v>8935</v>
      </c>
    </row>
    <row r="592" spans="1:11" x14ac:dyDescent="0.25">
      <c r="A592" t="s">
        <v>2145</v>
      </c>
      <c r="B592" t="s">
        <v>2146</v>
      </c>
      <c r="C592" t="s">
        <v>2147</v>
      </c>
      <c r="D592" t="s">
        <v>1883</v>
      </c>
      <c r="E592" t="s">
        <v>14</v>
      </c>
      <c r="F592" t="s">
        <v>15</v>
      </c>
      <c r="G592">
        <v>28277</v>
      </c>
      <c r="H592" t="s">
        <v>39</v>
      </c>
      <c r="I592">
        <v>193</v>
      </c>
      <c r="J592">
        <v>1</v>
      </c>
      <c r="K592" t="s">
        <v>8927</v>
      </c>
    </row>
    <row r="593" spans="1:11" x14ac:dyDescent="0.25">
      <c r="A593" t="s">
        <v>2148</v>
      </c>
      <c r="B593" t="s">
        <v>2149</v>
      </c>
      <c r="C593" t="s">
        <v>2150</v>
      </c>
      <c r="D593" t="s">
        <v>2151</v>
      </c>
      <c r="E593" t="s">
        <v>14</v>
      </c>
      <c r="F593" t="s">
        <v>15</v>
      </c>
      <c r="G593">
        <v>28273</v>
      </c>
      <c r="H593" t="s">
        <v>146</v>
      </c>
      <c r="I593">
        <v>86</v>
      </c>
      <c r="J593">
        <v>1</v>
      </c>
      <c r="K593" t="s">
        <v>8921</v>
      </c>
    </row>
    <row r="594" spans="1:11" x14ac:dyDescent="0.25">
      <c r="A594" t="s">
        <v>2152</v>
      </c>
      <c r="B594" t="s">
        <v>2153</v>
      </c>
      <c r="C594" t="s">
        <v>2154</v>
      </c>
      <c r="D594" t="s">
        <v>2155</v>
      </c>
      <c r="E594" t="s">
        <v>14</v>
      </c>
      <c r="F594" t="s">
        <v>15</v>
      </c>
      <c r="G594">
        <v>28204</v>
      </c>
      <c r="H594" t="s">
        <v>26</v>
      </c>
      <c r="I594">
        <v>29</v>
      </c>
      <c r="J594">
        <v>1</v>
      </c>
      <c r="K594" t="s">
        <v>8935</v>
      </c>
    </row>
    <row r="595" spans="1:11" x14ac:dyDescent="0.25">
      <c r="A595" t="s">
        <v>2156</v>
      </c>
      <c r="B595" t="s">
        <v>2157</v>
      </c>
      <c r="C595" t="s">
        <v>2158</v>
      </c>
      <c r="D595" t="s">
        <v>2159</v>
      </c>
      <c r="E595" t="s">
        <v>14</v>
      </c>
      <c r="F595" t="s">
        <v>15</v>
      </c>
      <c r="G595">
        <v>28273</v>
      </c>
      <c r="H595" t="s">
        <v>48</v>
      </c>
      <c r="I595">
        <v>4</v>
      </c>
      <c r="J595">
        <v>0</v>
      </c>
      <c r="K595" t="s">
        <v>8935</v>
      </c>
    </row>
    <row r="596" spans="1:11" x14ac:dyDescent="0.25">
      <c r="A596" t="s">
        <v>2160</v>
      </c>
      <c r="B596" t="s">
        <v>2161</v>
      </c>
      <c r="C596" t="s">
        <v>263</v>
      </c>
      <c r="D596" t="s">
        <v>1799</v>
      </c>
      <c r="E596" t="s">
        <v>14</v>
      </c>
      <c r="F596" t="s">
        <v>15</v>
      </c>
      <c r="G596">
        <v>28269</v>
      </c>
      <c r="H596" t="s">
        <v>101</v>
      </c>
      <c r="I596">
        <v>10</v>
      </c>
      <c r="J596">
        <v>1</v>
      </c>
      <c r="K596" t="s">
        <v>8935</v>
      </c>
    </row>
    <row r="597" spans="1:11" x14ac:dyDescent="0.25">
      <c r="A597" t="s">
        <v>2162</v>
      </c>
      <c r="B597" t="s">
        <v>2163</v>
      </c>
      <c r="C597" t="s">
        <v>2164</v>
      </c>
      <c r="D597" t="s">
        <v>2165</v>
      </c>
      <c r="E597" t="s">
        <v>14</v>
      </c>
      <c r="F597" t="s">
        <v>15</v>
      </c>
      <c r="G597">
        <v>28202</v>
      </c>
      <c r="H597" t="s">
        <v>26</v>
      </c>
      <c r="I597">
        <v>392</v>
      </c>
      <c r="J597">
        <v>1</v>
      </c>
      <c r="K597" t="s">
        <v>8935</v>
      </c>
    </row>
    <row r="598" spans="1:11" x14ac:dyDescent="0.25">
      <c r="A598" t="s">
        <v>2166</v>
      </c>
      <c r="B598" t="s">
        <v>2167</v>
      </c>
      <c r="C598" t="s">
        <v>2168</v>
      </c>
      <c r="D598" t="s">
        <v>1209</v>
      </c>
      <c r="E598" t="s">
        <v>14</v>
      </c>
      <c r="F598" t="s">
        <v>15</v>
      </c>
      <c r="G598">
        <v>28204</v>
      </c>
      <c r="H598" t="s">
        <v>26</v>
      </c>
      <c r="I598">
        <v>9</v>
      </c>
      <c r="J598">
        <v>0</v>
      </c>
      <c r="K598" t="s">
        <v>8935</v>
      </c>
    </row>
    <row r="599" spans="1:11" x14ac:dyDescent="0.25">
      <c r="A599" t="s">
        <v>2169</v>
      </c>
      <c r="B599" t="s">
        <v>359</v>
      </c>
      <c r="C599" t="s">
        <v>2170</v>
      </c>
      <c r="D599" t="s">
        <v>2171</v>
      </c>
      <c r="E599" t="s">
        <v>14</v>
      </c>
      <c r="F599" t="s">
        <v>15</v>
      </c>
      <c r="G599">
        <v>28207</v>
      </c>
      <c r="H599" t="s">
        <v>26</v>
      </c>
      <c r="I599">
        <v>27</v>
      </c>
      <c r="J599">
        <v>0</v>
      </c>
      <c r="K599" t="s">
        <v>8935</v>
      </c>
    </row>
    <row r="600" spans="1:11" x14ac:dyDescent="0.25">
      <c r="A600" t="s">
        <v>2172</v>
      </c>
      <c r="B600" t="s">
        <v>1921</v>
      </c>
      <c r="C600" t="s">
        <v>1922</v>
      </c>
      <c r="D600" t="s">
        <v>2173</v>
      </c>
      <c r="E600" t="s">
        <v>14</v>
      </c>
      <c r="F600" t="s">
        <v>15</v>
      </c>
      <c r="G600">
        <v>28211</v>
      </c>
      <c r="H600" t="s">
        <v>16</v>
      </c>
      <c r="I600">
        <v>155</v>
      </c>
      <c r="J600">
        <v>1</v>
      </c>
      <c r="K600" t="s">
        <v>8935</v>
      </c>
    </row>
    <row r="601" spans="1:11" x14ac:dyDescent="0.25">
      <c r="A601" t="s">
        <v>2174</v>
      </c>
      <c r="B601" t="s">
        <v>2175</v>
      </c>
      <c r="C601" t="s">
        <v>2176</v>
      </c>
      <c r="D601" t="s">
        <v>2177</v>
      </c>
      <c r="E601" t="s">
        <v>14</v>
      </c>
      <c r="F601" t="s">
        <v>15</v>
      </c>
      <c r="G601">
        <v>28202</v>
      </c>
      <c r="H601" t="s">
        <v>39</v>
      </c>
      <c r="I601">
        <v>3</v>
      </c>
      <c r="J601">
        <v>0</v>
      </c>
      <c r="K601" t="s">
        <v>8921</v>
      </c>
    </row>
    <row r="602" spans="1:11" x14ac:dyDescent="0.25">
      <c r="A602" t="s">
        <v>2178</v>
      </c>
      <c r="B602" t="s">
        <v>2179</v>
      </c>
      <c r="C602" t="s">
        <v>2180</v>
      </c>
      <c r="D602" t="s">
        <v>2181</v>
      </c>
      <c r="E602" t="s">
        <v>14</v>
      </c>
      <c r="F602" t="s">
        <v>15</v>
      </c>
      <c r="G602">
        <v>28269</v>
      </c>
      <c r="H602" t="s">
        <v>26</v>
      </c>
      <c r="I602">
        <v>10</v>
      </c>
      <c r="J602">
        <v>0</v>
      </c>
      <c r="K602" t="s">
        <v>8935</v>
      </c>
    </row>
    <row r="603" spans="1:11" x14ac:dyDescent="0.25">
      <c r="A603" t="s">
        <v>2182</v>
      </c>
      <c r="B603" t="s">
        <v>2183</v>
      </c>
      <c r="C603" t="s">
        <v>2184</v>
      </c>
      <c r="D603" t="s">
        <v>2185</v>
      </c>
      <c r="E603" t="s">
        <v>14</v>
      </c>
      <c r="F603" t="s">
        <v>15</v>
      </c>
      <c r="G603">
        <v>28277</v>
      </c>
      <c r="H603" t="s">
        <v>21</v>
      </c>
      <c r="I603">
        <v>378</v>
      </c>
      <c r="J603">
        <v>1</v>
      </c>
      <c r="K603" t="s">
        <v>8935</v>
      </c>
    </row>
    <row r="604" spans="1:11" x14ac:dyDescent="0.25">
      <c r="A604" t="s">
        <v>2186</v>
      </c>
      <c r="B604" t="s">
        <v>2187</v>
      </c>
      <c r="C604" t="s">
        <v>2188</v>
      </c>
      <c r="D604" t="s">
        <v>2189</v>
      </c>
      <c r="E604" t="s">
        <v>14</v>
      </c>
      <c r="F604" t="s">
        <v>15</v>
      </c>
      <c r="G604">
        <v>28078</v>
      </c>
      <c r="H604" t="s">
        <v>16</v>
      </c>
      <c r="I604">
        <v>41</v>
      </c>
      <c r="J604">
        <v>0</v>
      </c>
      <c r="K604" t="s">
        <v>8935</v>
      </c>
    </row>
    <row r="605" spans="1:11" x14ac:dyDescent="0.25">
      <c r="A605" t="s">
        <v>2190</v>
      </c>
      <c r="B605" t="s">
        <v>2191</v>
      </c>
      <c r="C605" t="s">
        <v>1135</v>
      </c>
      <c r="D605" t="s">
        <v>2192</v>
      </c>
      <c r="E605" t="s">
        <v>14</v>
      </c>
      <c r="F605" t="s">
        <v>15</v>
      </c>
      <c r="G605">
        <v>28207</v>
      </c>
      <c r="H605" t="s">
        <v>26</v>
      </c>
      <c r="I605">
        <v>38</v>
      </c>
      <c r="J605">
        <v>1</v>
      </c>
      <c r="K605" t="s">
        <v>8935</v>
      </c>
    </row>
    <row r="606" spans="1:11" x14ac:dyDescent="0.25">
      <c r="A606" t="s">
        <v>2193</v>
      </c>
      <c r="B606" t="s">
        <v>2194</v>
      </c>
      <c r="C606" t="s">
        <v>2195</v>
      </c>
      <c r="D606" t="s">
        <v>2196</v>
      </c>
      <c r="E606" t="s">
        <v>14</v>
      </c>
      <c r="F606" t="s">
        <v>15</v>
      </c>
      <c r="G606">
        <v>28203</v>
      </c>
      <c r="H606" t="s">
        <v>16</v>
      </c>
      <c r="I606">
        <v>830</v>
      </c>
      <c r="J606">
        <v>1</v>
      </c>
      <c r="K606" t="s">
        <v>8936</v>
      </c>
    </row>
    <row r="607" spans="1:11" x14ac:dyDescent="0.25">
      <c r="A607" t="s">
        <v>2197</v>
      </c>
      <c r="B607" t="s">
        <v>2198</v>
      </c>
      <c r="C607" t="s">
        <v>2199</v>
      </c>
      <c r="E607" t="s">
        <v>14</v>
      </c>
      <c r="F607" t="s">
        <v>15</v>
      </c>
      <c r="G607">
        <v>28134</v>
      </c>
      <c r="H607" t="s">
        <v>39</v>
      </c>
      <c r="I607">
        <v>7</v>
      </c>
      <c r="J607">
        <v>0</v>
      </c>
      <c r="K607" t="s">
        <v>8935</v>
      </c>
    </row>
    <row r="608" spans="1:11" x14ac:dyDescent="0.25">
      <c r="A608" t="s">
        <v>2200</v>
      </c>
      <c r="B608" t="s">
        <v>2201</v>
      </c>
      <c r="C608" t="s">
        <v>2202</v>
      </c>
      <c r="D608" t="s">
        <v>2203</v>
      </c>
      <c r="E608" t="s">
        <v>14</v>
      </c>
      <c r="F608" t="s">
        <v>15</v>
      </c>
      <c r="G608">
        <v>28204</v>
      </c>
      <c r="H608" t="s">
        <v>16</v>
      </c>
      <c r="I608">
        <v>5</v>
      </c>
      <c r="J608">
        <v>1</v>
      </c>
      <c r="K608" t="s">
        <v>8935</v>
      </c>
    </row>
    <row r="609" spans="1:11" x14ac:dyDescent="0.25">
      <c r="A609" t="s">
        <v>2204</v>
      </c>
      <c r="B609" t="s">
        <v>2205</v>
      </c>
      <c r="C609" t="s">
        <v>2206</v>
      </c>
      <c r="D609" t="s">
        <v>2207</v>
      </c>
      <c r="E609" t="s">
        <v>14</v>
      </c>
      <c r="F609" t="s">
        <v>15</v>
      </c>
      <c r="G609">
        <v>28216</v>
      </c>
      <c r="H609" t="s">
        <v>146</v>
      </c>
      <c r="I609">
        <v>8</v>
      </c>
      <c r="J609">
        <v>1</v>
      </c>
      <c r="K609" t="s">
        <v>8925</v>
      </c>
    </row>
    <row r="610" spans="1:11" x14ac:dyDescent="0.25">
      <c r="A610" t="s">
        <v>2208</v>
      </c>
      <c r="B610" t="s">
        <v>2209</v>
      </c>
      <c r="C610" t="s">
        <v>2210</v>
      </c>
      <c r="D610" t="s">
        <v>2211</v>
      </c>
      <c r="E610" t="s">
        <v>14</v>
      </c>
      <c r="F610" t="s">
        <v>15</v>
      </c>
      <c r="G610">
        <v>28212</v>
      </c>
      <c r="H610" t="s">
        <v>48</v>
      </c>
      <c r="I610">
        <v>3</v>
      </c>
      <c r="J610">
        <v>0</v>
      </c>
      <c r="K610" t="s">
        <v>8926</v>
      </c>
    </row>
    <row r="611" spans="1:11" x14ac:dyDescent="0.25">
      <c r="A611" t="s">
        <v>2212</v>
      </c>
      <c r="B611" t="s">
        <v>2213</v>
      </c>
      <c r="C611" t="s">
        <v>2214</v>
      </c>
      <c r="D611" t="s">
        <v>2215</v>
      </c>
      <c r="E611" t="s">
        <v>14</v>
      </c>
      <c r="F611" t="s">
        <v>15</v>
      </c>
      <c r="G611">
        <v>28217</v>
      </c>
      <c r="H611" t="s">
        <v>21</v>
      </c>
      <c r="I611">
        <v>12</v>
      </c>
      <c r="J611">
        <v>0</v>
      </c>
      <c r="K611" t="s">
        <v>8935</v>
      </c>
    </row>
    <row r="612" spans="1:11" x14ac:dyDescent="0.25">
      <c r="A612" t="s">
        <v>2216</v>
      </c>
      <c r="B612" t="s">
        <v>2217</v>
      </c>
      <c r="C612" t="s">
        <v>2218</v>
      </c>
      <c r="D612" t="s">
        <v>2219</v>
      </c>
      <c r="E612" t="s">
        <v>14</v>
      </c>
      <c r="F612" t="s">
        <v>15</v>
      </c>
      <c r="G612">
        <v>28204</v>
      </c>
      <c r="H612" t="s">
        <v>16</v>
      </c>
      <c r="I612">
        <v>11</v>
      </c>
      <c r="J612">
        <v>1</v>
      </c>
      <c r="K612" t="s">
        <v>8931</v>
      </c>
    </row>
    <row r="613" spans="1:11" x14ac:dyDescent="0.25">
      <c r="A613" t="s">
        <v>2220</v>
      </c>
      <c r="B613" t="s">
        <v>2221</v>
      </c>
      <c r="C613" t="s">
        <v>2222</v>
      </c>
      <c r="D613" t="s">
        <v>2223</v>
      </c>
      <c r="E613" t="s">
        <v>14</v>
      </c>
      <c r="F613" t="s">
        <v>15</v>
      </c>
      <c r="G613">
        <v>28273</v>
      </c>
      <c r="H613" t="s">
        <v>21</v>
      </c>
      <c r="I613">
        <v>30</v>
      </c>
      <c r="J613">
        <v>0</v>
      </c>
      <c r="K613" t="s">
        <v>8922</v>
      </c>
    </row>
    <row r="614" spans="1:11" x14ac:dyDescent="0.25">
      <c r="A614" t="s">
        <v>2224</v>
      </c>
      <c r="B614" t="s">
        <v>316</v>
      </c>
      <c r="C614" t="s">
        <v>1276</v>
      </c>
      <c r="D614" t="s">
        <v>2225</v>
      </c>
      <c r="E614" t="s">
        <v>14</v>
      </c>
      <c r="F614" t="s">
        <v>15</v>
      </c>
      <c r="G614">
        <v>28208</v>
      </c>
      <c r="H614" t="s">
        <v>48</v>
      </c>
      <c r="I614">
        <v>4</v>
      </c>
      <c r="J614">
        <v>1</v>
      </c>
      <c r="K614" t="s">
        <v>8935</v>
      </c>
    </row>
    <row r="615" spans="1:11" x14ac:dyDescent="0.25">
      <c r="A615" t="s">
        <v>2226</v>
      </c>
      <c r="B615" t="s">
        <v>2227</v>
      </c>
      <c r="C615" t="s">
        <v>321</v>
      </c>
      <c r="D615" t="s">
        <v>2228</v>
      </c>
      <c r="E615" t="s">
        <v>14</v>
      </c>
      <c r="F615" t="s">
        <v>15</v>
      </c>
      <c r="G615">
        <v>28277</v>
      </c>
      <c r="H615" t="s">
        <v>48</v>
      </c>
      <c r="I615">
        <v>3</v>
      </c>
      <c r="J615">
        <v>1</v>
      </c>
      <c r="K615" t="s">
        <v>8935</v>
      </c>
    </row>
    <row r="616" spans="1:11" x14ac:dyDescent="0.25">
      <c r="A616" t="s">
        <v>2229</v>
      </c>
      <c r="B616" t="s">
        <v>2230</v>
      </c>
      <c r="C616" t="s">
        <v>1608</v>
      </c>
      <c r="D616" t="s">
        <v>2231</v>
      </c>
      <c r="E616" t="s">
        <v>14</v>
      </c>
      <c r="F616" t="s">
        <v>15</v>
      </c>
      <c r="G616">
        <v>28205</v>
      </c>
      <c r="H616" t="s">
        <v>265</v>
      </c>
      <c r="I616">
        <v>18</v>
      </c>
      <c r="J616">
        <v>1</v>
      </c>
      <c r="K616" t="s">
        <v>8921</v>
      </c>
    </row>
    <row r="617" spans="1:11" x14ac:dyDescent="0.25">
      <c r="A617" t="s">
        <v>2232</v>
      </c>
      <c r="B617" t="s">
        <v>2233</v>
      </c>
      <c r="C617" t="s">
        <v>2234</v>
      </c>
      <c r="D617" t="s">
        <v>2235</v>
      </c>
      <c r="E617" t="s">
        <v>14</v>
      </c>
      <c r="F617" t="s">
        <v>15</v>
      </c>
      <c r="G617">
        <v>28217</v>
      </c>
      <c r="H617" t="s">
        <v>21</v>
      </c>
      <c r="I617">
        <v>21</v>
      </c>
      <c r="J617">
        <v>1</v>
      </c>
      <c r="K617" t="s">
        <v>8935</v>
      </c>
    </row>
    <row r="618" spans="1:11" x14ac:dyDescent="0.25">
      <c r="A618" t="s">
        <v>2236</v>
      </c>
      <c r="B618" t="s">
        <v>2237</v>
      </c>
      <c r="C618" t="s">
        <v>2238</v>
      </c>
      <c r="D618" t="s">
        <v>2239</v>
      </c>
      <c r="E618" t="s">
        <v>14</v>
      </c>
      <c r="F618" t="s">
        <v>15</v>
      </c>
      <c r="G618">
        <v>28273</v>
      </c>
      <c r="H618" t="s">
        <v>16</v>
      </c>
      <c r="I618">
        <v>69</v>
      </c>
      <c r="J618">
        <v>0</v>
      </c>
      <c r="K618" t="s">
        <v>8935</v>
      </c>
    </row>
    <row r="619" spans="1:11" x14ac:dyDescent="0.25">
      <c r="A619" t="s">
        <v>2240</v>
      </c>
      <c r="B619" t="s">
        <v>2241</v>
      </c>
      <c r="C619" t="s">
        <v>2242</v>
      </c>
      <c r="D619" t="s">
        <v>2243</v>
      </c>
      <c r="E619" t="s">
        <v>14</v>
      </c>
      <c r="F619" t="s">
        <v>15</v>
      </c>
      <c r="G619">
        <v>28202</v>
      </c>
      <c r="H619" t="s">
        <v>26</v>
      </c>
      <c r="I619">
        <v>75</v>
      </c>
      <c r="J619">
        <v>1</v>
      </c>
      <c r="K619" t="s">
        <v>8935</v>
      </c>
    </row>
    <row r="620" spans="1:11" x14ac:dyDescent="0.25">
      <c r="A620" t="s">
        <v>2244</v>
      </c>
      <c r="B620" t="s">
        <v>312</v>
      </c>
      <c r="C620" t="s">
        <v>2245</v>
      </c>
      <c r="D620" t="s">
        <v>2246</v>
      </c>
      <c r="E620" t="s">
        <v>14</v>
      </c>
      <c r="F620" t="s">
        <v>15</v>
      </c>
      <c r="G620">
        <v>28270</v>
      </c>
      <c r="H620" t="s">
        <v>21</v>
      </c>
      <c r="I620">
        <v>11</v>
      </c>
      <c r="J620">
        <v>0</v>
      </c>
      <c r="K620" t="s">
        <v>8925</v>
      </c>
    </row>
    <row r="621" spans="1:11" x14ac:dyDescent="0.25">
      <c r="A621" t="s">
        <v>2247</v>
      </c>
      <c r="B621" t="s">
        <v>2248</v>
      </c>
      <c r="C621" t="s">
        <v>2249</v>
      </c>
      <c r="D621" t="s">
        <v>2250</v>
      </c>
      <c r="E621" t="s">
        <v>14</v>
      </c>
      <c r="F621" t="s">
        <v>15</v>
      </c>
      <c r="G621">
        <v>28213</v>
      </c>
      <c r="H621" t="s">
        <v>48</v>
      </c>
      <c r="I621">
        <v>3</v>
      </c>
      <c r="J621">
        <v>1</v>
      </c>
      <c r="K621" t="s">
        <v>8935</v>
      </c>
    </row>
    <row r="622" spans="1:11" x14ac:dyDescent="0.25">
      <c r="A622" t="s">
        <v>2251</v>
      </c>
      <c r="B622" t="s">
        <v>2252</v>
      </c>
      <c r="C622" t="s">
        <v>2253</v>
      </c>
      <c r="D622" t="s">
        <v>2254</v>
      </c>
      <c r="E622" t="s">
        <v>14</v>
      </c>
      <c r="F622" t="s">
        <v>15</v>
      </c>
      <c r="G622">
        <v>28277</v>
      </c>
      <c r="H622" t="s">
        <v>39</v>
      </c>
      <c r="I622">
        <v>38</v>
      </c>
      <c r="J622">
        <v>1</v>
      </c>
      <c r="K622" t="s">
        <v>8920</v>
      </c>
    </row>
    <row r="623" spans="1:11" x14ac:dyDescent="0.25">
      <c r="A623" t="s">
        <v>2255</v>
      </c>
      <c r="B623" t="s">
        <v>2256</v>
      </c>
      <c r="C623" t="s">
        <v>2257</v>
      </c>
      <c r="D623" t="s">
        <v>2258</v>
      </c>
      <c r="E623" t="s">
        <v>14</v>
      </c>
      <c r="F623" t="s">
        <v>15</v>
      </c>
      <c r="G623">
        <v>28277</v>
      </c>
      <c r="H623" t="s">
        <v>21</v>
      </c>
      <c r="I623">
        <v>45</v>
      </c>
      <c r="J623">
        <v>1</v>
      </c>
      <c r="K623" t="s">
        <v>8935</v>
      </c>
    </row>
    <row r="624" spans="1:11" x14ac:dyDescent="0.25">
      <c r="A624" t="s">
        <v>2259</v>
      </c>
      <c r="B624" t="s">
        <v>2260</v>
      </c>
      <c r="C624" t="s">
        <v>2261</v>
      </c>
      <c r="D624" t="s">
        <v>2262</v>
      </c>
      <c r="E624" t="s">
        <v>14</v>
      </c>
      <c r="F624" t="s">
        <v>15</v>
      </c>
      <c r="G624">
        <v>28202</v>
      </c>
      <c r="H624" t="s">
        <v>16</v>
      </c>
      <c r="I624">
        <v>90</v>
      </c>
      <c r="J624">
        <v>1</v>
      </c>
      <c r="K624" t="s">
        <v>8935</v>
      </c>
    </row>
    <row r="625" spans="1:11" x14ac:dyDescent="0.25">
      <c r="A625" t="e">
        <f>--cZ6Hhc9F7VkKXxHMVZSQ</f>
        <v>#NAME?</v>
      </c>
      <c r="B625" t="s">
        <v>2263</v>
      </c>
      <c r="C625" t="s">
        <v>2264</v>
      </c>
      <c r="D625" t="s">
        <v>2265</v>
      </c>
      <c r="E625" t="s">
        <v>14</v>
      </c>
      <c r="F625" t="s">
        <v>15</v>
      </c>
      <c r="G625">
        <v>28203</v>
      </c>
      <c r="H625" t="s">
        <v>16</v>
      </c>
      <c r="I625">
        <v>346</v>
      </c>
      <c r="J625">
        <v>1</v>
      </c>
      <c r="K625" t="s">
        <v>8931</v>
      </c>
    </row>
    <row r="626" spans="1:11" x14ac:dyDescent="0.25">
      <c r="A626" t="s">
        <v>2266</v>
      </c>
      <c r="B626" t="s">
        <v>2267</v>
      </c>
      <c r="C626" t="s">
        <v>2268</v>
      </c>
      <c r="D626" t="s">
        <v>2269</v>
      </c>
      <c r="E626" t="s">
        <v>14</v>
      </c>
      <c r="F626" t="s">
        <v>15</v>
      </c>
      <c r="G626">
        <v>28217</v>
      </c>
      <c r="H626" t="s">
        <v>21</v>
      </c>
      <c r="I626">
        <v>93</v>
      </c>
      <c r="J626">
        <v>1</v>
      </c>
      <c r="K626" t="s">
        <v>8935</v>
      </c>
    </row>
    <row r="627" spans="1:11" x14ac:dyDescent="0.25">
      <c r="A627" t="s">
        <v>2270</v>
      </c>
      <c r="B627" t="s">
        <v>2271</v>
      </c>
      <c r="C627" t="s">
        <v>2272</v>
      </c>
      <c r="D627" t="s">
        <v>2273</v>
      </c>
      <c r="E627" t="s">
        <v>14</v>
      </c>
      <c r="F627" t="s">
        <v>15</v>
      </c>
      <c r="G627">
        <v>28270</v>
      </c>
      <c r="H627" t="s">
        <v>39</v>
      </c>
      <c r="I627">
        <v>29</v>
      </c>
      <c r="J627">
        <v>0</v>
      </c>
      <c r="K627" t="s">
        <v>8935</v>
      </c>
    </row>
    <row r="628" spans="1:11" x14ac:dyDescent="0.25">
      <c r="A628" t="s">
        <v>2274</v>
      </c>
      <c r="B628" t="s">
        <v>1053</v>
      </c>
      <c r="C628" t="s">
        <v>2275</v>
      </c>
      <c r="D628" t="s">
        <v>2276</v>
      </c>
      <c r="E628" t="s">
        <v>14</v>
      </c>
      <c r="F628" t="s">
        <v>15</v>
      </c>
      <c r="G628">
        <v>28208</v>
      </c>
      <c r="H628" t="s">
        <v>39</v>
      </c>
      <c r="I628">
        <v>16</v>
      </c>
      <c r="J628">
        <v>1</v>
      </c>
      <c r="K628" t="s">
        <v>8929</v>
      </c>
    </row>
    <row r="629" spans="1:11" x14ac:dyDescent="0.25">
      <c r="A629" t="s">
        <v>2277</v>
      </c>
      <c r="B629" t="s">
        <v>2278</v>
      </c>
      <c r="C629" t="s">
        <v>2279</v>
      </c>
      <c r="D629" t="s">
        <v>2280</v>
      </c>
      <c r="E629" t="s">
        <v>14</v>
      </c>
      <c r="F629" t="s">
        <v>15</v>
      </c>
      <c r="G629">
        <v>28262</v>
      </c>
      <c r="H629" t="s">
        <v>16</v>
      </c>
      <c r="I629">
        <v>199</v>
      </c>
      <c r="J629">
        <v>1</v>
      </c>
      <c r="K629" t="s">
        <v>8935</v>
      </c>
    </row>
    <row r="630" spans="1:11" x14ac:dyDescent="0.25">
      <c r="A630" t="s">
        <v>2281</v>
      </c>
      <c r="B630" t="s">
        <v>414</v>
      </c>
      <c r="C630" t="s">
        <v>415</v>
      </c>
      <c r="D630" t="s">
        <v>2282</v>
      </c>
      <c r="E630" t="s">
        <v>14</v>
      </c>
      <c r="F630" t="s">
        <v>15</v>
      </c>
      <c r="G630">
        <v>28273</v>
      </c>
      <c r="H630" t="s">
        <v>16</v>
      </c>
      <c r="I630">
        <v>25</v>
      </c>
      <c r="J630">
        <v>1</v>
      </c>
      <c r="K630" t="s">
        <v>8935</v>
      </c>
    </row>
    <row r="631" spans="1:11" x14ac:dyDescent="0.25">
      <c r="A631" t="s">
        <v>2283</v>
      </c>
      <c r="B631" t="s">
        <v>2284</v>
      </c>
      <c r="C631" t="s">
        <v>2285</v>
      </c>
      <c r="D631" t="s">
        <v>2286</v>
      </c>
      <c r="E631" t="s">
        <v>14</v>
      </c>
      <c r="F631" t="s">
        <v>15</v>
      </c>
      <c r="G631">
        <v>28212</v>
      </c>
      <c r="H631" t="s">
        <v>16</v>
      </c>
      <c r="I631">
        <v>24</v>
      </c>
      <c r="J631">
        <v>1</v>
      </c>
      <c r="K631" t="s">
        <v>8925</v>
      </c>
    </row>
    <row r="632" spans="1:11" x14ac:dyDescent="0.25">
      <c r="A632" t="s">
        <v>2287</v>
      </c>
      <c r="B632" t="s">
        <v>2288</v>
      </c>
      <c r="C632" t="s">
        <v>2289</v>
      </c>
      <c r="D632" t="s">
        <v>2290</v>
      </c>
      <c r="E632" t="s">
        <v>14</v>
      </c>
      <c r="F632" t="s">
        <v>15</v>
      </c>
      <c r="G632">
        <v>28205</v>
      </c>
      <c r="H632" t="s">
        <v>39</v>
      </c>
      <c r="I632">
        <v>140</v>
      </c>
      <c r="J632">
        <v>1</v>
      </c>
      <c r="K632" t="s">
        <v>8935</v>
      </c>
    </row>
    <row r="633" spans="1:11" x14ac:dyDescent="0.25">
      <c r="A633" t="s">
        <v>2291</v>
      </c>
      <c r="B633" t="s">
        <v>2292</v>
      </c>
      <c r="C633" t="s">
        <v>2293</v>
      </c>
      <c r="D633" t="s">
        <v>2294</v>
      </c>
      <c r="E633" t="s">
        <v>14</v>
      </c>
      <c r="F633" t="s">
        <v>15</v>
      </c>
      <c r="G633">
        <v>28205</v>
      </c>
      <c r="H633" t="s">
        <v>146</v>
      </c>
      <c r="I633">
        <v>4</v>
      </c>
      <c r="J633">
        <v>1</v>
      </c>
      <c r="K633" t="s">
        <v>8931</v>
      </c>
    </row>
    <row r="634" spans="1:11" x14ac:dyDescent="0.25">
      <c r="A634" t="s">
        <v>2295</v>
      </c>
      <c r="B634" t="s">
        <v>2296</v>
      </c>
      <c r="C634" t="s">
        <v>1048</v>
      </c>
      <c r="D634" t="s">
        <v>2297</v>
      </c>
      <c r="E634" t="s">
        <v>14</v>
      </c>
      <c r="F634" t="s">
        <v>15</v>
      </c>
      <c r="G634">
        <v>28209</v>
      </c>
      <c r="H634" t="s">
        <v>16</v>
      </c>
      <c r="I634">
        <v>333</v>
      </c>
      <c r="J634">
        <v>1</v>
      </c>
      <c r="K634" t="s">
        <v>8936</v>
      </c>
    </row>
    <row r="635" spans="1:11" x14ac:dyDescent="0.25">
      <c r="A635" t="s">
        <v>2298</v>
      </c>
      <c r="B635" t="s">
        <v>2299</v>
      </c>
      <c r="C635" t="s">
        <v>59</v>
      </c>
      <c r="D635" t="s">
        <v>2300</v>
      </c>
      <c r="E635" t="s">
        <v>14</v>
      </c>
      <c r="F635" t="s">
        <v>15</v>
      </c>
      <c r="G635">
        <v>28214</v>
      </c>
      <c r="H635" t="s">
        <v>101</v>
      </c>
      <c r="I635">
        <v>6</v>
      </c>
      <c r="J635">
        <v>1</v>
      </c>
      <c r="K635" t="s">
        <v>8935</v>
      </c>
    </row>
    <row r="636" spans="1:11" x14ac:dyDescent="0.25">
      <c r="A636" t="s">
        <v>2301</v>
      </c>
      <c r="B636" t="s">
        <v>2302</v>
      </c>
      <c r="C636" t="s">
        <v>2303</v>
      </c>
      <c r="D636" t="s">
        <v>2304</v>
      </c>
      <c r="E636" t="s">
        <v>14</v>
      </c>
      <c r="F636" t="s">
        <v>15</v>
      </c>
      <c r="G636">
        <v>28205</v>
      </c>
      <c r="H636" t="s">
        <v>21</v>
      </c>
      <c r="I636">
        <v>226</v>
      </c>
      <c r="J636">
        <v>0</v>
      </c>
      <c r="K636" t="s">
        <v>8921</v>
      </c>
    </row>
    <row r="637" spans="1:11" x14ac:dyDescent="0.25">
      <c r="A637" t="s">
        <v>2305</v>
      </c>
      <c r="B637" t="s">
        <v>2306</v>
      </c>
      <c r="C637" t="s">
        <v>2307</v>
      </c>
      <c r="D637" t="s">
        <v>2308</v>
      </c>
      <c r="E637" t="s">
        <v>14</v>
      </c>
      <c r="F637" t="s">
        <v>15</v>
      </c>
      <c r="G637">
        <v>28205</v>
      </c>
      <c r="H637" t="s">
        <v>26</v>
      </c>
      <c r="I637">
        <v>7</v>
      </c>
      <c r="J637">
        <v>1</v>
      </c>
      <c r="K637" t="s">
        <v>8922</v>
      </c>
    </row>
    <row r="638" spans="1:11" x14ac:dyDescent="0.25">
      <c r="A638" t="s">
        <v>2309</v>
      </c>
      <c r="B638" t="s">
        <v>1543</v>
      </c>
      <c r="C638" t="s">
        <v>2310</v>
      </c>
      <c r="D638" t="s">
        <v>34</v>
      </c>
      <c r="E638" t="s">
        <v>14</v>
      </c>
      <c r="F638" t="s">
        <v>15</v>
      </c>
      <c r="G638">
        <v>28288</v>
      </c>
      <c r="H638" t="s">
        <v>26</v>
      </c>
      <c r="I638">
        <v>10</v>
      </c>
      <c r="J638">
        <v>0</v>
      </c>
      <c r="K638" t="s">
        <v>8930</v>
      </c>
    </row>
    <row r="639" spans="1:11" x14ac:dyDescent="0.25">
      <c r="A639" t="s">
        <v>2311</v>
      </c>
      <c r="B639" t="s">
        <v>2312</v>
      </c>
      <c r="C639" t="s">
        <v>2313</v>
      </c>
      <c r="D639" t="s">
        <v>2314</v>
      </c>
      <c r="E639" t="s">
        <v>14</v>
      </c>
      <c r="F639" t="s">
        <v>15</v>
      </c>
      <c r="G639">
        <v>28210</v>
      </c>
      <c r="H639" t="s">
        <v>39</v>
      </c>
      <c r="I639">
        <v>53</v>
      </c>
      <c r="J639">
        <v>1</v>
      </c>
      <c r="K639" t="s">
        <v>8935</v>
      </c>
    </row>
    <row r="640" spans="1:11" x14ac:dyDescent="0.25">
      <c r="A640" t="s">
        <v>2315</v>
      </c>
      <c r="B640" t="s">
        <v>2316</v>
      </c>
      <c r="C640" t="s">
        <v>2317</v>
      </c>
      <c r="D640" t="s">
        <v>2318</v>
      </c>
      <c r="E640" t="s">
        <v>14</v>
      </c>
      <c r="F640" t="s">
        <v>15</v>
      </c>
      <c r="G640">
        <v>28277</v>
      </c>
      <c r="H640" t="s">
        <v>48</v>
      </c>
      <c r="I640">
        <v>3</v>
      </c>
      <c r="J640">
        <v>0</v>
      </c>
      <c r="K640" t="s">
        <v>8935</v>
      </c>
    </row>
    <row r="641" spans="1:11" x14ac:dyDescent="0.25">
      <c r="A641" t="s">
        <v>2319</v>
      </c>
      <c r="B641" t="s">
        <v>2320</v>
      </c>
      <c r="C641" t="s">
        <v>2321</v>
      </c>
      <c r="D641" t="s">
        <v>1523</v>
      </c>
      <c r="E641" t="s">
        <v>14</v>
      </c>
      <c r="F641" t="s">
        <v>15</v>
      </c>
      <c r="G641">
        <v>28211</v>
      </c>
      <c r="H641" t="s">
        <v>21</v>
      </c>
      <c r="I641">
        <v>335</v>
      </c>
      <c r="J641">
        <v>1</v>
      </c>
      <c r="K641" t="s">
        <v>8921</v>
      </c>
    </row>
    <row r="642" spans="1:11" x14ac:dyDescent="0.25">
      <c r="A642" t="s">
        <v>2322</v>
      </c>
      <c r="B642" t="s">
        <v>2323</v>
      </c>
      <c r="C642" t="s">
        <v>2324</v>
      </c>
      <c r="D642" t="s">
        <v>2325</v>
      </c>
      <c r="E642" t="s">
        <v>14</v>
      </c>
      <c r="F642" t="s">
        <v>15</v>
      </c>
      <c r="G642">
        <v>28205</v>
      </c>
      <c r="H642" t="s">
        <v>146</v>
      </c>
      <c r="I642">
        <v>93</v>
      </c>
      <c r="J642">
        <v>1</v>
      </c>
      <c r="K642" t="s">
        <v>8935</v>
      </c>
    </row>
    <row r="643" spans="1:11" x14ac:dyDescent="0.25">
      <c r="A643" t="s">
        <v>2326</v>
      </c>
      <c r="B643" t="s">
        <v>1909</v>
      </c>
      <c r="C643" t="s">
        <v>2327</v>
      </c>
      <c r="D643" t="s">
        <v>2328</v>
      </c>
      <c r="E643" t="s">
        <v>14</v>
      </c>
      <c r="F643" t="s">
        <v>15</v>
      </c>
      <c r="G643">
        <v>28211</v>
      </c>
      <c r="H643" t="s">
        <v>26</v>
      </c>
      <c r="I643">
        <v>25</v>
      </c>
      <c r="J643">
        <v>0</v>
      </c>
      <c r="K643" t="s">
        <v>8921</v>
      </c>
    </row>
    <row r="644" spans="1:11" x14ac:dyDescent="0.25">
      <c r="A644" t="s">
        <v>2329</v>
      </c>
      <c r="B644" t="s">
        <v>2330</v>
      </c>
      <c r="C644" t="s">
        <v>2331</v>
      </c>
      <c r="E644" t="s">
        <v>14</v>
      </c>
      <c r="F644" t="s">
        <v>15</v>
      </c>
      <c r="G644">
        <v>28262</v>
      </c>
      <c r="H644" t="s">
        <v>21</v>
      </c>
      <c r="I644">
        <v>3</v>
      </c>
      <c r="J644">
        <v>1</v>
      </c>
      <c r="K644" t="s">
        <v>8935</v>
      </c>
    </row>
    <row r="645" spans="1:11" x14ac:dyDescent="0.25">
      <c r="A645" t="s">
        <v>2332</v>
      </c>
      <c r="B645" t="s">
        <v>2333</v>
      </c>
      <c r="C645" t="s">
        <v>2334</v>
      </c>
      <c r="D645" t="s">
        <v>2335</v>
      </c>
      <c r="E645" t="s">
        <v>14</v>
      </c>
      <c r="F645" t="s">
        <v>15</v>
      </c>
      <c r="G645">
        <v>28207</v>
      </c>
      <c r="H645" t="s">
        <v>21</v>
      </c>
      <c r="I645">
        <v>326</v>
      </c>
      <c r="J645">
        <v>1</v>
      </c>
      <c r="K645" t="s">
        <v>8925</v>
      </c>
    </row>
    <row r="646" spans="1:11" x14ac:dyDescent="0.25">
      <c r="A646" t="s">
        <v>2336</v>
      </c>
      <c r="B646" t="s">
        <v>2337</v>
      </c>
      <c r="C646" t="s">
        <v>2338</v>
      </c>
      <c r="D646" t="s">
        <v>2339</v>
      </c>
      <c r="E646" t="s">
        <v>14</v>
      </c>
      <c r="F646" t="s">
        <v>15</v>
      </c>
      <c r="G646">
        <v>28217</v>
      </c>
      <c r="H646" t="s">
        <v>16</v>
      </c>
      <c r="I646">
        <v>215</v>
      </c>
      <c r="J646">
        <v>1</v>
      </c>
      <c r="K646" t="s">
        <v>8927</v>
      </c>
    </row>
    <row r="647" spans="1:11" x14ac:dyDescent="0.25">
      <c r="A647" t="s">
        <v>2340</v>
      </c>
      <c r="B647" t="s">
        <v>2341</v>
      </c>
      <c r="C647" t="s">
        <v>2342</v>
      </c>
      <c r="E647" t="s">
        <v>14</v>
      </c>
      <c r="F647" t="s">
        <v>15</v>
      </c>
      <c r="G647">
        <v>28206</v>
      </c>
      <c r="H647" t="s">
        <v>16</v>
      </c>
      <c r="I647">
        <v>6</v>
      </c>
      <c r="J647">
        <v>1</v>
      </c>
      <c r="K647" t="s">
        <v>8935</v>
      </c>
    </row>
    <row r="648" spans="1:11" x14ac:dyDescent="0.25">
      <c r="A648" t="s">
        <v>2343</v>
      </c>
      <c r="B648" t="s">
        <v>2344</v>
      </c>
      <c r="C648" t="s">
        <v>193</v>
      </c>
      <c r="D648" t="s">
        <v>2345</v>
      </c>
      <c r="E648" t="s">
        <v>14</v>
      </c>
      <c r="F648" t="s">
        <v>15</v>
      </c>
      <c r="G648">
        <v>28216</v>
      </c>
      <c r="H648" t="s">
        <v>101</v>
      </c>
      <c r="I648">
        <v>27</v>
      </c>
      <c r="J648">
        <v>1</v>
      </c>
      <c r="K648" t="s">
        <v>8935</v>
      </c>
    </row>
    <row r="649" spans="1:11" x14ac:dyDescent="0.25">
      <c r="A649" t="s">
        <v>2346</v>
      </c>
      <c r="B649" t="s">
        <v>2347</v>
      </c>
      <c r="C649" t="s">
        <v>2348</v>
      </c>
      <c r="D649" t="s">
        <v>2349</v>
      </c>
      <c r="E649" t="s">
        <v>14</v>
      </c>
      <c r="F649" t="s">
        <v>15</v>
      </c>
      <c r="G649">
        <v>28208</v>
      </c>
      <c r="H649" t="s">
        <v>16</v>
      </c>
      <c r="I649">
        <v>4</v>
      </c>
      <c r="J649">
        <v>0</v>
      </c>
      <c r="K649" t="s">
        <v>8935</v>
      </c>
    </row>
    <row r="650" spans="1:11" x14ac:dyDescent="0.25">
      <c r="A650" t="s">
        <v>2350</v>
      </c>
      <c r="B650" t="s">
        <v>359</v>
      </c>
      <c r="C650" t="s">
        <v>2351</v>
      </c>
      <c r="D650" t="s">
        <v>2352</v>
      </c>
      <c r="E650" t="s">
        <v>14</v>
      </c>
      <c r="F650" t="s">
        <v>15</v>
      </c>
      <c r="G650">
        <v>28277</v>
      </c>
      <c r="H650" t="s">
        <v>48</v>
      </c>
      <c r="I650">
        <v>113</v>
      </c>
      <c r="J650">
        <v>0</v>
      </c>
      <c r="K650" t="s">
        <v>8935</v>
      </c>
    </row>
    <row r="651" spans="1:11" x14ac:dyDescent="0.25">
      <c r="A651" t="s">
        <v>2353</v>
      </c>
      <c r="B651" t="s">
        <v>2354</v>
      </c>
      <c r="C651" t="s">
        <v>2355</v>
      </c>
      <c r="D651" t="s">
        <v>2356</v>
      </c>
      <c r="E651" t="s">
        <v>14</v>
      </c>
      <c r="F651" t="s">
        <v>15</v>
      </c>
      <c r="G651">
        <v>28204</v>
      </c>
      <c r="H651" t="s">
        <v>16</v>
      </c>
      <c r="I651">
        <v>8</v>
      </c>
      <c r="J651">
        <v>1</v>
      </c>
      <c r="K651" t="s">
        <v>8935</v>
      </c>
    </row>
    <row r="652" spans="1:11" x14ac:dyDescent="0.25">
      <c r="A652" t="s">
        <v>2357</v>
      </c>
      <c r="B652" t="s">
        <v>2358</v>
      </c>
      <c r="C652" t="s">
        <v>2359</v>
      </c>
      <c r="D652" t="s">
        <v>2360</v>
      </c>
      <c r="E652" t="s">
        <v>14</v>
      </c>
      <c r="F652" t="s">
        <v>15</v>
      </c>
      <c r="G652">
        <v>28217</v>
      </c>
      <c r="H652" t="s">
        <v>48</v>
      </c>
      <c r="I652">
        <v>69</v>
      </c>
      <c r="J652">
        <v>1</v>
      </c>
      <c r="K652" t="s">
        <v>8935</v>
      </c>
    </row>
    <row r="653" spans="1:11" x14ac:dyDescent="0.25">
      <c r="A653" t="s">
        <v>2361</v>
      </c>
      <c r="B653" t="s">
        <v>2362</v>
      </c>
      <c r="C653" t="s">
        <v>2363</v>
      </c>
      <c r="D653" t="s">
        <v>2364</v>
      </c>
      <c r="E653" t="s">
        <v>14</v>
      </c>
      <c r="F653" t="s">
        <v>15</v>
      </c>
      <c r="G653">
        <v>28263</v>
      </c>
      <c r="H653" t="s">
        <v>146</v>
      </c>
      <c r="I653">
        <v>4</v>
      </c>
      <c r="J653">
        <v>1</v>
      </c>
      <c r="K653" t="s">
        <v>8935</v>
      </c>
    </row>
    <row r="654" spans="1:11" x14ac:dyDescent="0.25">
      <c r="A654" t="s">
        <v>2365</v>
      </c>
      <c r="B654" t="s">
        <v>648</v>
      </c>
      <c r="C654" t="s">
        <v>2366</v>
      </c>
      <c r="D654" t="s">
        <v>2367</v>
      </c>
      <c r="E654" t="s">
        <v>14</v>
      </c>
      <c r="F654" t="s">
        <v>15</v>
      </c>
      <c r="G654">
        <v>28210</v>
      </c>
      <c r="H654" t="s">
        <v>48</v>
      </c>
      <c r="I654">
        <v>7</v>
      </c>
      <c r="J654">
        <v>0</v>
      </c>
      <c r="K654" t="s">
        <v>8935</v>
      </c>
    </row>
    <row r="655" spans="1:11" x14ac:dyDescent="0.25">
      <c r="A655" t="s">
        <v>2368</v>
      </c>
      <c r="B655" t="s">
        <v>279</v>
      </c>
      <c r="C655" t="s">
        <v>2369</v>
      </c>
      <c r="D655" t="s">
        <v>2370</v>
      </c>
      <c r="E655" t="s">
        <v>14</v>
      </c>
      <c r="F655" t="s">
        <v>15</v>
      </c>
      <c r="G655">
        <v>28210</v>
      </c>
      <c r="H655" t="s">
        <v>16</v>
      </c>
      <c r="I655">
        <v>3</v>
      </c>
      <c r="J655">
        <v>0</v>
      </c>
      <c r="K655" t="s">
        <v>8926</v>
      </c>
    </row>
    <row r="656" spans="1:11" x14ac:dyDescent="0.25">
      <c r="A656" t="s">
        <v>2371</v>
      </c>
      <c r="B656" t="s">
        <v>2372</v>
      </c>
      <c r="C656" t="s">
        <v>2373</v>
      </c>
      <c r="D656" t="s">
        <v>2374</v>
      </c>
      <c r="E656" t="s">
        <v>14</v>
      </c>
      <c r="F656" t="s">
        <v>15</v>
      </c>
      <c r="G656">
        <v>28203</v>
      </c>
      <c r="H656" t="s">
        <v>39</v>
      </c>
      <c r="I656">
        <v>33</v>
      </c>
      <c r="J656">
        <v>1</v>
      </c>
      <c r="K656" t="s">
        <v>8937</v>
      </c>
    </row>
    <row r="657" spans="1:11" x14ac:dyDescent="0.25">
      <c r="A657" t="s">
        <v>2375</v>
      </c>
      <c r="B657" t="s">
        <v>312</v>
      </c>
      <c r="C657" t="s">
        <v>2376</v>
      </c>
      <c r="D657" t="s">
        <v>2377</v>
      </c>
      <c r="E657" t="s">
        <v>14</v>
      </c>
      <c r="F657" t="s">
        <v>15</v>
      </c>
      <c r="G657">
        <v>28205</v>
      </c>
      <c r="H657" t="s">
        <v>101</v>
      </c>
      <c r="I657">
        <v>4</v>
      </c>
      <c r="J657">
        <v>1</v>
      </c>
      <c r="K657" t="s">
        <v>8925</v>
      </c>
    </row>
    <row r="658" spans="1:11" x14ac:dyDescent="0.25">
      <c r="A658" t="s">
        <v>2378</v>
      </c>
      <c r="B658" t="s">
        <v>2379</v>
      </c>
      <c r="C658" t="s">
        <v>2380</v>
      </c>
      <c r="D658" t="s">
        <v>2381</v>
      </c>
      <c r="E658" t="s">
        <v>14</v>
      </c>
      <c r="F658" t="s">
        <v>15</v>
      </c>
      <c r="G658">
        <v>28202</v>
      </c>
      <c r="H658" t="s">
        <v>21</v>
      </c>
      <c r="I658">
        <v>39</v>
      </c>
      <c r="J658">
        <v>0</v>
      </c>
      <c r="K658" t="s">
        <v>8931</v>
      </c>
    </row>
    <row r="659" spans="1:11" x14ac:dyDescent="0.25">
      <c r="A659" t="s">
        <v>2382</v>
      </c>
      <c r="B659" t="s">
        <v>2383</v>
      </c>
      <c r="C659" t="s">
        <v>321</v>
      </c>
      <c r="D659" t="s">
        <v>2384</v>
      </c>
      <c r="E659" t="s">
        <v>14</v>
      </c>
      <c r="F659" t="s">
        <v>15</v>
      </c>
      <c r="G659">
        <v>28213</v>
      </c>
      <c r="H659" t="s">
        <v>48</v>
      </c>
      <c r="I659">
        <v>26</v>
      </c>
      <c r="J659">
        <v>1</v>
      </c>
      <c r="K659" t="s">
        <v>8921</v>
      </c>
    </row>
    <row r="660" spans="1:11" x14ac:dyDescent="0.25">
      <c r="A660" t="s">
        <v>2385</v>
      </c>
      <c r="B660" t="s">
        <v>556</v>
      </c>
      <c r="C660" t="s">
        <v>2386</v>
      </c>
      <c r="D660" t="s">
        <v>2094</v>
      </c>
      <c r="E660" t="s">
        <v>14</v>
      </c>
      <c r="F660" t="s">
        <v>15</v>
      </c>
      <c r="G660">
        <v>28209</v>
      </c>
      <c r="H660" t="s">
        <v>16</v>
      </c>
      <c r="I660">
        <v>33</v>
      </c>
      <c r="J660">
        <v>1</v>
      </c>
      <c r="K660" t="s">
        <v>8935</v>
      </c>
    </row>
    <row r="661" spans="1:11" x14ac:dyDescent="0.25">
      <c r="A661" t="s">
        <v>2387</v>
      </c>
      <c r="B661" t="s">
        <v>2388</v>
      </c>
      <c r="C661" t="s">
        <v>2389</v>
      </c>
      <c r="D661" t="s">
        <v>2390</v>
      </c>
      <c r="E661" t="s">
        <v>14</v>
      </c>
      <c r="F661" t="s">
        <v>15</v>
      </c>
      <c r="G661">
        <v>28208</v>
      </c>
      <c r="H661" t="s">
        <v>16</v>
      </c>
      <c r="I661">
        <v>173</v>
      </c>
      <c r="J661">
        <v>0</v>
      </c>
      <c r="K661" t="s">
        <v>8935</v>
      </c>
    </row>
    <row r="662" spans="1:11" x14ac:dyDescent="0.25">
      <c r="A662" t="s">
        <v>2391</v>
      </c>
      <c r="B662" t="s">
        <v>2392</v>
      </c>
      <c r="C662" t="s">
        <v>193</v>
      </c>
      <c r="D662" t="s">
        <v>1711</v>
      </c>
      <c r="E662" t="s">
        <v>14</v>
      </c>
      <c r="F662" t="s">
        <v>15</v>
      </c>
      <c r="G662">
        <v>28202</v>
      </c>
      <c r="H662" t="s">
        <v>39</v>
      </c>
      <c r="I662">
        <v>6</v>
      </c>
      <c r="J662">
        <v>0</v>
      </c>
      <c r="K662" t="s">
        <v>8935</v>
      </c>
    </row>
    <row r="663" spans="1:11" x14ac:dyDescent="0.25">
      <c r="A663" t="e">
        <f>-RP7Sw9lqHySxzzRFaeYiQ</f>
        <v>#NAME?</v>
      </c>
      <c r="B663" t="s">
        <v>2393</v>
      </c>
      <c r="C663" t="s">
        <v>622</v>
      </c>
      <c r="D663" t="s">
        <v>2394</v>
      </c>
      <c r="E663" t="s">
        <v>14</v>
      </c>
      <c r="F663" t="s">
        <v>15</v>
      </c>
      <c r="G663">
        <v>28213</v>
      </c>
      <c r="H663" t="s">
        <v>101</v>
      </c>
      <c r="I663">
        <v>13</v>
      </c>
      <c r="J663">
        <v>1</v>
      </c>
      <c r="K663" t="s">
        <v>8935</v>
      </c>
    </row>
    <row r="664" spans="1:11" x14ac:dyDescent="0.25">
      <c r="A664" t="s">
        <v>2395</v>
      </c>
      <c r="B664" t="s">
        <v>2396</v>
      </c>
      <c r="C664" t="s">
        <v>2397</v>
      </c>
      <c r="D664" t="s">
        <v>2398</v>
      </c>
      <c r="E664" t="s">
        <v>14</v>
      </c>
      <c r="F664" t="s">
        <v>15</v>
      </c>
      <c r="G664">
        <v>28216</v>
      </c>
      <c r="H664" t="s">
        <v>26</v>
      </c>
      <c r="I664">
        <v>216</v>
      </c>
      <c r="J664">
        <v>1</v>
      </c>
      <c r="K664" t="s">
        <v>8926</v>
      </c>
    </row>
    <row r="665" spans="1:11" x14ac:dyDescent="0.25">
      <c r="A665" t="s">
        <v>2399</v>
      </c>
      <c r="B665" t="s">
        <v>442</v>
      </c>
      <c r="C665" t="s">
        <v>2400</v>
      </c>
      <c r="D665" t="s">
        <v>2401</v>
      </c>
      <c r="E665" t="s">
        <v>14</v>
      </c>
      <c r="F665" t="s">
        <v>15</v>
      </c>
      <c r="G665">
        <v>28269</v>
      </c>
      <c r="H665" t="s">
        <v>39</v>
      </c>
      <c r="I665">
        <v>3</v>
      </c>
      <c r="J665">
        <v>0</v>
      </c>
      <c r="K665" t="s">
        <v>8935</v>
      </c>
    </row>
    <row r="666" spans="1:11" x14ac:dyDescent="0.25">
      <c r="A666" t="s">
        <v>2402</v>
      </c>
      <c r="B666" t="s">
        <v>811</v>
      </c>
      <c r="C666" t="s">
        <v>2403</v>
      </c>
      <c r="D666" t="s">
        <v>2404</v>
      </c>
      <c r="E666" t="s">
        <v>14</v>
      </c>
      <c r="F666" t="s">
        <v>15</v>
      </c>
      <c r="G666">
        <v>28273</v>
      </c>
      <c r="H666" t="s">
        <v>16</v>
      </c>
      <c r="I666">
        <v>7</v>
      </c>
      <c r="J666">
        <v>0</v>
      </c>
      <c r="K666" t="s">
        <v>8925</v>
      </c>
    </row>
    <row r="667" spans="1:11" x14ac:dyDescent="0.25">
      <c r="A667" t="s">
        <v>2405</v>
      </c>
      <c r="B667" t="s">
        <v>811</v>
      </c>
      <c r="C667" t="s">
        <v>2406</v>
      </c>
      <c r="D667" t="s">
        <v>608</v>
      </c>
      <c r="E667" t="s">
        <v>14</v>
      </c>
      <c r="F667" t="s">
        <v>15</v>
      </c>
      <c r="G667">
        <v>28202</v>
      </c>
      <c r="H667" t="s">
        <v>21</v>
      </c>
      <c r="I667">
        <v>33</v>
      </c>
      <c r="J667">
        <v>0</v>
      </c>
      <c r="K667" t="s">
        <v>8925</v>
      </c>
    </row>
    <row r="668" spans="1:11" x14ac:dyDescent="0.25">
      <c r="A668" t="s">
        <v>2407</v>
      </c>
      <c r="B668" t="s">
        <v>556</v>
      </c>
      <c r="C668" t="s">
        <v>2408</v>
      </c>
      <c r="D668" t="s">
        <v>2409</v>
      </c>
      <c r="E668" t="s">
        <v>14</v>
      </c>
      <c r="F668" t="s">
        <v>15</v>
      </c>
      <c r="G668">
        <v>28205</v>
      </c>
      <c r="H668" t="s">
        <v>39</v>
      </c>
      <c r="I668">
        <v>24</v>
      </c>
      <c r="J668">
        <v>1</v>
      </c>
      <c r="K668" t="s">
        <v>8935</v>
      </c>
    </row>
    <row r="669" spans="1:11" x14ac:dyDescent="0.25">
      <c r="A669" t="s">
        <v>2410</v>
      </c>
      <c r="B669" t="s">
        <v>2411</v>
      </c>
      <c r="C669" t="s">
        <v>2412</v>
      </c>
      <c r="D669" t="s">
        <v>2413</v>
      </c>
      <c r="E669" t="s">
        <v>14</v>
      </c>
      <c r="F669" t="s">
        <v>15</v>
      </c>
      <c r="G669">
        <v>28206</v>
      </c>
      <c r="H669" t="s">
        <v>39</v>
      </c>
      <c r="I669">
        <v>349</v>
      </c>
      <c r="J669">
        <v>1</v>
      </c>
      <c r="K669" t="s">
        <v>8937</v>
      </c>
    </row>
    <row r="670" spans="1:11" x14ac:dyDescent="0.25">
      <c r="A670" t="s">
        <v>2414</v>
      </c>
      <c r="B670" t="s">
        <v>2415</v>
      </c>
      <c r="C670" t="s">
        <v>2416</v>
      </c>
      <c r="D670" t="s">
        <v>2417</v>
      </c>
      <c r="E670" t="s">
        <v>14</v>
      </c>
      <c r="F670" t="s">
        <v>15</v>
      </c>
      <c r="G670">
        <v>28273</v>
      </c>
      <c r="H670" t="s">
        <v>146</v>
      </c>
      <c r="I670">
        <v>6</v>
      </c>
      <c r="J670">
        <v>1</v>
      </c>
      <c r="K670" t="s">
        <v>8935</v>
      </c>
    </row>
    <row r="671" spans="1:11" x14ac:dyDescent="0.25">
      <c r="A671" t="s">
        <v>2418</v>
      </c>
      <c r="B671" t="s">
        <v>379</v>
      </c>
      <c r="C671" t="s">
        <v>2419</v>
      </c>
      <c r="D671" t="s">
        <v>2420</v>
      </c>
      <c r="E671" t="s">
        <v>14</v>
      </c>
      <c r="F671" t="s">
        <v>15</v>
      </c>
      <c r="G671">
        <v>28262</v>
      </c>
      <c r="H671" t="s">
        <v>48</v>
      </c>
      <c r="I671">
        <v>28</v>
      </c>
      <c r="J671">
        <v>0</v>
      </c>
      <c r="K671" t="s">
        <v>8930</v>
      </c>
    </row>
    <row r="672" spans="1:11" x14ac:dyDescent="0.25">
      <c r="A672" t="s">
        <v>2421</v>
      </c>
      <c r="B672" t="s">
        <v>2422</v>
      </c>
      <c r="C672" t="s">
        <v>2423</v>
      </c>
      <c r="D672" t="s">
        <v>2424</v>
      </c>
      <c r="E672" t="s">
        <v>14</v>
      </c>
      <c r="F672" t="s">
        <v>15</v>
      </c>
      <c r="G672">
        <v>28262</v>
      </c>
      <c r="H672" t="s">
        <v>48</v>
      </c>
      <c r="I672">
        <v>38</v>
      </c>
      <c r="J672">
        <v>0</v>
      </c>
      <c r="K672" t="s">
        <v>8930</v>
      </c>
    </row>
    <row r="673" spans="1:11" x14ac:dyDescent="0.25">
      <c r="A673" t="s">
        <v>2425</v>
      </c>
      <c r="B673" t="s">
        <v>2426</v>
      </c>
      <c r="C673" t="s">
        <v>2427</v>
      </c>
      <c r="D673" t="s">
        <v>2428</v>
      </c>
      <c r="E673" t="s">
        <v>14</v>
      </c>
      <c r="F673" t="s">
        <v>15</v>
      </c>
      <c r="G673">
        <v>28212</v>
      </c>
      <c r="H673" t="s">
        <v>26</v>
      </c>
      <c r="I673">
        <v>6</v>
      </c>
      <c r="J673">
        <v>1</v>
      </c>
      <c r="K673" t="s">
        <v>8931</v>
      </c>
    </row>
    <row r="674" spans="1:11" x14ac:dyDescent="0.25">
      <c r="A674" t="s">
        <v>2429</v>
      </c>
      <c r="B674" t="s">
        <v>2430</v>
      </c>
      <c r="C674" t="s">
        <v>2431</v>
      </c>
      <c r="D674" t="s">
        <v>2432</v>
      </c>
      <c r="E674" t="s">
        <v>14</v>
      </c>
      <c r="F674" t="s">
        <v>15</v>
      </c>
      <c r="G674">
        <v>28273</v>
      </c>
      <c r="H674" t="s">
        <v>26</v>
      </c>
      <c r="I674">
        <v>78</v>
      </c>
      <c r="J674">
        <v>0</v>
      </c>
      <c r="K674" t="s">
        <v>8935</v>
      </c>
    </row>
    <row r="675" spans="1:11" x14ac:dyDescent="0.25">
      <c r="A675" t="s">
        <v>2433</v>
      </c>
      <c r="B675" t="s">
        <v>2434</v>
      </c>
      <c r="C675" t="s">
        <v>2435</v>
      </c>
      <c r="D675" t="s">
        <v>2436</v>
      </c>
      <c r="E675" t="s">
        <v>14</v>
      </c>
      <c r="F675" t="s">
        <v>15</v>
      </c>
      <c r="G675">
        <v>28217</v>
      </c>
      <c r="H675" t="s">
        <v>21</v>
      </c>
      <c r="I675">
        <v>31</v>
      </c>
      <c r="J675">
        <v>1</v>
      </c>
      <c r="K675" t="s">
        <v>8925</v>
      </c>
    </row>
    <row r="676" spans="1:11" x14ac:dyDescent="0.25">
      <c r="A676" t="s">
        <v>2437</v>
      </c>
      <c r="B676" t="s">
        <v>2438</v>
      </c>
      <c r="C676" t="s">
        <v>2439</v>
      </c>
      <c r="D676" t="s">
        <v>306</v>
      </c>
      <c r="E676" t="s">
        <v>14</v>
      </c>
      <c r="F676" t="s">
        <v>15</v>
      </c>
      <c r="G676">
        <v>28204</v>
      </c>
      <c r="H676" t="s">
        <v>26</v>
      </c>
      <c r="I676">
        <v>19</v>
      </c>
      <c r="J676">
        <v>0</v>
      </c>
      <c r="K676" t="s">
        <v>8935</v>
      </c>
    </row>
    <row r="677" spans="1:11" x14ac:dyDescent="0.25">
      <c r="A677" t="s">
        <v>2440</v>
      </c>
      <c r="B677" t="s">
        <v>2441</v>
      </c>
      <c r="C677" t="s">
        <v>2442</v>
      </c>
      <c r="D677" t="s">
        <v>2443</v>
      </c>
      <c r="E677" t="s">
        <v>14</v>
      </c>
      <c r="F677" t="s">
        <v>15</v>
      </c>
      <c r="G677">
        <v>28202</v>
      </c>
      <c r="H677" t="s">
        <v>26</v>
      </c>
      <c r="I677">
        <v>27</v>
      </c>
      <c r="J677">
        <v>0</v>
      </c>
      <c r="K677" t="s">
        <v>8935</v>
      </c>
    </row>
    <row r="678" spans="1:11" x14ac:dyDescent="0.25">
      <c r="A678" t="s">
        <v>2444</v>
      </c>
      <c r="B678" t="s">
        <v>2445</v>
      </c>
      <c r="C678" t="s">
        <v>2446</v>
      </c>
      <c r="D678" t="s">
        <v>2447</v>
      </c>
      <c r="E678" t="s">
        <v>14</v>
      </c>
      <c r="F678" t="s">
        <v>15</v>
      </c>
      <c r="G678">
        <v>28209</v>
      </c>
      <c r="H678" t="s">
        <v>16</v>
      </c>
      <c r="I678">
        <v>207</v>
      </c>
      <c r="J678">
        <v>1</v>
      </c>
      <c r="K678" t="s">
        <v>8935</v>
      </c>
    </row>
    <row r="679" spans="1:11" x14ac:dyDescent="0.25">
      <c r="A679" t="s">
        <v>2448</v>
      </c>
      <c r="B679" t="s">
        <v>1909</v>
      </c>
      <c r="C679" t="s">
        <v>2449</v>
      </c>
      <c r="D679" t="s">
        <v>2450</v>
      </c>
      <c r="E679" t="s">
        <v>14</v>
      </c>
      <c r="F679" t="s">
        <v>15</v>
      </c>
      <c r="G679">
        <v>28217</v>
      </c>
      <c r="H679" t="s">
        <v>21</v>
      </c>
      <c r="I679">
        <v>77</v>
      </c>
      <c r="J679">
        <v>0</v>
      </c>
      <c r="K679" t="s">
        <v>8921</v>
      </c>
    </row>
    <row r="680" spans="1:11" x14ac:dyDescent="0.25">
      <c r="A680" t="s">
        <v>2451</v>
      </c>
      <c r="B680" t="s">
        <v>2116</v>
      </c>
      <c r="C680" t="s">
        <v>2452</v>
      </c>
      <c r="D680" t="s">
        <v>2453</v>
      </c>
      <c r="E680" t="s">
        <v>14</v>
      </c>
      <c r="F680" t="s">
        <v>15</v>
      </c>
      <c r="G680">
        <v>28216</v>
      </c>
      <c r="H680" t="s">
        <v>26</v>
      </c>
      <c r="I680">
        <v>15</v>
      </c>
      <c r="J680">
        <v>1</v>
      </c>
      <c r="K680" t="s">
        <v>8935</v>
      </c>
    </row>
    <row r="681" spans="1:11" x14ac:dyDescent="0.25">
      <c r="A681" t="s">
        <v>2454</v>
      </c>
      <c r="B681" t="s">
        <v>2455</v>
      </c>
      <c r="C681" t="s">
        <v>2456</v>
      </c>
      <c r="D681" t="s">
        <v>2457</v>
      </c>
      <c r="E681" t="s">
        <v>14</v>
      </c>
      <c r="F681" t="s">
        <v>15</v>
      </c>
      <c r="G681">
        <v>28277</v>
      </c>
      <c r="H681" t="s">
        <v>21</v>
      </c>
      <c r="I681">
        <v>178</v>
      </c>
      <c r="J681">
        <v>1</v>
      </c>
      <c r="K681" t="s">
        <v>8935</v>
      </c>
    </row>
    <row r="682" spans="1:11" x14ac:dyDescent="0.25">
      <c r="A682" t="s">
        <v>2458</v>
      </c>
      <c r="B682" t="s">
        <v>359</v>
      </c>
      <c r="C682" t="s">
        <v>2459</v>
      </c>
      <c r="D682" t="s">
        <v>2460</v>
      </c>
      <c r="E682" t="s">
        <v>14</v>
      </c>
      <c r="F682" t="s">
        <v>15</v>
      </c>
      <c r="G682">
        <v>28226</v>
      </c>
      <c r="H682" t="s">
        <v>16</v>
      </c>
      <c r="I682">
        <v>102</v>
      </c>
      <c r="J682">
        <v>1</v>
      </c>
      <c r="K682" t="s">
        <v>8935</v>
      </c>
    </row>
    <row r="683" spans="1:11" x14ac:dyDescent="0.25">
      <c r="A683" t="s">
        <v>2461</v>
      </c>
      <c r="B683" t="s">
        <v>2462</v>
      </c>
      <c r="C683" t="s">
        <v>2366</v>
      </c>
      <c r="D683" t="s">
        <v>2463</v>
      </c>
      <c r="E683" t="s">
        <v>14</v>
      </c>
      <c r="F683" t="s">
        <v>15</v>
      </c>
      <c r="G683">
        <v>28203</v>
      </c>
      <c r="H683" t="s">
        <v>16</v>
      </c>
      <c r="I683">
        <v>12</v>
      </c>
      <c r="J683">
        <v>0</v>
      </c>
      <c r="K683" t="s">
        <v>8935</v>
      </c>
    </row>
    <row r="684" spans="1:11" x14ac:dyDescent="0.25">
      <c r="A684" t="s">
        <v>2464</v>
      </c>
      <c r="B684" t="s">
        <v>2465</v>
      </c>
      <c r="C684" t="s">
        <v>2466</v>
      </c>
      <c r="D684" t="s">
        <v>2467</v>
      </c>
      <c r="E684" t="s">
        <v>14</v>
      </c>
      <c r="F684" t="s">
        <v>15</v>
      </c>
      <c r="G684">
        <v>28273</v>
      </c>
      <c r="H684" t="s">
        <v>21</v>
      </c>
      <c r="I684">
        <v>93</v>
      </c>
      <c r="J684">
        <v>1</v>
      </c>
      <c r="K684" t="s">
        <v>8927</v>
      </c>
    </row>
    <row r="685" spans="1:11" x14ac:dyDescent="0.25">
      <c r="A685" t="s">
        <v>2468</v>
      </c>
      <c r="B685" t="s">
        <v>2469</v>
      </c>
      <c r="C685" t="s">
        <v>364</v>
      </c>
      <c r="D685" t="s">
        <v>2470</v>
      </c>
      <c r="E685" t="s">
        <v>14</v>
      </c>
      <c r="F685" t="s">
        <v>15</v>
      </c>
      <c r="G685">
        <v>28202</v>
      </c>
      <c r="H685" t="s">
        <v>48</v>
      </c>
      <c r="I685">
        <v>3</v>
      </c>
      <c r="J685">
        <v>1</v>
      </c>
      <c r="K685" t="s">
        <v>8935</v>
      </c>
    </row>
    <row r="686" spans="1:11" x14ac:dyDescent="0.25">
      <c r="A686" t="s">
        <v>2471</v>
      </c>
      <c r="B686" t="s">
        <v>2472</v>
      </c>
      <c r="C686" t="s">
        <v>1094</v>
      </c>
      <c r="D686" t="s">
        <v>2473</v>
      </c>
      <c r="E686" t="s">
        <v>14</v>
      </c>
      <c r="F686" t="s">
        <v>15</v>
      </c>
      <c r="G686">
        <v>28269</v>
      </c>
      <c r="H686" t="s">
        <v>48</v>
      </c>
      <c r="I686">
        <v>22</v>
      </c>
      <c r="J686">
        <v>1</v>
      </c>
      <c r="K686" t="s">
        <v>8925</v>
      </c>
    </row>
    <row r="687" spans="1:11" x14ac:dyDescent="0.25">
      <c r="A687" t="s">
        <v>2474</v>
      </c>
      <c r="B687" t="s">
        <v>86</v>
      </c>
      <c r="C687" t="s">
        <v>87</v>
      </c>
      <c r="D687" t="s">
        <v>2475</v>
      </c>
      <c r="E687" t="s">
        <v>14</v>
      </c>
      <c r="F687" t="s">
        <v>15</v>
      </c>
      <c r="G687">
        <v>28216</v>
      </c>
      <c r="H687" t="s">
        <v>265</v>
      </c>
      <c r="I687">
        <v>6</v>
      </c>
      <c r="J687">
        <v>1</v>
      </c>
      <c r="K687" t="s">
        <v>8935</v>
      </c>
    </row>
    <row r="688" spans="1:11" x14ac:dyDescent="0.25">
      <c r="A688" t="s">
        <v>2476</v>
      </c>
      <c r="B688" t="s">
        <v>2477</v>
      </c>
      <c r="C688" t="s">
        <v>2478</v>
      </c>
      <c r="D688" t="s">
        <v>2479</v>
      </c>
      <c r="E688" t="s">
        <v>14</v>
      </c>
      <c r="F688" t="s">
        <v>15</v>
      </c>
      <c r="G688">
        <v>28285</v>
      </c>
      <c r="H688" t="s">
        <v>26</v>
      </c>
      <c r="I688">
        <v>17</v>
      </c>
      <c r="J688">
        <v>1</v>
      </c>
      <c r="K688" t="s">
        <v>8935</v>
      </c>
    </row>
    <row r="689" spans="1:11" x14ac:dyDescent="0.25">
      <c r="A689" t="s">
        <v>2480</v>
      </c>
      <c r="B689" t="s">
        <v>2481</v>
      </c>
      <c r="C689" t="s">
        <v>735</v>
      </c>
      <c r="D689" t="s">
        <v>2482</v>
      </c>
      <c r="E689" t="s">
        <v>14</v>
      </c>
      <c r="F689" t="s">
        <v>15</v>
      </c>
      <c r="G689">
        <v>28216</v>
      </c>
      <c r="H689" t="s">
        <v>16</v>
      </c>
      <c r="I689">
        <v>23</v>
      </c>
      <c r="J689">
        <v>1</v>
      </c>
      <c r="K689" t="s">
        <v>8935</v>
      </c>
    </row>
    <row r="690" spans="1:11" x14ac:dyDescent="0.25">
      <c r="A690" t="s">
        <v>2483</v>
      </c>
      <c r="B690" t="s">
        <v>2484</v>
      </c>
      <c r="C690" t="s">
        <v>2456</v>
      </c>
      <c r="D690" t="s">
        <v>2485</v>
      </c>
      <c r="E690" t="s">
        <v>14</v>
      </c>
      <c r="F690" t="s">
        <v>15</v>
      </c>
      <c r="G690">
        <v>28209</v>
      </c>
      <c r="H690" t="s">
        <v>21</v>
      </c>
      <c r="I690">
        <v>41</v>
      </c>
      <c r="J690">
        <v>1</v>
      </c>
      <c r="K690" t="s">
        <v>8935</v>
      </c>
    </row>
    <row r="691" spans="1:11" x14ac:dyDescent="0.25">
      <c r="A691" t="s">
        <v>2486</v>
      </c>
      <c r="B691" t="s">
        <v>2487</v>
      </c>
      <c r="C691" t="s">
        <v>2488</v>
      </c>
      <c r="D691" t="s">
        <v>2489</v>
      </c>
      <c r="E691" t="s">
        <v>14</v>
      </c>
      <c r="F691" t="s">
        <v>15</v>
      </c>
      <c r="G691">
        <v>28202</v>
      </c>
      <c r="H691" t="s">
        <v>21</v>
      </c>
      <c r="I691">
        <v>171</v>
      </c>
      <c r="J691">
        <v>1</v>
      </c>
      <c r="K691" t="s">
        <v>8937</v>
      </c>
    </row>
    <row r="692" spans="1:11" x14ac:dyDescent="0.25">
      <c r="A692" t="s">
        <v>2490</v>
      </c>
      <c r="B692" t="s">
        <v>760</v>
      </c>
      <c r="C692" t="s">
        <v>615</v>
      </c>
      <c r="D692" t="s">
        <v>2491</v>
      </c>
      <c r="E692" t="s">
        <v>14</v>
      </c>
      <c r="F692" t="s">
        <v>15</v>
      </c>
      <c r="G692">
        <v>28215</v>
      </c>
      <c r="H692" t="s">
        <v>16</v>
      </c>
      <c r="I692">
        <v>19</v>
      </c>
      <c r="J692">
        <v>1</v>
      </c>
      <c r="K692" t="s">
        <v>8935</v>
      </c>
    </row>
    <row r="693" spans="1:11" x14ac:dyDescent="0.25">
      <c r="A693" t="s">
        <v>2492</v>
      </c>
      <c r="B693" t="s">
        <v>176</v>
      </c>
      <c r="C693" t="s">
        <v>2493</v>
      </c>
      <c r="D693" t="s">
        <v>2494</v>
      </c>
      <c r="E693" t="s">
        <v>14</v>
      </c>
      <c r="F693" t="s">
        <v>15</v>
      </c>
      <c r="G693">
        <v>28273</v>
      </c>
      <c r="H693" t="s">
        <v>101</v>
      </c>
      <c r="I693">
        <v>4</v>
      </c>
      <c r="J693">
        <v>1</v>
      </c>
      <c r="K693" t="s">
        <v>8935</v>
      </c>
    </row>
    <row r="694" spans="1:11" x14ac:dyDescent="0.25">
      <c r="A694" t="s">
        <v>2495</v>
      </c>
      <c r="B694" t="s">
        <v>2496</v>
      </c>
      <c r="C694" t="s">
        <v>2497</v>
      </c>
      <c r="D694" t="s">
        <v>2498</v>
      </c>
      <c r="E694" t="s">
        <v>14</v>
      </c>
      <c r="F694" t="s">
        <v>15</v>
      </c>
      <c r="G694">
        <v>28277</v>
      </c>
      <c r="H694" t="s">
        <v>16</v>
      </c>
      <c r="I694">
        <v>231</v>
      </c>
      <c r="J694">
        <v>1</v>
      </c>
      <c r="K694" t="s">
        <v>8935</v>
      </c>
    </row>
    <row r="695" spans="1:11" x14ac:dyDescent="0.25">
      <c r="A695" t="s">
        <v>2499</v>
      </c>
      <c r="B695" t="s">
        <v>2500</v>
      </c>
      <c r="C695" t="s">
        <v>2501</v>
      </c>
      <c r="D695" t="s">
        <v>2502</v>
      </c>
      <c r="E695" t="s">
        <v>14</v>
      </c>
      <c r="F695" t="s">
        <v>15</v>
      </c>
      <c r="G695">
        <v>28204</v>
      </c>
      <c r="H695" t="s">
        <v>39</v>
      </c>
      <c r="I695">
        <v>10</v>
      </c>
      <c r="J695">
        <v>1</v>
      </c>
      <c r="K695" t="s">
        <v>8935</v>
      </c>
    </row>
    <row r="696" spans="1:11" x14ac:dyDescent="0.25">
      <c r="A696" t="s">
        <v>2503</v>
      </c>
      <c r="B696" t="s">
        <v>139</v>
      </c>
      <c r="C696" t="s">
        <v>2504</v>
      </c>
      <c r="D696" t="s">
        <v>2505</v>
      </c>
      <c r="E696" t="s">
        <v>14</v>
      </c>
      <c r="F696" t="s">
        <v>15</v>
      </c>
      <c r="G696">
        <v>28277</v>
      </c>
      <c r="H696" t="s">
        <v>26</v>
      </c>
      <c r="I696">
        <v>33</v>
      </c>
      <c r="J696">
        <v>1</v>
      </c>
      <c r="K696" t="s">
        <v>8926</v>
      </c>
    </row>
    <row r="697" spans="1:11" x14ac:dyDescent="0.25">
      <c r="A697" t="s">
        <v>2506</v>
      </c>
      <c r="B697" t="s">
        <v>2507</v>
      </c>
      <c r="C697" t="s">
        <v>2508</v>
      </c>
      <c r="D697" t="s">
        <v>2509</v>
      </c>
      <c r="E697" t="s">
        <v>14</v>
      </c>
      <c r="F697" t="s">
        <v>15</v>
      </c>
      <c r="G697">
        <v>28262</v>
      </c>
      <c r="H697" t="s">
        <v>48</v>
      </c>
      <c r="I697">
        <v>36</v>
      </c>
      <c r="J697">
        <v>0</v>
      </c>
      <c r="K697" t="s">
        <v>8925</v>
      </c>
    </row>
    <row r="698" spans="1:11" x14ac:dyDescent="0.25">
      <c r="A698" t="s">
        <v>2510</v>
      </c>
      <c r="B698" t="s">
        <v>2511</v>
      </c>
      <c r="C698" t="s">
        <v>2512</v>
      </c>
      <c r="D698" t="s">
        <v>2513</v>
      </c>
      <c r="E698" t="s">
        <v>14</v>
      </c>
      <c r="F698" t="s">
        <v>15</v>
      </c>
      <c r="G698">
        <v>28203</v>
      </c>
      <c r="H698" t="s">
        <v>21</v>
      </c>
      <c r="I698">
        <v>126</v>
      </c>
      <c r="J698">
        <v>1</v>
      </c>
      <c r="K698" t="s">
        <v>8935</v>
      </c>
    </row>
    <row r="699" spans="1:11" x14ac:dyDescent="0.25">
      <c r="A699" t="s">
        <v>2514</v>
      </c>
      <c r="B699" t="s">
        <v>2515</v>
      </c>
      <c r="C699" t="s">
        <v>2516</v>
      </c>
      <c r="D699" t="s">
        <v>137</v>
      </c>
      <c r="E699" t="s">
        <v>14</v>
      </c>
      <c r="F699" t="s">
        <v>15</v>
      </c>
      <c r="G699">
        <v>28202</v>
      </c>
      <c r="H699" t="s">
        <v>16</v>
      </c>
      <c r="I699">
        <v>257</v>
      </c>
      <c r="J699">
        <v>1</v>
      </c>
      <c r="K699" t="s">
        <v>8935</v>
      </c>
    </row>
    <row r="700" spans="1:11" x14ac:dyDescent="0.25">
      <c r="A700" t="s">
        <v>2517</v>
      </c>
      <c r="B700" t="s">
        <v>2518</v>
      </c>
      <c r="C700" t="s">
        <v>2519</v>
      </c>
      <c r="D700" t="s">
        <v>2520</v>
      </c>
      <c r="E700" t="s">
        <v>14</v>
      </c>
      <c r="F700" t="s">
        <v>15</v>
      </c>
      <c r="G700">
        <v>28202</v>
      </c>
      <c r="H700" t="s">
        <v>16</v>
      </c>
      <c r="I700">
        <v>89</v>
      </c>
      <c r="J700">
        <v>1</v>
      </c>
      <c r="K700" t="s">
        <v>8935</v>
      </c>
    </row>
    <row r="701" spans="1:11" x14ac:dyDescent="0.25">
      <c r="A701" t="s">
        <v>2521</v>
      </c>
      <c r="B701" t="s">
        <v>2522</v>
      </c>
      <c r="C701" t="s">
        <v>2523</v>
      </c>
      <c r="D701" t="s">
        <v>2524</v>
      </c>
      <c r="E701" t="s">
        <v>14</v>
      </c>
      <c r="F701" t="s">
        <v>15</v>
      </c>
      <c r="G701">
        <v>28208</v>
      </c>
      <c r="H701" t="s">
        <v>16</v>
      </c>
      <c r="I701">
        <v>8</v>
      </c>
      <c r="J701">
        <v>0</v>
      </c>
      <c r="K701" t="s">
        <v>8935</v>
      </c>
    </row>
    <row r="702" spans="1:11" x14ac:dyDescent="0.25">
      <c r="A702" t="e">
        <f>-qjFaSJsOiq_ehnpe_Gtbw</f>
        <v>#NAME?</v>
      </c>
      <c r="B702" t="s">
        <v>2337</v>
      </c>
      <c r="C702" t="s">
        <v>2525</v>
      </c>
      <c r="D702" t="s">
        <v>2526</v>
      </c>
      <c r="E702" t="s">
        <v>14</v>
      </c>
      <c r="F702" t="s">
        <v>15</v>
      </c>
      <c r="G702">
        <v>28205</v>
      </c>
      <c r="H702" t="s">
        <v>21</v>
      </c>
      <c r="I702">
        <v>6</v>
      </c>
      <c r="J702">
        <v>1</v>
      </c>
      <c r="K702" t="s">
        <v>8927</v>
      </c>
    </row>
    <row r="703" spans="1:11" x14ac:dyDescent="0.25">
      <c r="A703" t="s">
        <v>2527</v>
      </c>
      <c r="B703" t="s">
        <v>82</v>
      </c>
      <c r="C703" t="s">
        <v>1643</v>
      </c>
      <c r="D703" t="s">
        <v>2528</v>
      </c>
      <c r="E703" t="s">
        <v>14</v>
      </c>
      <c r="F703" t="s">
        <v>15</v>
      </c>
      <c r="G703">
        <v>28277</v>
      </c>
      <c r="H703" t="s">
        <v>16</v>
      </c>
      <c r="I703">
        <v>60</v>
      </c>
      <c r="J703">
        <v>1</v>
      </c>
      <c r="K703" t="s">
        <v>8935</v>
      </c>
    </row>
    <row r="704" spans="1:11" x14ac:dyDescent="0.25">
      <c r="A704" t="s">
        <v>2529</v>
      </c>
      <c r="B704" t="s">
        <v>2530</v>
      </c>
      <c r="C704" t="s">
        <v>87</v>
      </c>
      <c r="D704" t="s">
        <v>2531</v>
      </c>
      <c r="E704" t="s">
        <v>14</v>
      </c>
      <c r="F704" t="s">
        <v>15</v>
      </c>
      <c r="G704">
        <v>28204</v>
      </c>
      <c r="H704" t="s">
        <v>101</v>
      </c>
      <c r="I704">
        <v>16</v>
      </c>
      <c r="J704">
        <v>1</v>
      </c>
      <c r="K704" t="s">
        <v>8935</v>
      </c>
    </row>
    <row r="705" spans="1:11" x14ac:dyDescent="0.25">
      <c r="A705" t="s">
        <v>2532</v>
      </c>
      <c r="B705" t="s">
        <v>2533</v>
      </c>
      <c r="C705" t="s">
        <v>177</v>
      </c>
      <c r="D705" t="s">
        <v>2534</v>
      </c>
      <c r="E705" t="s">
        <v>14</v>
      </c>
      <c r="F705" t="s">
        <v>15</v>
      </c>
      <c r="G705">
        <v>28270</v>
      </c>
      <c r="H705" t="s">
        <v>26</v>
      </c>
      <c r="I705">
        <v>18</v>
      </c>
      <c r="J705">
        <v>1</v>
      </c>
      <c r="K705" t="s">
        <v>8935</v>
      </c>
    </row>
    <row r="706" spans="1:11" x14ac:dyDescent="0.25">
      <c r="A706" t="s">
        <v>2535</v>
      </c>
      <c r="B706" t="s">
        <v>2536</v>
      </c>
      <c r="C706" t="s">
        <v>193</v>
      </c>
      <c r="D706" t="s">
        <v>2537</v>
      </c>
      <c r="E706" t="s">
        <v>14</v>
      </c>
      <c r="F706" t="s">
        <v>15</v>
      </c>
      <c r="G706">
        <v>28273</v>
      </c>
      <c r="H706" t="s">
        <v>101</v>
      </c>
      <c r="I706">
        <v>22</v>
      </c>
      <c r="J706">
        <v>1</v>
      </c>
      <c r="K706" t="s">
        <v>8935</v>
      </c>
    </row>
    <row r="707" spans="1:11" x14ac:dyDescent="0.25">
      <c r="A707" t="s">
        <v>2538</v>
      </c>
      <c r="B707" t="s">
        <v>312</v>
      </c>
      <c r="C707" t="s">
        <v>2539</v>
      </c>
      <c r="D707" t="s">
        <v>2540</v>
      </c>
      <c r="E707" t="s">
        <v>14</v>
      </c>
      <c r="F707" t="s">
        <v>15</v>
      </c>
      <c r="G707">
        <v>28262</v>
      </c>
      <c r="H707" t="s">
        <v>21</v>
      </c>
      <c r="I707">
        <v>141</v>
      </c>
      <c r="J707">
        <v>1</v>
      </c>
      <c r="K707" t="s">
        <v>8925</v>
      </c>
    </row>
    <row r="708" spans="1:11" x14ac:dyDescent="0.25">
      <c r="A708" t="s">
        <v>2541</v>
      </c>
      <c r="B708" t="s">
        <v>1273</v>
      </c>
      <c r="C708" t="s">
        <v>364</v>
      </c>
      <c r="D708" t="s">
        <v>2542</v>
      </c>
      <c r="E708" t="s">
        <v>14</v>
      </c>
      <c r="F708" t="s">
        <v>15</v>
      </c>
      <c r="G708">
        <v>28277</v>
      </c>
      <c r="H708" t="s">
        <v>195</v>
      </c>
      <c r="I708">
        <v>5</v>
      </c>
      <c r="J708">
        <v>1</v>
      </c>
      <c r="K708" t="s">
        <v>8935</v>
      </c>
    </row>
    <row r="709" spans="1:11" x14ac:dyDescent="0.25">
      <c r="A709" t="s">
        <v>2543</v>
      </c>
      <c r="B709" t="s">
        <v>610</v>
      </c>
      <c r="C709" t="s">
        <v>2544</v>
      </c>
      <c r="D709" t="s">
        <v>2545</v>
      </c>
      <c r="E709" t="s">
        <v>14</v>
      </c>
      <c r="F709" t="s">
        <v>15</v>
      </c>
      <c r="G709">
        <v>28277</v>
      </c>
      <c r="H709" t="s">
        <v>26</v>
      </c>
      <c r="I709">
        <v>37</v>
      </c>
      <c r="J709">
        <v>1</v>
      </c>
      <c r="K709" t="s">
        <v>8925</v>
      </c>
    </row>
    <row r="710" spans="1:11" x14ac:dyDescent="0.25">
      <c r="A710" t="s">
        <v>2546</v>
      </c>
      <c r="B710" t="s">
        <v>1909</v>
      </c>
      <c r="C710" t="s">
        <v>2547</v>
      </c>
      <c r="D710" t="s">
        <v>2548</v>
      </c>
      <c r="E710" t="s">
        <v>14</v>
      </c>
      <c r="F710" t="s">
        <v>15</v>
      </c>
      <c r="G710">
        <v>28211</v>
      </c>
      <c r="H710" t="s">
        <v>26</v>
      </c>
      <c r="I710">
        <v>14</v>
      </c>
      <c r="J710">
        <v>0</v>
      </c>
      <c r="K710" t="s">
        <v>8921</v>
      </c>
    </row>
    <row r="711" spans="1:11" x14ac:dyDescent="0.25">
      <c r="A711" t="s">
        <v>2549</v>
      </c>
      <c r="B711" t="s">
        <v>2550</v>
      </c>
      <c r="C711" t="s">
        <v>2551</v>
      </c>
      <c r="D711" t="s">
        <v>842</v>
      </c>
      <c r="E711" t="s">
        <v>14</v>
      </c>
      <c r="F711" t="s">
        <v>15</v>
      </c>
      <c r="G711">
        <v>28202</v>
      </c>
      <c r="H711" t="s">
        <v>16</v>
      </c>
      <c r="I711">
        <v>212</v>
      </c>
      <c r="J711">
        <v>1</v>
      </c>
      <c r="K711" t="s">
        <v>8937</v>
      </c>
    </row>
    <row r="712" spans="1:11" x14ac:dyDescent="0.25">
      <c r="A712" t="s">
        <v>2552</v>
      </c>
      <c r="B712" t="s">
        <v>2553</v>
      </c>
      <c r="C712" t="s">
        <v>2554</v>
      </c>
      <c r="D712" t="s">
        <v>834</v>
      </c>
      <c r="E712" t="s">
        <v>14</v>
      </c>
      <c r="F712" t="s">
        <v>15</v>
      </c>
      <c r="G712">
        <v>28277</v>
      </c>
      <c r="H712" t="s">
        <v>16</v>
      </c>
      <c r="I712">
        <v>41</v>
      </c>
      <c r="J712">
        <v>1</v>
      </c>
      <c r="K712" t="s">
        <v>8930</v>
      </c>
    </row>
    <row r="713" spans="1:11" x14ac:dyDescent="0.25">
      <c r="A713" t="s">
        <v>2555</v>
      </c>
      <c r="B713" t="s">
        <v>556</v>
      </c>
      <c r="C713" t="s">
        <v>2556</v>
      </c>
      <c r="D713" t="s">
        <v>2557</v>
      </c>
      <c r="E713" t="s">
        <v>14</v>
      </c>
      <c r="F713" t="s">
        <v>15</v>
      </c>
      <c r="G713">
        <v>28202</v>
      </c>
      <c r="H713" t="s">
        <v>21</v>
      </c>
      <c r="I713">
        <v>8</v>
      </c>
      <c r="J713">
        <v>0</v>
      </c>
      <c r="K713" t="s">
        <v>8935</v>
      </c>
    </row>
    <row r="714" spans="1:11" x14ac:dyDescent="0.25">
      <c r="A714" t="s">
        <v>2558</v>
      </c>
      <c r="B714" t="s">
        <v>2559</v>
      </c>
      <c r="C714" t="s">
        <v>221</v>
      </c>
      <c r="D714" t="s">
        <v>2560</v>
      </c>
      <c r="E714" t="s">
        <v>14</v>
      </c>
      <c r="F714" t="s">
        <v>15</v>
      </c>
      <c r="G714">
        <v>28205</v>
      </c>
      <c r="H714" t="s">
        <v>195</v>
      </c>
      <c r="I714">
        <v>19</v>
      </c>
      <c r="J714">
        <v>1</v>
      </c>
      <c r="K714" t="s">
        <v>8935</v>
      </c>
    </row>
    <row r="715" spans="1:11" x14ac:dyDescent="0.25">
      <c r="A715" t="s">
        <v>2561</v>
      </c>
      <c r="B715" t="s">
        <v>2562</v>
      </c>
      <c r="C715" t="s">
        <v>2563</v>
      </c>
      <c r="D715" t="s">
        <v>2564</v>
      </c>
      <c r="E715" t="s">
        <v>14</v>
      </c>
      <c r="F715" t="s">
        <v>15</v>
      </c>
      <c r="G715">
        <v>28205</v>
      </c>
      <c r="H715" t="s">
        <v>21</v>
      </c>
      <c r="I715">
        <v>306</v>
      </c>
      <c r="J715">
        <v>1</v>
      </c>
      <c r="K715" t="s">
        <v>8935</v>
      </c>
    </row>
    <row r="716" spans="1:11" x14ac:dyDescent="0.25">
      <c r="A716" t="s">
        <v>2565</v>
      </c>
      <c r="B716" t="s">
        <v>2566</v>
      </c>
      <c r="C716" t="s">
        <v>2567</v>
      </c>
      <c r="D716" t="s">
        <v>2568</v>
      </c>
      <c r="E716" t="s">
        <v>14</v>
      </c>
      <c r="F716" t="s">
        <v>15</v>
      </c>
      <c r="G716">
        <v>28210</v>
      </c>
      <c r="H716" t="s">
        <v>16</v>
      </c>
      <c r="I716">
        <v>455</v>
      </c>
      <c r="J716">
        <v>1</v>
      </c>
      <c r="K716" t="s">
        <v>8924</v>
      </c>
    </row>
    <row r="717" spans="1:11" x14ac:dyDescent="0.25">
      <c r="A717" t="s">
        <v>2569</v>
      </c>
      <c r="B717" t="s">
        <v>2570</v>
      </c>
      <c r="C717" t="s">
        <v>193</v>
      </c>
      <c r="D717" t="s">
        <v>2571</v>
      </c>
      <c r="E717" t="s">
        <v>14</v>
      </c>
      <c r="F717" t="s">
        <v>15</v>
      </c>
      <c r="G717">
        <v>28273</v>
      </c>
      <c r="H717" t="s">
        <v>101</v>
      </c>
      <c r="I717">
        <v>7</v>
      </c>
      <c r="J717">
        <v>1</v>
      </c>
      <c r="K717" t="s">
        <v>8935</v>
      </c>
    </row>
    <row r="718" spans="1:11" x14ac:dyDescent="0.25">
      <c r="A718" t="s">
        <v>2572</v>
      </c>
      <c r="B718" t="s">
        <v>2573</v>
      </c>
      <c r="C718" t="s">
        <v>2574</v>
      </c>
      <c r="D718" t="s">
        <v>1231</v>
      </c>
      <c r="E718" t="s">
        <v>14</v>
      </c>
      <c r="F718" t="s">
        <v>15</v>
      </c>
      <c r="G718">
        <v>28211</v>
      </c>
      <c r="H718" t="s">
        <v>21</v>
      </c>
      <c r="I718">
        <v>304</v>
      </c>
      <c r="J718">
        <v>1</v>
      </c>
      <c r="K718" t="s">
        <v>8935</v>
      </c>
    </row>
    <row r="719" spans="1:11" x14ac:dyDescent="0.25">
      <c r="A719" t="s">
        <v>2575</v>
      </c>
      <c r="B719" t="s">
        <v>1343</v>
      </c>
      <c r="C719" t="s">
        <v>1882</v>
      </c>
      <c r="D719" t="s">
        <v>2576</v>
      </c>
      <c r="E719" t="s">
        <v>14</v>
      </c>
      <c r="F719" t="s">
        <v>15</v>
      </c>
      <c r="G719">
        <v>28204</v>
      </c>
      <c r="H719" t="s">
        <v>21</v>
      </c>
      <c r="I719">
        <v>47</v>
      </c>
      <c r="J719">
        <v>1</v>
      </c>
      <c r="K719" t="s">
        <v>8935</v>
      </c>
    </row>
    <row r="720" spans="1:11" x14ac:dyDescent="0.25">
      <c r="A720" t="s">
        <v>2577</v>
      </c>
      <c r="B720" t="s">
        <v>2578</v>
      </c>
      <c r="C720" t="s">
        <v>2579</v>
      </c>
      <c r="D720" t="s">
        <v>2580</v>
      </c>
      <c r="E720" t="s">
        <v>14</v>
      </c>
      <c r="F720" t="s">
        <v>15</v>
      </c>
      <c r="G720">
        <v>28212</v>
      </c>
      <c r="H720" t="s">
        <v>101</v>
      </c>
      <c r="I720">
        <v>12</v>
      </c>
      <c r="J720">
        <v>1</v>
      </c>
      <c r="K720" t="s">
        <v>8935</v>
      </c>
    </row>
    <row r="721" spans="1:11" x14ac:dyDescent="0.25">
      <c r="A721" t="s">
        <v>2581</v>
      </c>
      <c r="B721" t="s">
        <v>2582</v>
      </c>
      <c r="C721" t="s">
        <v>2583</v>
      </c>
      <c r="D721" t="s">
        <v>2584</v>
      </c>
      <c r="E721" t="s">
        <v>14</v>
      </c>
      <c r="F721" t="s">
        <v>15</v>
      </c>
      <c r="G721">
        <v>28206</v>
      </c>
      <c r="H721" t="s">
        <v>21</v>
      </c>
      <c r="I721">
        <v>9</v>
      </c>
      <c r="J721">
        <v>0</v>
      </c>
      <c r="K721" t="s">
        <v>8935</v>
      </c>
    </row>
    <row r="722" spans="1:11" x14ac:dyDescent="0.25">
      <c r="A722" t="s">
        <v>2585</v>
      </c>
      <c r="B722" t="s">
        <v>2586</v>
      </c>
      <c r="C722" t="s">
        <v>2587</v>
      </c>
      <c r="D722" t="s">
        <v>2588</v>
      </c>
      <c r="E722" t="s">
        <v>14</v>
      </c>
      <c r="F722" t="s">
        <v>15</v>
      </c>
      <c r="G722">
        <v>28216</v>
      </c>
      <c r="H722" t="s">
        <v>16</v>
      </c>
      <c r="I722">
        <v>46</v>
      </c>
      <c r="J722">
        <v>1</v>
      </c>
      <c r="K722" t="s">
        <v>8923</v>
      </c>
    </row>
    <row r="723" spans="1:11" x14ac:dyDescent="0.25">
      <c r="A723" t="s">
        <v>2589</v>
      </c>
      <c r="B723" t="s">
        <v>82</v>
      </c>
      <c r="C723" t="s">
        <v>2590</v>
      </c>
      <c r="D723" t="s">
        <v>2591</v>
      </c>
      <c r="E723" t="s">
        <v>14</v>
      </c>
      <c r="F723" t="s">
        <v>15</v>
      </c>
      <c r="G723">
        <v>28205</v>
      </c>
      <c r="H723" t="s">
        <v>21</v>
      </c>
      <c r="I723">
        <v>3</v>
      </c>
      <c r="J723">
        <v>0</v>
      </c>
      <c r="K723" t="s">
        <v>8935</v>
      </c>
    </row>
    <row r="724" spans="1:11" x14ac:dyDescent="0.25">
      <c r="A724" t="s">
        <v>2592</v>
      </c>
      <c r="B724" t="s">
        <v>172</v>
      </c>
      <c r="C724" t="s">
        <v>2593</v>
      </c>
      <c r="D724" t="s">
        <v>2594</v>
      </c>
      <c r="E724" t="s">
        <v>14</v>
      </c>
      <c r="F724" t="s">
        <v>15</v>
      </c>
      <c r="G724">
        <v>28213</v>
      </c>
      <c r="H724" t="s">
        <v>16</v>
      </c>
      <c r="I724">
        <v>3</v>
      </c>
      <c r="J724">
        <v>1</v>
      </c>
      <c r="K724" t="s">
        <v>8927</v>
      </c>
    </row>
    <row r="725" spans="1:11" x14ac:dyDescent="0.25">
      <c r="A725" t="s">
        <v>2595</v>
      </c>
      <c r="B725" t="s">
        <v>2596</v>
      </c>
      <c r="C725" t="s">
        <v>2597</v>
      </c>
      <c r="D725" t="s">
        <v>2598</v>
      </c>
      <c r="E725" t="s">
        <v>14</v>
      </c>
      <c r="F725" t="s">
        <v>15</v>
      </c>
      <c r="G725">
        <v>28262</v>
      </c>
      <c r="H725" t="s">
        <v>26</v>
      </c>
      <c r="I725">
        <v>5</v>
      </c>
      <c r="J725">
        <v>0</v>
      </c>
      <c r="K725" t="s">
        <v>8935</v>
      </c>
    </row>
    <row r="726" spans="1:11" x14ac:dyDescent="0.25">
      <c r="A726" t="s">
        <v>2599</v>
      </c>
      <c r="B726" t="s">
        <v>359</v>
      </c>
      <c r="C726" t="s">
        <v>2600</v>
      </c>
      <c r="D726" t="s">
        <v>2601</v>
      </c>
      <c r="E726" t="s">
        <v>14</v>
      </c>
      <c r="F726" t="s">
        <v>15</v>
      </c>
      <c r="G726">
        <v>28211</v>
      </c>
      <c r="H726" t="s">
        <v>101</v>
      </c>
      <c r="I726">
        <v>8</v>
      </c>
      <c r="J726">
        <v>0</v>
      </c>
      <c r="K726" t="s">
        <v>8935</v>
      </c>
    </row>
    <row r="727" spans="1:11" x14ac:dyDescent="0.25">
      <c r="A727" t="s">
        <v>2602</v>
      </c>
      <c r="B727" t="s">
        <v>279</v>
      </c>
      <c r="C727" t="s">
        <v>2603</v>
      </c>
      <c r="D727" t="s">
        <v>2604</v>
      </c>
      <c r="E727" t="s">
        <v>14</v>
      </c>
      <c r="F727" t="s">
        <v>15</v>
      </c>
      <c r="G727">
        <v>28262</v>
      </c>
      <c r="H727" t="s">
        <v>26</v>
      </c>
      <c r="I727">
        <v>77</v>
      </c>
      <c r="J727">
        <v>1</v>
      </c>
      <c r="K727" t="s">
        <v>8926</v>
      </c>
    </row>
    <row r="728" spans="1:11" x14ac:dyDescent="0.25">
      <c r="A728" t="s">
        <v>2605</v>
      </c>
      <c r="B728" t="s">
        <v>1004</v>
      </c>
      <c r="C728" t="s">
        <v>2606</v>
      </c>
      <c r="D728" t="s">
        <v>2607</v>
      </c>
      <c r="E728" t="s">
        <v>14</v>
      </c>
      <c r="F728" t="s">
        <v>15</v>
      </c>
      <c r="G728">
        <v>28217</v>
      </c>
      <c r="H728" t="s">
        <v>16</v>
      </c>
      <c r="I728">
        <v>165</v>
      </c>
      <c r="J728">
        <v>1</v>
      </c>
      <c r="K728" t="s">
        <v>8935</v>
      </c>
    </row>
    <row r="729" spans="1:11" x14ac:dyDescent="0.25">
      <c r="A729" t="s">
        <v>2608</v>
      </c>
      <c r="B729" t="s">
        <v>139</v>
      </c>
      <c r="C729" t="s">
        <v>2609</v>
      </c>
      <c r="D729" t="s">
        <v>2022</v>
      </c>
      <c r="E729" t="s">
        <v>14</v>
      </c>
      <c r="F729" t="s">
        <v>15</v>
      </c>
      <c r="G729">
        <v>28269</v>
      </c>
      <c r="H729" t="s">
        <v>48</v>
      </c>
      <c r="I729">
        <v>15</v>
      </c>
      <c r="J729">
        <v>0</v>
      </c>
      <c r="K729" t="s">
        <v>8926</v>
      </c>
    </row>
    <row r="730" spans="1:11" x14ac:dyDescent="0.25">
      <c r="A730" t="s">
        <v>2610</v>
      </c>
      <c r="B730" t="s">
        <v>1343</v>
      </c>
      <c r="C730" t="s">
        <v>2611</v>
      </c>
      <c r="D730" t="s">
        <v>2612</v>
      </c>
      <c r="E730" t="s">
        <v>14</v>
      </c>
      <c r="F730" t="s">
        <v>15</v>
      </c>
      <c r="G730">
        <v>28263</v>
      </c>
      <c r="H730" t="s">
        <v>16</v>
      </c>
      <c r="I730">
        <v>13</v>
      </c>
      <c r="J730">
        <v>0</v>
      </c>
      <c r="K730" t="s">
        <v>8935</v>
      </c>
    </row>
    <row r="731" spans="1:11" x14ac:dyDescent="0.25">
      <c r="A731" t="s">
        <v>2613</v>
      </c>
      <c r="B731" t="s">
        <v>2614</v>
      </c>
      <c r="C731" t="s">
        <v>2615</v>
      </c>
      <c r="D731" t="s">
        <v>2616</v>
      </c>
      <c r="E731" t="s">
        <v>14</v>
      </c>
      <c r="F731" t="s">
        <v>15</v>
      </c>
      <c r="G731">
        <v>28202</v>
      </c>
      <c r="H731" t="s">
        <v>16</v>
      </c>
      <c r="I731">
        <v>20</v>
      </c>
      <c r="J731">
        <v>1</v>
      </c>
      <c r="K731" t="s">
        <v>8921</v>
      </c>
    </row>
    <row r="732" spans="1:11" x14ac:dyDescent="0.25">
      <c r="A732" t="s">
        <v>2617</v>
      </c>
      <c r="B732" t="s">
        <v>2618</v>
      </c>
      <c r="C732" t="s">
        <v>2619</v>
      </c>
      <c r="D732" t="s">
        <v>2620</v>
      </c>
      <c r="E732" t="s">
        <v>14</v>
      </c>
      <c r="F732" t="s">
        <v>15</v>
      </c>
      <c r="G732">
        <v>28210</v>
      </c>
      <c r="H732" t="s">
        <v>26</v>
      </c>
      <c r="I732">
        <v>4</v>
      </c>
      <c r="J732">
        <v>1</v>
      </c>
      <c r="K732" t="s">
        <v>8935</v>
      </c>
    </row>
    <row r="733" spans="1:11" x14ac:dyDescent="0.25">
      <c r="A733" t="s">
        <v>2621</v>
      </c>
      <c r="B733" t="s">
        <v>2622</v>
      </c>
      <c r="C733" t="s">
        <v>2623</v>
      </c>
      <c r="D733" t="s">
        <v>342</v>
      </c>
      <c r="E733" t="s">
        <v>14</v>
      </c>
      <c r="F733" t="s">
        <v>15</v>
      </c>
      <c r="G733">
        <v>28216</v>
      </c>
      <c r="H733" t="s">
        <v>21</v>
      </c>
      <c r="I733">
        <v>98</v>
      </c>
      <c r="J733">
        <v>0</v>
      </c>
      <c r="K733" t="s">
        <v>8924</v>
      </c>
    </row>
    <row r="734" spans="1:11" x14ac:dyDescent="0.25">
      <c r="A734" t="s">
        <v>2624</v>
      </c>
      <c r="B734" t="s">
        <v>2625</v>
      </c>
      <c r="C734" t="s">
        <v>2626</v>
      </c>
      <c r="D734" t="s">
        <v>2627</v>
      </c>
      <c r="E734" t="s">
        <v>14</v>
      </c>
      <c r="F734" t="s">
        <v>15</v>
      </c>
      <c r="G734">
        <v>28269</v>
      </c>
      <c r="H734" t="s">
        <v>26</v>
      </c>
      <c r="I734">
        <v>49</v>
      </c>
      <c r="J734">
        <v>1</v>
      </c>
      <c r="K734" t="s">
        <v>8935</v>
      </c>
    </row>
    <row r="735" spans="1:11" x14ac:dyDescent="0.25">
      <c r="A735" t="s">
        <v>2628</v>
      </c>
      <c r="B735" t="s">
        <v>139</v>
      </c>
      <c r="C735" t="s">
        <v>2629</v>
      </c>
      <c r="D735" t="s">
        <v>2630</v>
      </c>
      <c r="E735" t="s">
        <v>14</v>
      </c>
      <c r="F735" t="s">
        <v>15</v>
      </c>
      <c r="G735">
        <v>28262</v>
      </c>
      <c r="H735" t="s">
        <v>16</v>
      </c>
      <c r="I735">
        <v>81</v>
      </c>
      <c r="J735">
        <v>1</v>
      </c>
      <c r="K735" t="s">
        <v>8926</v>
      </c>
    </row>
    <row r="736" spans="1:11" x14ac:dyDescent="0.25">
      <c r="A736" t="s">
        <v>2631</v>
      </c>
      <c r="B736" t="s">
        <v>1343</v>
      </c>
      <c r="C736" t="s">
        <v>2590</v>
      </c>
      <c r="D736" t="s">
        <v>2632</v>
      </c>
      <c r="E736" t="s">
        <v>14</v>
      </c>
      <c r="F736" t="s">
        <v>15</v>
      </c>
      <c r="G736">
        <v>28209</v>
      </c>
      <c r="H736" t="s">
        <v>16</v>
      </c>
      <c r="I736">
        <v>23</v>
      </c>
      <c r="J736">
        <v>1</v>
      </c>
      <c r="K736" t="s">
        <v>8935</v>
      </c>
    </row>
    <row r="737" spans="1:11" x14ac:dyDescent="0.25">
      <c r="A737" t="s">
        <v>2633</v>
      </c>
      <c r="B737" t="s">
        <v>86</v>
      </c>
      <c r="C737" t="s">
        <v>2634</v>
      </c>
      <c r="D737" t="s">
        <v>2635</v>
      </c>
      <c r="E737" t="s">
        <v>14</v>
      </c>
      <c r="F737" t="s">
        <v>15</v>
      </c>
      <c r="G737">
        <v>28217</v>
      </c>
      <c r="H737" t="s">
        <v>48</v>
      </c>
      <c r="I737">
        <v>8</v>
      </c>
      <c r="J737">
        <v>0</v>
      </c>
      <c r="K737" t="s">
        <v>8935</v>
      </c>
    </row>
    <row r="738" spans="1:11" x14ac:dyDescent="0.25">
      <c r="A738" t="s">
        <v>2636</v>
      </c>
      <c r="B738" t="s">
        <v>2637</v>
      </c>
      <c r="C738" t="s">
        <v>2638</v>
      </c>
      <c r="D738" t="s">
        <v>2639</v>
      </c>
      <c r="E738" t="s">
        <v>14</v>
      </c>
      <c r="F738" t="s">
        <v>15</v>
      </c>
      <c r="G738">
        <v>28213</v>
      </c>
      <c r="H738" t="s">
        <v>26</v>
      </c>
      <c r="I738">
        <v>87</v>
      </c>
      <c r="J738">
        <v>0</v>
      </c>
      <c r="K738" t="s">
        <v>8926</v>
      </c>
    </row>
    <row r="739" spans="1:11" x14ac:dyDescent="0.25">
      <c r="A739" t="s">
        <v>2640</v>
      </c>
      <c r="B739" t="s">
        <v>1909</v>
      </c>
      <c r="C739" t="s">
        <v>2641</v>
      </c>
      <c r="D739" t="s">
        <v>2642</v>
      </c>
      <c r="E739" t="s">
        <v>14</v>
      </c>
      <c r="F739" t="s">
        <v>15</v>
      </c>
      <c r="G739">
        <v>28262</v>
      </c>
      <c r="H739" t="s">
        <v>48</v>
      </c>
      <c r="I739">
        <v>106</v>
      </c>
      <c r="J739">
        <v>1</v>
      </c>
      <c r="K739" t="s">
        <v>8921</v>
      </c>
    </row>
    <row r="740" spans="1:11" x14ac:dyDescent="0.25">
      <c r="A740" t="s">
        <v>2643</v>
      </c>
      <c r="B740" t="s">
        <v>2644</v>
      </c>
      <c r="C740" t="s">
        <v>2645</v>
      </c>
      <c r="D740" t="s">
        <v>2646</v>
      </c>
      <c r="E740" t="s">
        <v>14</v>
      </c>
      <c r="F740" t="s">
        <v>15</v>
      </c>
      <c r="G740">
        <v>28278</v>
      </c>
      <c r="H740" t="s">
        <v>16</v>
      </c>
      <c r="I740">
        <v>137</v>
      </c>
      <c r="J740">
        <v>1</v>
      </c>
      <c r="K740" t="s">
        <v>8925</v>
      </c>
    </row>
    <row r="741" spans="1:11" x14ac:dyDescent="0.25">
      <c r="A741" t="s">
        <v>2647</v>
      </c>
      <c r="B741" t="s">
        <v>2648</v>
      </c>
      <c r="C741" t="s">
        <v>2649</v>
      </c>
      <c r="D741" t="s">
        <v>2650</v>
      </c>
      <c r="E741" t="s">
        <v>14</v>
      </c>
      <c r="F741" t="s">
        <v>15</v>
      </c>
      <c r="G741">
        <v>28227</v>
      </c>
      <c r="H741" t="s">
        <v>21</v>
      </c>
      <c r="I741">
        <v>13</v>
      </c>
      <c r="J741">
        <v>1</v>
      </c>
      <c r="K741" t="s">
        <v>8935</v>
      </c>
    </row>
    <row r="742" spans="1:11" x14ac:dyDescent="0.25">
      <c r="A742" t="s">
        <v>2651</v>
      </c>
      <c r="B742" t="s">
        <v>2652</v>
      </c>
      <c r="C742" t="s">
        <v>2653</v>
      </c>
      <c r="D742" t="s">
        <v>2654</v>
      </c>
      <c r="E742" t="s">
        <v>14</v>
      </c>
      <c r="F742" t="s">
        <v>15</v>
      </c>
      <c r="G742">
        <v>28277</v>
      </c>
      <c r="H742" t="s">
        <v>21</v>
      </c>
      <c r="I742">
        <v>5</v>
      </c>
      <c r="J742">
        <v>0</v>
      </c>
      <c r="K742" t="s">
        <v>8935</v>
      </c>
    </row>
    <row r="743" spans="1:11" x14ac:dyDescent="0.25">
      <c r="A743" t="s">
        <v>2655</v>
      </c>
      <c r="B743" t="s">
        <v>2656</v>
      </c>
      <c r="C743" t="s">
        <v>2657</v>
      </c>
      <c r="D743" t="s">
        <v>2658</v>
      </c>
      <c r="E743" t="s">
        <v>14</v>
      </c>
      <c r="F743" t="s">
        <v>15</v>
      </c>
      <c r="G743">
        <v>28209</v>
      </c>
      <c r="H743" t="s">
        <v>21</v>
      </c>
      <c r="I743">
        <v>50</v>
      </c>
      <c r="J743">
        <v>1</v>
      </c>
      <c r="K743" t="s">
        <v>8935</v>
      </c>
    </row>
    <row r="744" spans="1:11" x14ac:dyDescent="0.25">
      <c r="A744" t="s">
        <v>2659</v>
      </c>
      <c r="B744" t="s">
        <v>2660</v>
      </c>
      <c r="C744" t="s">
        <v>2661</v>
      </c>
      <c r="D744" t="s">
        <v>846</v>
      </c>
      <c r="E744" t="s">
        <v>14</v>
      </c>
      <c r="F744" t="s">
        <v>15</v>
      </c>
      <c r="G744">
        <v>28202</v>
      </c>
      <c r="H744" t="s">
        <v>16</v>
      </c>
      <c r="I744">
        <v>35</v>
      </c>
      <c r="J744">
        <v>0</v>
      </c>
      <c r="K744" t="s">
        <v>8935</v>
      </c>
    </row>
    <row r="745" spans="1:11" x14ac:dyDescent="0.25">
      <c r="A745" t="s">
        <v>2662</v>
      </c>
      <c r="B745" t="s">
        <v>2663</v>
      </c>
      <c r="C745" t="s">
        <v>2664</v>
      </c>
      <c r="D745" t="s">
        <v>2665</v>
      </c>
      <c r="E745" t="s">
        <v>14</v>
      </c>
      <c r="F745" t="s">
        <v>15</v>
      </c>
      <c r="G745">
        <v>28202</v>
      </c>
      <c r="H745" t="s">
        <v>26</v>
      </c>
      <c r="I745">
        <v>25</v>
      </c>
      <c r="J745">
        <v>1</v>
      </c>
      <c r="K745" t="s">
        <v>8935</v>
      </c>
    </row>
    <row r="746" spans="1:11" x14ac:dyDescent="0.25">
      <c r="A746" t="s">
        <v>2666</v>
      </c>
      <c r="B746" t="s">
        <v>2337</v>
      </c>
      <c r="C746" t="s">
        <v>2667</v>
      </c>
      <c r="D746" t="s">
        <v>2668</v>
      </c>
      <c r="E746" t="s">
        <v>14</v>
      </c>
      <c r="F746" t="s">
        <v>15</v>
      </c>
      <c r="G746">
        <v>28205</v>
      </c>
      <c r="H746" t="s">
        <v>39</v>
      </c>
      <c r="I746">
        <v>7</v>
      </c>
      <c r="J746">
        <v>0</v>
      </c>
      <c r="K746" t="s">
        <v>8927</v>
      </c>
    </row>
    <row r="747" spans="1:11" x14ac:dyDescent="0.25">
      <c r="A747" t="s">
        <v>2669</v>
      </c>
      <c r="B747" t="s">
        <v>840</v>
      </c>
      <c r="C747" t="s">
        <v>2670</v>
      </c>
      <c r="D747" t="s">
        <v>2671</v>
      </c>
      <c r="E747" t="s">
        <v>14</v>
      </c>
      <c r="F747" t="s">
        <v>15</v>
      </c>
      <c r="G747">
        <v>28205</v>
      </c>
      <c r="H747" t="s">
        <v>26</v>
      </c>
      <c r="I747">
        <v>10</v>
      </c>
      <c r="J747">
        <v>0</v>
      </c>
      <c r="K747" t="s">
        <v>8935</v>
      </c>
    </row>
    <row r="748" spans="1:11" x14ac:dyDescent="0.25">
      <c r="A748" t="s">
        <v>2672</v>
      </c>
      <c r="B748" t="s">
        <v>2673</v>
      </c>
      <c r="C748" t="s">
        <v>2674</v>
      </c>
      <c r="D748" t="s">
        <v>2675</v>
      </c>
      <c r="E748" t="s">
        <v>14</v>
      </c>
      <c r="F748" t="s">
        <v>15</v>
      </c>
      <c r="G748">
        <v>28277</v>
      </c>
      <c r="H748" t="s">
        <v>26</v>
      </c>
      <c r="I748">
        <v>32</v>
      </c>
      <c r="J748">
        <v>0</v>
      </c>
      <c r="K748" t="s">
        <v>8937</v>
      </c>
    </row>
    <row r="749" spans="1:11" x14ac:dyDescent="0.25">
      <c r="A749" t="s">
        <v>2676</v>
      </c>
      <c r="B749" t="s">
        <v>2677</v>
      </c>
      <c r="C749" t="s">
        <v>1116</v>
      </c>
      <c r="D749" t="s">
        <v>2678</v>
      </c>
      <c r="E749" t="s">
        <v>14</v>
      </c>
      <c r="F749" t="s">
        <v>15</v>
      </c>
      <c r="G749">
        <v>28270</v>
      </c>
      <c r="H749" t="s">
        <v>101</v>
      </c>
      <c r="I749">
        <v>78</v>
      </c>
      <c r="J749">
        <v>1</v>
      </c>
      <c r="K749" t="s">
        <v>8935</v>
      </c>
    </row>
    <row r="750" spans="1:11" x14ac:dyDescent="0.25">
      <c r="A750" t="s">
        <v>2679</v>
      </c>
      <c r="B750" t="s">
        <v>2680</v>
      </c>
      <c r="C750" t="s">
        <v>2681</v>
      </c>
      <c r="E750" t="s">
        <v>14</v>
      </c>
      <c r="F750" t="s">
        <v>15</v>
      </c>
      <c r="H750" t="s">
        <v>48</v>
      </c>
      <c r="I750">
        <v>6</v>
      </c>
      <c r="J750">
        <v>1</v>
      </c>
      <c r="K750" t="s">
        <v>8935</v>
      </c>
    </row>
    <row r="751" spans="1:11" x14ac:dyDescent="0.25">
      <c r="A751" t="s">
        <v>2682</v>
      </c>
      <c r="B751" t="s">
        <v>2683</v>
      </c>
      <c r="C751" t="s">
        <v>2684</v>
      </c>
      <c r="D751" t="s">
        <v>2685</v>
      </c>
      <c r="E751" t="s">
        <v>14</v>
      </c>
      <c r="F751" t="s">
        <v>15</v>
      </c>
      <c r="G751">
        <v>28206</v>
      </c>
      <c r="H751" t="s">
        <v>48</v>
      </c>
      <c r="I751">
        <v>49</v>
      </c>
      <c r="J751">
        <v>0</v>
      </c>
      <c r="K751" t="s">
        <v>8925</v>
      </c>
    </row>
    <row r="752" spans="1:11" x14ac:dyDescent="0.25">
      <c r="A752" t="s">
        <v>2686</v>
      </c>
      <c r="B752" t="s">
        <v>279</v>
      </c>
      <c r="C752" t="s">
        <v>2687</v>
      </c>
      <c r="D752" t="s">
        <v>2688</v>
      </c>
      <c r="E752" t="s">
        <v>14</v>
      </c>
      <c r="F752" t="s">
        <v>15</v>
      </c>
      <c r="G752">
        <v>28205</v>
      </c>
      <c r="H752" t="s">
        <v>48</v>
      </c>
      <c r="I752">
        <v>30</v>
      </c>
      <c r="J752">
        <v>1</v>
      </c>
      <c r="K752" t="s">
        <v>8926</v>
      </c>
    </row>
    <row r="753" spans="1:11" x14ac:dyDescent="0.25">
      <c r="A753" t="s">
        <v>2689</v>
      </c>
      <c r="B753" t="s">
        <v>2690</v>
      </c>
      <c r="C753" t="s">
        <v>2691</v>
      </c>
      <c r="D753" t="s">
        <v>2692</v>
      </c>
      <c r="E753" t="s">
        <v>14</v>
      </c>
      <c r="F753" t="s">
        <v>15</v>
      </c>
      <c r="G753">
        <v>28269</v>
      </c>
      <c r="H753" t="s">
        <v>48</v>
      </c>
      <c r="I753">
        <v>7</v>
      </c>
      <c r="J753">
        <v>0</v>
      </c>
      <c r="K753" t="s">
        <v>8925</v>
      </c>
    </row>
    <row r="754" spans="1:11" x14ac:dyDescent="0.25">
      <c r="A754" t="s">
        <v>2693</v>
      </c>
      <c r="B754" t="s">
        <v>691</v>
      </c>
      <c r="C754" t="s">
        <v>2694</v>
      </c>
      <c r="D754" t="s">
        <v>2695</v>
      </c>
      <c r="E754" t="s">
        <v>14</v>
      </c>
      <c r="F754" t="s">
        <v>15</v>
      </c>
      <c r="G754">
        <v>28204</v>
      </c>
      <c r="H754" t="s">
        <v>48</v>
      </c>
      <c r="I754">
        <v>7</v>
      </c>
      <c r="J754">
        <v>1</v>
      </c>
      <c r="K754" t="s">
        <v>8935</v>
      </c>
    </row>
    <row r="755" spans="1:11" x14ac:dyDescent="0.25">
      <c r="A755" t="s">
        <v>2696</v>
      </c>
      <c r="B755" t="s">
        <v>2697</v>
      </c>
      <c r="C755" t="s">
        <v>2698</v>
      </c>
      <c r="D755" t="s">
        <v>2699</v>
      </c>
      <c r="E755" t="s">
        <v>14</v>
      </c>
      <c r="F755" t="s">
        <v>15</v>
      </c>
      <c r="G755">
        <v>28209</v>
      </c>
      <c r="H755" t="s">
        <v>16</v>
      </c>
      <c r="I755">
        <v>231</v>
      </c>
      <c r="J755">
        <v>1</v>
      </c>
      <c r="K755" t="s">
        <v>8935</v>
      </c>
    </row>
    <row r="756" spans="1:11" x14ac:dyDescent="0.25">
      <c r="A756" t="s">
        <v>2700</v>
      </c>
      <c r="B756" t="s">
        <v>2701</v>
      </c>
      <c r="C756" t="s">
        <v>2702</v>
      </c>
      <c r="D756" t="s">
        <v>2703</v>
      </c>
      <c r="E756" t="s">
        <v>14</v>
      </c>
      <c r="F756" t="s">
        <v>15</v>
      </c>
      <c r="G756">
        <v>28210</v>
      </c>
      <c r="H756" t="s">
        <v>16</v>
      </c>
      <c r="I756">
        <v>346</v>
      </c>
      <c r="J756">
        <v>0</v>
      </c>
      <c r="K756" t="s">
        <v>8924</v>
      </c>
    </row>
    <row r="757" spans="1:11" x14ac:dyDescent="0.25">
      <c r="A757" t="s">
        <v>2704</v>
      </c>
      <c r="B757" t="s">
        <v>2705</v>
      </c>
      <c r="C757" t="s">
        <v>2706</v>
      </c>
      <c r="D757" t="s">
        <v>84</v>
      </c>
      <c r="E757" t="s">
        <v>14</v>
      </c>
      <c r="F757" t="s">
        <v>15</v>
      </c>
      <c r="G757">
        <v>28208</v>
      </c>
      <c r="H757" t="s">
        <v>101</v>
      </c>
      <c r="I757">
        <v>58</v>
      </c>
      <c r="J757">
        <v>1</v>
      </c>
      <c r="K757" t="s">
        <v>8921</v>
      </c>
    </row>
    <row r="758" spans="1:11" x14ac:dyDescent="0.25">
      <c r="A758" t="s">
        <v>2707</v>
      </c>
      <c r="B758" t="s">
        <v>2708</v>
      </c>
      <c r="C758" t="s">
        <v>2709</v>
      </c>
      <c r="D758" t="s">
        <v>2710</v>
      </c>
      <c r="E758" t="s">
        <v>14</v>
      </c>
      <c r="F758" t="s">
        <v>15</v>
      </c>
      <c r="G758">
        <v>28205</v>
      </c>
      <c r="H758" t="s">
        <v>21</v>
      </c>
      <c r="I758">
        <v>58</v>
      </c>
      <c r="J758">
        <v>1</v>
      </c>
      <c r="K758" t="s">
        <v>8925</v>
      </c>
    </row>
    <row r="759" spans="1:11" x14ac:dyDescent="0.25">
      <c r="A759" t="s">
        <v>2711</v>
      </c>
      <c r="B759" t="s">
        <v>2712</v>
      </c>
      <c r="C759" t="s">
        <v>735</v>
      </c>
      <c r="D759" t="s">
        <v>2713</v>
      </c>
      <c r="E759" t="s">
        <v>14</v>
      </c>
      <c r="F759" t="s">
        <v>15</v>
      </c>
      <c r="G759">
        <v>28280</v>
      </c>
      <c r="H759" t="s">
        <v>16</v>
      </c>
      <c r="I759">
        <v>41</v>
      </c>
      <c r="J759">
        <v>1</v>
      </c>
      <c r="K759" t="s">
        <v>8935</v>
      </c>
    </row>
    <row r="760" spans="1:11" x14ac:dyDescent="0.25">
      <c r="A760" t="s">
        <v>2714</v>
      </c>
      <c r="B760" t="s">
        <v>2715</v>
      </c>
      <c r="C760" t="s">
        <v>2716</v>
      </c>
      <c r="D760" t="s">
        <v>2717</v>
      </c>
      <c r="E760" t="s">
        <v>14</v>
      </c>
      <c r="F760" t="s">
        <v>15</v>
      </c>
      <c r="G760">
        <v>28211</v>
      </c>
      <c r="H760" t="s">
        <v>26</v>
      </c>
      <c r="I760">
        <v>8</v>
      </c>
      <c r="J760">
        <v>0</v>
      </c>
      <c r="K760" t="s">
        <v>8935</v>
      </c>
    </row>
    <row r="761" spans="1:11" x14ac:dyDescent="0.25">
      <c r="A761" t="s">
        <v>2718</v>
      </c>
      <c r="B761" t="s">
        <v>2719</v>
      </c>
      <c r="C761" t="s">
        <v>2720</v>
      </c>
      <c r="D761" t="s">
        <v>1670</v>
      </c>
      <c r="E761" t="s">
        <v>14</v>
      </c>
      <c r="F761" t="s">
        <v>15</v>
      </c>
      <c r="G761">
        <v>28203</v>
      </c>
      <c r="H761" t="s">
        <v>21</v>
      </c>
      <c r="I761">
        <v>211</v>
      </c>
      <c r="J761">
        <v>0</v>
      </c>
      <c r="K761" t="s">
        <v>8935</v>
      </c>
    </row>
    <row r="762" spans="1:11" x14ac:dyDescent="0.25">
      <c r="A762" t="s">
        <v>2721</v>
      </c>
      <c r="B762" t="s">
        <v>2722</v>
      </c>
      <c r="C762" t="s">
        <v>2723</v>
      </c>
      <c r="D762" t="s">
        <v>2724</v>
      </c>
      <c r="E762" t="s">
        <v>14</v>
      </c>
      <c r="F762" t="s">
        <v>15</v>
      </c>
      <c r="G762">
        <v>28262</v>
      </c>
      <c r="H762" t="s">
        <v>16</v>
      </c>
      <c r="I762">
        <v>67</v>
      </c>
      <c r="J762">
        <v>1</v>
      </c>
      <c r="K762" t="s">
        <v>8935</v>
      </c>
    </row>
    <row r="763" spans="1:11" x14ac:dyDescent="0.25">
      <c r="A763" t="s">
        <v>2725</v>
      </c>
      <c r="B763" t="s">
        <v>2726</v>
      </c>
      <c r="C763" t="s">
        <v>2727</v>
      </c>
      <c r="D763" t="s">
        <v>2728</v>
      </c>
      <c r="E763" t="s">
        <v>14</v>
      </c>
      <c r="F763" t="s">
        <v>15</v>
      </c>
      <c r="G763">
        <v>28227</v>
      </c>
      <c r="H763" t="s">
        <v>39</v>
      </c>
      <c r="I763">
        <v>6</v>
      </c>
      <c r="J763">
        <v>1</v>
      </c>
      <c r="K763" t="s">
        <v>8925</v>
      </c>
    </row>
    <row r="764" spans="1:11" x14ac:dyDescent="0.25">
      <c r="A764" t="s">
        <v>2729</v>
      </c>
      <c r="B764" t="s">
        <v>2730</v>
      </c>
      <c r="C764" t="s">
        <v>2731</v>
      </c>
      <c r="D764" t="s">
        <v>2732</v>
      </c>
      <c r="E764" t="s">
        <v>14</v>
      </c>
      <c r="F764" t="s">
        <v>15</v>
      </c>
      <c r="G764">
        <v>28213</v>
      </c>
      <c r="H764" t="s">
        <v>195</v>
      </c>
      <c r="I764">
        <v>6</v>
      </c>
      <c r="J764">
        <v>1</v>
      </c>
      <c r="K764" t="s">
        <v>8926</v>
      </c>
    </row>
    <row r="765" spans="1:11" x14ac:dyDescent="0.25">
      <c r="A765" t="s">
        <v>2733</v>
      </c>
      <c r="B765" t="s">
        <v>2734</v>
      </c>
      <c r="C765" t="s">
        <v>2735</v>
      </c>
      <c r="D765" t="s">
        <v>2736</v>
      </c>
      <c r="E765" t="s">
        <v>14</v>
      </c>
      <c r="F765" t="s">
        <v>15</v>
      </c>
      <c r="G765">
        <v>28216</v>
      </c>
      <c r="H765" t="s">
        <v>16</v>
      </c>
      <c r="I765">
        <v>14</v>
      </c>
      <c r="J765">
        <v>1</v>
      </c>
      <c r="K765" t="s">
        <v>8935</v>
      </c>
    </row>
    <row r="766" spans="1:11" x14ac:dyDescent="0.25">
      <c r="A766" t="s">
        <v>2737</v>
      </c>
      <c r="B766" t="s">
        <v>2738</v>
      </c>
      <c r="C766" t="s">
        <v>2739</v>
      </c>
      <c r="D766" t="s">
        <v>2740</v>
      </c>
      <c r="E766" t="s">
        <v>14</v>
      </c>
      <c r="F766" t="s">
        <v>15</v>
      </c>
      <c r="G766">
        <v>28202</v>
      </c>
      <c r="H766" t="s">
        <v>21</v>
      </c>
      <c r="I766">
        <v>68</v>
      </c>
      <c r="J766">
        <v>1</v>
      </c>
      <c r="K766" t="s">
        <v>8935</v>
      </c>
    </row>
    <row r="767" spans="1:11" x14ac:dyDescent="0.25">
      <c r="A767" t="s">
        <v>2741</v>
      </c>
      <c r="B767" t="s">
        <v>2742</v>
      </c>
      <c r="C767" t="s">
        <v>59</v>
      </c>
      <c r="D767" t="s">
        <v>2743</v>
      </c>
      <c r="E767" t="s">
        <v>14</v>
      </c>
      <c r="F767" t="s">
        <v>15</v>
      </c>
      <c r="G767">
        <v>28215</v>
      </c>
      <c r="H767" t="s">
        <v>16</v>
      </c>
      <c r="I767">
        <v>3</v>
      </c>
      <c r="J767">
        <v>1</v>
      </c>
      <c r="K767" t="s">
        <v>8935</v>
      </c>
    </row>
    <row r="768" spans="1:11" x14ac:dyDescent="0.25">
      <c r="A768" t="s">
        <v>2744</v>
      </c>
      <c r="B768" t="s">
        <v>2745</v>
      </c>
      <c r="C768" t="s">
        <v>2723</v>
      </c>
      <c r="D768" t="s">
        <v>2746</v>
      </c>
      <c r="E768" t="s">
        <v>14</v>
      </c>
      <c r="F768" t="s">
        <v>15</v>
      </c>
      <c r="G768">
        <v>28262</v>
      </c>
      <c r="H768" t="s">
        <v>48</v>
      </c>
      <c r="I768">
        <v>13</v>
      </c>
      <c r="J768">
        <v>1</v>
      </c>
      <c r="K768" t="s">
        <v>8935</v>
      </c>
    </row>
    <row r="769" spans="1:11" x14ac:dyDescent="0.25">
      <c r="A769" t="s">
        <v>2747</v>
      </c>
      <c r="B769" t="s">
        <v>2748</v>
      </c>
      <c r="C769" t="s">
        <v>2749</v>
      </c>
      <c r="D769" t="s">
        <v>1372</v>
      </c>
      <c r="E769" t="s">
        <v>14</v>
      </c>
      <c r="F769" t="s">
        <v>15</v>
      </c>
      <c r="G769">
        <v>28273</v>
      </c>
      <c r="H769" t="s">
        <v>26</v>
      </c>
      <c r="I769">
        <v>10</v>
      </c>
      <c r="J769">
        <v>0</v>
      </c>
      <c r="K769" t="s">
        <v>8935</v>
      </c>
    </row>
    <row r="770" spans="1:11" x14ac:dyDescent="0.25">
      <c r="A770" t="s">
        <v>2750</v>
      </c>
      <c r="B770" t="s">
        <v>139</v>
      </c>
      <c r="C770" t="s">
        <v>2751</v>
      </c>
      <c r="D770" t="s">
        <v>2752</v>
      </c>
      <c r="E770" t="s">
        <v>14</v>
      </c>
      <c r="F770" t="s">
        <v>15</v>
      </c>
      <c r="G770">
        <v>28208</v>
      </c>
      <c r="H770" t="s">
        <v>48</v>
      </c>
      <c r="I770">
        <v>11</v>
      </c>
      <c r="J770">
        <v>1</v>
      </c>
      <c r="K770" t="s">
        <v>8926</v>
      </c>
    </row>
    <row r="771" spans="1:11" x14ac:dyDescent="0.25">
      <c r="A771" t="s">
        <v>2753</v>
      </c>
      <c r="B771" t="s">
        <v>2648</v>
      </c>
      <c r="C771" t="s">
        <v>2754</v>
      </c>
      <c r="D771" t="s">
        <v>2755</v>
      </c>
      <c r="E771" t="s">
        <v>14</v>
      </c>
      <c r="F771" t="s">
        <v>15</v>
      </c>
      <c r="G771">
        <v>28277</v>
      </c>
      <c r="H771" t="s">
        <v>195</v>
      </c>
      <c r="I771">
        <v>4</v>
      </c>
      <c r="J771">
        <v>0</v>
      </c>
      <c r="K771" t="s">
        <v>8935</v>
      </c>
    </row>
    <row r="772" spans="1:11" x14ac:dyDescent="0.25">
      <c r="A772" t="s">
        <v>2756</v>
      </c>
      <c r="B772" t="s">
        <v>2757</v>
      </c>
      <c r="C772" t="s">
        <v>364</v>
      </c>
      <c r="D772" t="s">
        <v>2758</v>
      </c>
      <c r="E772" t="s">
        <v>14</v>
      </c>
      <c r="F772" t="s">
        <v>15</v>
      </c>
      <c r="G772">
        <v>28204</v>
      </c>
      <c r="H772" t="s">
        <v>21</v>
      </c>
      <c r="I772">
        <v>18</v>
      </c>
      <c r="J772">
        <v>1</v>
      </c>
      <c r="K772" t="s">
        <v>8935</v>
      </c>
    </row>
    <row r="773" spans="1:11" x14ac:dyDescent="0.25">
      <c r="A773" t="s">
        <v>2759</v>
      </c>
      <c r="B773" t="s">
        <v>895</v>
      </c>
      <c r="C773" t="s">
        <v>2760</v>
      </c>
      <c r="D773" t="s">
        <v>2761</v>
      </c>
      <c r="E773" t="s">
        <v>14</v>
      </c>
      <c r="F773" t="s">
        <v>15</v>
      </c>
      <c r="G773">
        <v>28206</v>
      </c>
      <c r="H773" t="s">
        <v>39</v>
      </c>
      <c r="I773">
        <v>38</v>
      </c>
      <c r="J773">
        <v>1</v>
      </c>
      <c r="K773" t="s">
        <v>8935</v>
      </c>
    </row>
    <row r="774" spans="1:11" x14ac:dyDescent="0.25">
      <c r="A774" t="s">
        <v>2762</v>
      </c>
      <c r="B774" t="s">
        <v>1199</v>
      </c>
      <c r="C774" t="s">
        <v>415</v>
      </c>
      <c r="D774" t="s">
        <v>2763</v>
      </c>
      <c r="E774" t="s">
        <v>14</v>
      </c>
      <c r="F774" t="s">
        <v>15</v>
      </c>
      <c r="G774">
        <v>28278</v>
      </c>
      <c r="H774" t="s">
        <v>21</v>
      </c>
      <c r="I774">
        <v>9</v>
      </c>
      <c r="J774">
        <v>1</v>
      </c>
      <c r="K774" t="s">
        <v>8935</v>
      </c>
    </row>
    <row r="775" spans="1:11" x14ac:dyDescent="0.25">
      <c r="A775" t="s">
        <v>2764</v>
      </c>
      <c r="B775" t="s">
        <v>2765</v>
      </c>
      <c r="C775" t="s">
        <v>505</v>
      </c>
      <c r="D775" t="s">
        <v>2766</v>
      </c>
      <c r="E775" t="s">
        <v>14</v>
      </c>
      <c r="F775" t="s">
        <v>15</v>
      </c>
      <c r="G775">
        <v>28203</v>
      </c>
      <c r="H775" t="s">
        <v>21</v>
      </c>
      <c r="I775">
        <v>89</v>
      </c>
      <c r="J775">
        <v>1</v>
      </c>
      <c r="K775" t="s">
        <v>8935</v>
      </c>
    </row>
    <row r="776" spans="1:11" x14ac:dyDescent="0.25">
      <c r="A776" t="s">
        <v>2767</v>
      </c>
      <c r="B776" t="s">
        <v>1686</v>
      </c>
      <c r="C776" t="s">
        <v>309</v>
      </c>
      <c r="D776" t="s">
        <v>2768</v>
      </c>
      <c r="E776" t="s">
        <v>14</v>
      </c>
      <c r="F776" t="s">
        <v>15</v>
      </c>
      <c r="G776">
        <v>28262</v>
      </c>
      <c r="H776" t="s">
        <v>16</v>
      </c>
      <c r="I776">
        <v>114</v>
      </c>
      <c r="J776">
        <v>1</v>
      </c>
      <c r="K776" t="s">
        <v>8935</v>
      </c>
    </row>
    <row r="777" spans="1:11" x14ac:dyDescent="0.25">
      <c r="A777" t="s">
        <v>2769</v>
      </c>
      <c r="B777" t="s">
        <v>2770</v>
      </c>
      <c r="C777" t="s">
        <v>2771</v>
      </c>
      <c r="D777" t="s">
        <v>2772</v>
      </c>
      <c r="E777" t="s">
        <v>14</v>
      </c>
      <c r="F777" t="s">
        <v>15</v>
      </c>
      <c r="G777">
        <v>28203</v>
      </c>
      <c r="H777" t="s">
        <v>39</v>
      </c>
      <c r="I777">
        <v>38</v>
      </c>
      <c r="J777">
        <v>1</v>
      </c>
      <c r="K777" t="s">
        <v>8935</v>
      </c>
    </row>
    <row r="778" spans="1:11" x14ac:dyDescent="0.25">
      <c r="A778" t="s">
        <v>2773</v>
      </c>
      <c r="B778" t="s">
        <v>2774</v>
      </c>
      <c r="C778" t="s">
        <v>2775</v>
      </c>
      <c r="D778" t="s">
        <v>2776</v>
      </c>
      <c r="E778" t="s">
        <v>14</v>
      </c>
      <c r="F778" t="s">
        <v>15</v>
      </c>
      <c r="G778">
        <v>28203</v>
      </c>
      <c r="H778" t="s">
        <v>26</v>
      </c>
      <c r="I778">
        <v>8</v>
      </c>
      <c r="J778">
        <v>1</v>
      </c>
      <c r="K778" t="s">
        <v>8920</v>
      </c>
    </row>
    <row r="779" spans="1:11" x14ac:dyDescent="0.25">
      <c r="A779" t="s">
        <v>2777</v>
      </c>
      <c r="B779" t="s">
        <v>2778</v>
      </c>
      <c r="C779" t="s">
        <v>2779</v>
      </c>
      <c r="D779" t="s">
        <v>2780</v>
      </c>
      <c r="E779" t="s">
        <v>14</v>
      </c>
      <c r="F779" t="s">
        <v>15</v>
      </c>
      <c r="G779">
        <v>28205</v>
      </c>
      <c r="H779" t="s">
        <v>39</v>
      </c>
      <c r="I779">
        <v>49</v>
      </c>
      <c r="J779">
        <v>1</v>
      </c>
      <c r="K779" t="s">
        <v>8923</v>
      </c>
    </row>
    <row r="780" spans="1:11" x14ac:dyDescent="0.25">
      <c r="A780" t="s">
        <v>2781</v>
      </c>
      <c r="B780" t="s">
        <v>2782</v>
      </c>
      <c r="C780" t="s">
        <v>2783</v>
      </c>
      <c r="D780" t="s">
        <v>2784</v>
      </c>
      <c r="E780" t="s">
        <v>14</v>
      </c>
      <c r="F780" t="s">
        <v>15</v>
      </c>
      <c r="G780">
        <v>28215</v>
      </c>
      <c r="H780" t="s">
        <v>39</v>
      </c>
      <c r="I780">
        <v>3</v>
      </c>
      <c r="J780">
        <v>0</v>
      </c>
      <c r="K780" t="s">
        <v>8935</v>
      </c>
    </row>
    <row r="781" spans="1:11" x14ac:dyDescent="0.25">
      <c r="A781" t="s">
        <v>2785</v>
      </c>
      <c r="B781" t="s">
        <v>2786</v>
      </c>
      <c r="C781" t="s">
        <v>2787</v>
      </c>
      <c r="D781" t="s">
        <v>2788</v>
      </c>
      <c r="E781" t="s">
        <v>14</v>
      </c>
      <c r="F781" t="s">
        <v>15</v>
      </c>
      <c r="G781">
        <v>28212</v>
      </c>
      <c r="H781" t="s">
        <v>101</v>
      </c>
      <c r="I781">
        <v>3</v>
      </c>
      <c r="J781">
        <v>1</v>
      </c>
      <c r="K781" t="s">
        <v>8920</v>
      </c>
    </row>
    <row r="782" spans="1:11" x14ac:dyDescent="0.25">
      <c r="A782" t="s">
        <v>2789</v>
      </c>
      <c r="B782" t="s">
        <v>2790</v>
      </c>
      <c r="C782" t="s">
        <v>2791</v>
      </c>
      <c r="D782" t="s">
        <v>1523</v>
      </c>
      <c r="E782" t="s">
        <v>14</v>
      </c>
      <c r="F782" t="s">
        <v>15</v>
      </c>
      <c r="G782">
        <v>28211</v>
      </c>
      <c r="H782" t="s">
        <v>16</v>
      </c>
      <c r="I782">
        <v>13</v>
      </c>
      <c r="J782">
        <v>1</v>
      </c>
      <c r="K782" t="s">
        <v>8935</v>
      </c>
    </row>
    <row r="783" spans="1:11" x14ac:dyDescent="0.25">
      <c r="A783" t="s">
        <v>2792</v>
      </c>
      <c r="B783" t="s">
        <v>228</v>
      </c>
      <c r="C783" t="s">
        <v>2793</v>
      </c>
      <c r="D783" t="s">
        <v>2794</v>
      </c>
      <c r="E783" t="s">
        <v>14</v>
      </c>
      <c r="F783" t="s">
        <v>15</v>
      </c>
      <c r="G783">
        <v>28209</v>
      </c>
      <c r="H783" t="s">
        <v>21</v>
      </c>
      <c r="I783">
        <v>25</v>
      </c>
      <c r="J783">
        <v>0</v>
      </c>
      <c r="K783" t="s">
        <v>8935</v>
      </c>
    </row>
    <row r="784" spans="1:11" x14ac:dyDescent="0.25">
      <c r="A784" t="s">
        <v>2795</v>
      </c>
      <c r="B784" t="s">
        <v>2796</v>
      </c>
      <c r="C784" t="s">
        <v>2797</v>
      </c>
      <c r="D784" t="s">
        <v>2798</v>
      </c>
      <c r="E784" t="s">
        <v>14</v>
      </c>
      <c r="F784" t="s">
        <v>15</v>
      </c>
      <c r="G784">
        <v>28216</v>
      </c>
      <c r="H784" t="s">
        <v>48</v>
      </c>
      <c r="I784">
        <v>3</v>
      </c>
      <c r="J784">
        <v>1</v>
      </c>
      <c r="K784" t="s">
        <v>8935</v>
      </c>
    </row>
    <row r="785" spans="1:11" x14ac:dyDescent="0.25">
      <c r="A785" t="s">
        <v>2799</v>
      </c>
      <c r="B785" t="s">
        <v>2800</v>
      </c>
      <c r="C785" t="s">
        <v>467</v>
      </c>
      <c r="D785" t="s">
        <v>2801</v>
      </c>
      <c r="E785" t="s">
        <v>14</v>
      </c>
      <c r="F785" t="s">
        <v>15</v>
      </c>
      <c r="G785">
        <v>28273</v>
      </c>
      <c r="H785" t="s">
        <v>26</v>
      </c>
      <c r="I785">
        <v>14</v>
      </c>
      <c r="J785">
        <v>1</v>
      </c>
      <c r="K785" t="s">
        <v>8935</v>
      </c>
    </row>
    <row r="786" spans="1:11" x14ac:dyDescent="0.25">
      <c r="A786" t="e">
        <f>-_nz_8EPGQKKTd8loQDgXQ</f>
        <v>#NAME?</v>
      </c>
      <c r="B786" t="s">
        <v>2802</v>
      </c>
      <c r="C786" t="s">
        <v>715</v>
      </c>
      <c r="D786" t="s">
        <v>2803</v>
      </c>
      <c r="E786" t="s">
        <v>14</v>
      </c>
      <c r="F786" t="s">
        <v>15</v>
      </c>
      <c r="G786">
        <v>28262</v>
      </c>
      <c r="H786" t="s">
        <v>21</v>
      </c>
      <c r="I786">
        <v>30</v>
      </c>
      <c r="J786">
        <v>1</v>
      </c>
      <c r="K786" t="s">
        <v>8925</v>
      </c>
    </row>
    <row r="787" spans="1:11" x14ac:dyDescent="0.25">
      <c r="A787" t="s">
        <v>2804</v>
      </c>
      <c r="B787" t="s">
        <v>2805</v>
      </c>
      <c r="C787" t="s">
        <v>2806</v>
      </c>
      <c r="D787" t="s">
        <v>2807</v>
      </c>
      <c r="E787" t="s">
        <v>14</v>
      </c>
      <c r="F787" t="s">
        <v>15</v>
      </c>
      <c r="G787">
        <v>28204</v>
      </c>
      <c r="H787" t="s">
        <v>21</v>
      </c>
      <c r="I787">
        <v>3</v>
      </c>
      <c r="J787">
        <v>1</v>
      </c>
      <c r="K787" t="s">
        <v>8935</v>
      </c>
    </row>
    <row r="788" spans="1:11" x14ac:dyDescent="0.25">
      <c r="A788" t="s">
        <v>2808</v>
      </c>
      <c r="B788" t="s">
        <v>2809</v>
      </c>
      <c r="C788" t="s">
        <v>2810</v>
      </c>
      <c r="D788" t="s">
        <v>2811</v>
      </c>
      <c r="E788" t="s">
        <v>14</v>
      </c>
      <c r="F788" t="s">
        <v>15</v>
      </c>
      <c r="G788">
        <v>28214</v>
      </c>
      <c r="H788" t="s">
        <v>16</v>
      </c>
      <c r="I788">
        <v>44</v>
      </c>
      <c r="J788">
        <v>1</v>
      </c>
      <c r="K788" t="s">
        <v>8935</v>
      </c>
    </row>
    <row r="789" spans="1:11" x14ac:dyDescent="0.25">
      <c r="A789" t="s">
        <v>2812</v>
      </c>
      <c r="B789" t="s">
        <v>2813</v>
      </c>
      <c r="C789" t="s">
        <v>2814</v>
      </c>
      <c r="D789" t="s">
        <v>2815</v>
      </c>
      <c r="E789" t="s">
        <v>14</v>
      </c>
      <c r="F789" t="s">
        <v>15</v>
      </c>
      <c r="G789">
        <v>28205</v>
      </c>
      <c r="H789" t="s">
        <v>16</v>
      </c>
      <c r="I789">
        <v>10</v>
      </c>
      <c r="J789">
        <v>1</v>
      </c>
      <c r="K789" t="s">
        <v>8929</v>
      </c>
    </row>
    <row r="790" spans="1:11" x14ac:dyDescent="0.25">
      <c r="A790" t="s">
        <v>2816</v>
      </c>
      <c r="B790" t="s">
        <v>2817</v>
      </c>
      <c r="C790" t="s">
        <v>2818</v>
      </c>
      <c r="D790" t="s">
        <v>2819</v>
      </c>
      <c r="E790" t="s">
        <v>14</v>
      </c>
      <c r="F790" t="s">
        <v>15</v>
      </c>
      <c r="G790">
        <v>28213</v>
      </c>
      <c r="H790" t="s">
        <v>16</v>
      </c>
      <c r="I790">
        <v>20</v>
      </c>
      <c r="J790">
        <v>1</v>
      </c>
      <c r="K790" t="s">
        <v>8925</v>
      </c>
    </row>
    <row r="791" spans="1:11" x14ac:dyDescent="0.25">
      <c r="A791" t="s">
        <v>2820</v>
      </c>
      <c r="B791" t="s">
        <v>2821</v>
      </c>
      <c r="C791" t="s">
        <v>364</v>
      </c>
      <c r="D791" t="s">
        <v>2822</v>
      </c>
      <c r="E791" t="s">
        <v>14</v>
      </c>
      <c r="F791" t="s">
        <v>15</v>
      </c>
      <c r="G791">
        <v>28205</v>
      </c>
      <c r="H791" t="s">
        <v>21</v>
      </c>
      <c r="I791">
        <v>4</v>
      </c>
      <c r="J791">
        <v>1</v>
      </c>
      <c r="K791" t="s">
        <v>8935</v>
      </c>
    </row>
    <row r="792" spans="1:11" x14ac:dyDescent="0.25">
      <c r="A792" t="s">
        <v>2823</v>
      </c>
      <c r="B792" t="s">
        <v>2824</v>
      </c>
      <c r="C792" t="s">
        <v>2825</v>
      </c>
      <c r="D792" t="s">
        <v>2826</v>
      </c>
      <c r="E792" t="s">
        <v>14</v>
      </c>
      <c r="F792" t="s">
        <v>15</v>
      </c>
      <c r="G792">
        <v>28205</v>
      </c>
      <c r="H792" t="s">
        <v>21</v>
      </c>
      <c r="I792">
        <v>357</v>
      </c>
      <c r="J792">
        <v>1</v>
      </c>
      <c r="K792" t="s">
        <v>8935</v>
      </c>
    </row>
    <row r="793" spans="1:11" x14ac:dyDescent="0.25">
      <c r="A793" t="s">
        <v>2827</v>
      </c>
      <c r="B793" t="s">
        <v>312</v>
      </c>
      <c r="C793" t="s">
        <v>2828</v>
      </c>
      <c r="D793" t="s">
        <v>2829</v>
      </c>
      <c r="E793" t="s">
        <v>14</v>
      </c>
      <c r="F793" t="s">
        <v>15</v>
      </c>
      <c r="G793">
        <v>28204</v>
      </c>
      <c r="H793" t="s">
        <v>21</v>
      </c>
      <c r="I793">
        <v>96</v>
      </c>
      <c r="J793">
        <v>1</v>
      </c>
      <c r="K793" t="s">
        <v>8925</v>
      </c>
    </row>
    <row r="794" spans="1:11" x14ac:dyDescent="0.25">
      <c r="A794" t="s">
        <v>2830</v>
      </c>
      <c r="B794" t="s">
        <v>2831</v>
      </c>
      <c r="C794" t="s">
        <v>2832</v>
      </c>
      <c r="D794" t="s">
        <v>2833</v>
      </c>
      <c r="E794" t="s">
        <v>14</v>
      </c>
      <c r="F794" t="s">
        <v>15</v>
      </c>
      <c r="G794">
        <v>28277</v>
      </c>
      <c r="H794" t="s">
        <v>21</v>
      </c>
      <c r="I794">
        <v>137</v>
      </c>
      <c r="J794">
        <v>1</v>
      </c>
      <c r="K794" t="s">
        <v>8923</v>
      </c>
    </row>
    <row r="795" spans="1:11" x14ac:dyDescent="0.25">
      <c r="A795" t="s">
        <v>2834</v>
      </c>
      <c r="B795" t="s">
        <v>2835</v>
      </c>
      <c r="C795" t="s">
        <v>2836</v>
      </c>
      <c r="D795" t="s">
        <v>2837</v>
      </c>
      <c r="E795" t="s">
        <v>14</v>
      </c>
      <c r="F795" t="s">
        <v>15</v>
      </c>
      <c r="G795">
        <v>28262</v>
      </c>
      <c r="H795" t="s">
        <v>26</v>
      </c>
      <c r="I795">
        <v>4</v>
      </c>
      <c r="J795">
        <v>0</v>
      </c>
      <c r="K795" t="s">
        <v>8935</v>
      </c>
    </row>
    <row r="796" spans="1:11" x14ac:dyDescent="0.25">
      <c r="A796" t="s">
        <v>2838</v>
      </c>
      <c r="B796" t="s">
        <v>2839</v>
      </c>
      <c r="C796" t="s">
        <v>2840</v>
      </c>
      <c r="E796" t="s">
        <v>14</v>
      </c>
      <c r="F796" t="s">
        <v>15</v>
      </c>
      <c r="G796">
        <v>28203</v>
      </c>
      <c r="H796" t="s">
        <v>146</v>
      </c>
      <c r="I796">
        <v>5</v>
      </c>
      <c r="J796">
        <v>1</v>
      </c>
      <c r="K796" t="s">
        <v>8935</v>
      </c>
    </row>
    <row r="797" spans="1:11" x14ac:dyDescent="0.25">
      <c r="A797" t="s">
        <v>2841</v>
      </c>
      <c r="B797" t="s">
        <v>2842</v>
      </c>
      <c r="C797" t="s">
        <v>2843</v>
      </c>
      <c r="D797" t="s">
        <v>2844</v>
      </c>
      <c r="E797" t="s">
        <v>14</v>
      </c>
      <c r="F797" t="s">
        <v>15</v>
      </c>
      <c r="G797">
        <v>28277</v>
      </c>
      <c r="H797" t="s">
        <v>48</v>
      </c>
      <c r="I797">
        <v>44</v>
      </c>
      <c r="J797">
        <v>1</v>
      </c>
      <c r="K797" t="s">
        <v>8926</v>
      </c>
    </row>
    <row r="798" spans="1:11" x14ac:dyDescent="0.25">
      <c r="A798" t="s">
        <v>2845</v>
      </c>
      <c r="B798" t="s">
        <v>2846</v>
      </c>
      <c r="C798" t="s">
        <v>2847</v>
      </c>
      <c r="D798" t="s">
        <v>2848</v>
      </c>
      <c r="E798" t="s">
        <v>14</v>
      </c>
      <c r="F798" t="s">
        <v>15</v>
      </c>
      <c r="G798">
        <v>28226</v>
      </c>
      <c r="H798" t="s">
        <v>26</v>
      </c>
      <c r="I798">
        <v>47</v>
      </c>
      <c r="J798">
        <v>1</v>
      </c>
      <c r="K798" t="s">
        <v>8922</v>
      </c>
    </row>
    <row r="799" spans="1:11" x14ac:dyDescent="0.25">
      <c r="A799" t="s">
        <v>2849</v>
      </c>
      <c r="B799" t="s">
        <v>2347</v>
      </c>
      <c r="C799" t="s">
        <v>2850</v>
      </c>
      <c r="D799" t="s">
        <v>2851</v>
      </c>
      <c r="E799" t="s">
        <v>14</v>
      </c>
      <c r="F799" t="s">
        <v>15</v>
      </c>
      <c r="G799">
        <v>28277</v>
      </c>
      <c r="H799" t="s">
        <v>26</v>
      </c>
      <c r="I799">
        <v>3</v>
      </c>
      <c r="J799">
        <v>1</v>
      </c>
      <c r="K799" t="s">
        <v>8935</v>
      </c>
    </row>
    <row r="800" spans="1:11" x14ac:dyDescent="0.25">
      <c r="A800" t="s">
        <v>2852</v>
      </c>
      <c r="B800" t="s">
        <v>2853</v>
      </c>
      <c r="C800" t="s">
        <v>2854</v>
      </c>
      <c r="D800" t="s">
        <v>2855</v>
      </c>
      <c r="E800" t="s">
        <v>14</v>
      </c>
      <c r="F800" t="s">
        <v>15</v>
      </c>
      <c r="G800">
        <v>28278</v>
      </c>
      <c r="H800" t="s">
        <v>48</v>
      </c>
      <c r="I800">
        <v>13</v>
      </c>
      <c r="J800">
        <v>1</v>
      </c>
      <c r="K800" t="s">
        <v>8935</v>
      </c>
    </row>
    <row r="801" spans="1:11" x14ac:dyDescent="0.25">
      <c r="A801" t="s">
        <v>2856</v>
      </c>
      <c r="B801" t="s">
        <v>2857</v>
      </c>
      <c r="C801" t="s">
        <v>2858</v>
      </c>
      <c r="D801" t="s">
        <v>2794</v>
      </c>
      <c r="E801" t="s">
        <v>14</v>
      </c>
      <c r="F801" t="s">
        <v>15</v>
      </c>
      <c r="G801">
        <v>28209</v>
      </c>
      <c r="H801" t="s">
        <v>21</v>
      </c>
      <c r="I801">
        <v>30</v>
      </c>
      <c r="J801">
        <v>1</v>
      </c>
      <c r="K801" t="s">
        <v>8935</v>
      </c>
    </row>
    <row r="802" spans="1:11" x14ac:dyDescent="0.25">
      <c r="A802" t="s">
        <v>2859</v>
      </c>
      <c r="B802" t="s">
        <v>811</v>
      </c>
      <c r="C802" t="s">
        <v>2860</v>
      </c>
      <c r="D802" t="s">
        <v>2861</v>
      </c>
      <c r="E802" t="s">
        <v>14</v>
      </c>
      <c r="F802" t="s">
        <v>15</v>
      </c>
      <c r="G802">
        <v>28210</v>
      </c>
      <c r="H802" t="s">
        <v>26</v>
      </c>
      <c r="I802">
        <v>71</v>
      </c>
      <c r="J802">
        <v>1</v>
      </c>
      <c r="K802" t="s">
        <v>8925</v>
      </c>
    </row>
    <row r="803" spans="1:11" x14ac:dyDescent="0.25">
      <c r="A803" t="s">
        <v>2862</v>
      </c>
      <c r="B803" t="s">
        <v>375</v>
      </c>
      <c r="C803" t="s">
        <v>2863</v>
      </c>
      <c r="D803" t="s">
        <v>2864</v>
      </c>
      <c r="E803" t="s">
        <v>14</v>
      </c>
      <c r="F803" t="s">
        <v>15</v>
      </c>
      <c r="G803">
        <v>28205</v>
      </c>
      <c r="H803" t="s">
        <v>16</v>
      </c>
      <c r="I803">
        <v>90</v>
      </c>
      <c r="J803">
        <v>1</v>
      </c>
      <c r="K803" t="s">
        <v>8929</v>
      </c>
    </row>
    <row r="804" spans="1:11" x14ac:dyDescent="0.25">
      <c r="A804" t="s">
        <v>2865</v>
      </c>
      <c r="B804" t="s">
        <v>2866</v>
      </c>
      <c r="C804" t="s">
        <v>2867</v>
      </c>
      <c r="E804" t="s">
        <v>14</v>
      </c>
      <c r="F804" t="s">
        <v>15</v>
      </c>
      <c r="G804">
        <v>28204</v>
      </c>
      <c r="H804" t="s">
        <v>39</v>
      </c>
      <c r="I804">
        <v>69</v>
      </c>
      <c r="J804">
        <v>1</v>
      </c>
      <c r="K804" t="s">
        <v>8935</v>
      </c>
    </row>
    <row r="805" spans="1:11" x14ac:dyDescent="0.25">
      <c r="A805" t="s">
        <v>2868</v>
      </c>
      <c r="B805" t="s">
        <v>2869</v>
      </c>
      <c r="C805" t="s">
        <v>46</v>
      </c>
      <c r="D805" t="s">
        <v>2870</v>
      </c>
      <c r="E805" t="s">
        <v>14</v>
      </c>
      <c r="F805" t="s">
        <v>15</v>
      </c>
      <c r="G805">
        <v>28277</v>
      </c>
      <c r="H805" t="s">
        <v>26</v>
      </c>
      <c r="I805">
        <v>49</v>
      </c>
      <c r="J805">
        <v>1</v>
      </c>
      <c r="K805" t="s">
        <v>8935</v>
      </c>
    </row>
    <row r="806" spans="1:11" x14ac:dyDescent="0.25">
      <c r="A806" t="s">
        <v>2871</v>
      </c>
      <c r="B806" t="s">
        <v>2872</v>
      </c>
      <c r="C806" t="s">
        <v>2873</v>
      </c>
      <c r="D806" t="s">
        <v>2874</v>
      </c>
      <c r="E806" t="s">
        <v>14</v>
      </c>
      <c r="F806" t="s">
        <v>15</v>
      </c>
      <c r="G806">
        <v>28208</v>
      </c>
      <c r="H806" t="s">
        <v>16</v>
      </c>
      <c r="I806">
        <v>39</v>
      </c>
      <c r="J806">
        <v>1</v>
      </c>
      <c r="K806" t="s">
        <v>8935</v>
      </c>
    </row>
    <row r="807" spans="1:11" x14ac:dyDescent="0.25">
      <c r="A807" t="s">
        <v>2875</v>
      </c>
      <c r="B807" t="s">
        <v>811</v>
      </c>
      <c r="C807" t="s">
        <v>2876</v>
      </c>
      <c r="D807" t="s">
        <v>2877</v>
      </c>
      <c r="E807" t="s">
        <v>14</v>
      </c>
      <c r="F807" t="s">
        <v>15</v>
      </c>
      <c r="G807">
        <v>28277</v>
      </c>
      <c r="H807" t="s">
        <v>26</v>
      </c>
      <c r="I807">
        <v>16</v>
      </c>
      <c r="J807">
        <v>0</v>
      </c>
      <c r="K807" t="s">
        <v>8925</v>
      </c>
    </row>
    <row r="808" spans="1:11" x14ac:dyDescent="0.25">
      <c r="A808" t="s">
        <v>2878</v>
      </c>
      <c r="B808" t="s">
        <v>2058</v>
      </c>
      <c r="C808" t="s">
        <v>415</v>
      </c>
      <c r="D808" t="s">
        <v>2879</v>
      </c>
      <c r="E808" t="s">
        <v>14</v>
      </c>
      <c r="F808" t="s">
        <v>15</v>
      </c>
      <c r="G808">
        <v>28216</v>
      </c>
      <c r="H808" t="s">
        <v>16</v>
      </c>
      <c r="I808">
        <v>32</v>
      </c>
      <c r="J808">
        <v>1</v>
      </c>
      <c r="K808" t="s">
        <v>8935</v>
      </c>
    </row>
    <row r="809" spans="1:11" x14ac:dyDescent="0.25">
      <c r="A809" t="s">
        <v>2880</v>
      </c>
      <c r="B809" t="s">
        <v>2881</v>
      </c>
      <c r="C809" t="s">
        <v>2882</v>
      </c>
      <c r="D809" t="s">
        <v>2883</v>
      </c>
      <c r="E809" t="s">
        <v>14</v>
      </c>
      <c r="F809" t="s">
        <v>15</v>
      </c>
      <c r="G809">
        <v>28202</v>
      </c>
      <c r="H809" t="s">
        <v>26</v>
      </c>
      <c r="I809">
        <v>66</v>
      </c>
      <c r="J809">
        <v>1</v>
      </c>
      <c r="K809" t="s">
        <v>8935</v>
      </c>
    </row>
    <row r="810" spans="1:11" x14ac:dyDescent="0.25">
      <c r="A810" t="s">
        <v>2884</v>
      </c>
      <c r="B810" t="s">
        <v>2885</v>
      </c>
      <c r="C810" t="s">
        <v>2886</v>
      </c>
      <c r="D810" t="s">
        <v>2887</v>
      </c>
      <c r="E810" t="s">
        <v>14</v>
      </c>
      <c r="F810" t="s">
        <v>15</v>
      </c>
      <c r="G810">
        <v>28226</v>
      </c>
      <c r="H810" t="s">
        <v>16</v>
      </c>
      <c r="I810">
        <v>64</v>
      </c>
      <c r="J810">
        <v>1</v>
      </c>
      <c r="K810" t="s">
        <v>8935</v>
      </c>
    </row>
    <row r="811" spans="1:11" x14ac:dyDescent="0.25">
      <c r="A811" t="s">
        <v>2888</v>
      </c>
      <c r="B811" t="s">
        <v>316</v>
      </c>
      <c r="C811" t="s">
        <v>1174</v>
      </c>
      <c r="D811" t="s">
        <v>2889</v>
      </c>
      <c r="E811" t="s">
        <v>14</v>
      </c>
      <c r="F811" t="s">
        <v>15</v>
      </c>
      <c r="G811">
        <v>28213</v>
      </c>
      <c r="H811" t="s">
        <v>16</v>
      </c>
      <c r="I811">
        <v>5</v>
      </c>
      <c r="J811">
        <v>0</v>
      </c>
      <c r="K811" t="s">
        <v>8935</v>
      </c>
    </row>
    <row r="812" spans="1:11" x14ac:dyDescent="0.25">
      <c r="A812" t="s">
        <v>2890</v>
      </c>
      <c r="B812" t="s">
        <v>103</v>
      </c>
      <c r="C812" t="s">
        <v>2891</v>
      </c>
      <c r="D812" t="s">
        <v>2892</v>
      </c>
      <c r="E812" t="s">
        <v>14</v>
      </c>
      <c r="F812" t="s">
        <v>15</v>
      </c>
      <c r="G812">
        <v>28202</v>
      </c>
      <c r="H812" t="s">
        <v>16</v>
      </c>
      <c r="I812">
        <v>185</v>
      </c>
      <c r="J812">
        <v>1</v>
      </c>
      <c r="K812" t="s">
        <v>8921</v>
      </c>
    </row>
    <row r="813" spans="1:11" x14ac:dyDescent="0.25">
      <c r="A813" t="s">
        <v>2893</v>
      </c>
      <c r="B813" t="s">
        <v>2894</v>
      </c>
      <c r="C813" t="s">
        <v>2895</v>
      </c>
      <c r="D813" t="s">
        <v>2896</v>
      </c>
      <c r="E813" t="s">
        <v>14</v>
      </c>
      <c r="F813" t="s">
        <v>15</v>
      </c>
      <c r="G813">
        <v>28208</v>
      </c>
      <c r="H813" t="s">
        <v>16</v>
      </c>
      <c r="I813">
        <v>369</v>
      </c>
      <c r="J813">
        <v>1</v>
      </c>
      <c r="K813" t="s">
        <v>8935</v>
      </c>
    </row>
    <row r="814" spans="1:11" x14ac:dyDescent="0.25">
      <c r="A814" t="s">
        <v>2897</v>
      </c>
      <c r="B814" t="s">
        <v>2898</v>
      </c>
      <c r="C814" t="s">
        <v>2899</v>
      </c>
      <c r="D814" t="s">
        <v>2900</v>
      </c>
      <c r="E814" t="s">
        <v>14</v>
      </c>
      <c r="F814" t="s">
        <v>15</v>
      </c>
      <c r="G814">
        <v>28209</v>
      </c>
      <c r="H814" t="s">
        <v>26</v>
      </c>
      <c r="I814">
        <v>27</v>
      </c>
      <c r="J814">
        <v>0</v>
      </c>
      <c r="K814" t="s">
        <v>8935</v>
      </c>
    </row>
    <row r="815" spans="1:11" x14ac:dyDescent="0.25">
      <c r="A815" t="s">
        <v>2901</v>
      </c>
      <c r="B815" t="s">
        <v>2902</v>
      </c>
      <c r="C815" t="s">
        <v>2903</v>
      </c>
      <c r="D815" t="s">
        <v>2904</v>
      </c>
      <c r="E815" t="s">
        <v>14</v>
      </c>
      <c r="F815" t="s">
        <v>15</v>
      </c>
      <c r="G815">
        <v>28202</v>
      </c>
      <c r="H815" t="s">
        <v>39</v>
      </c>
      <c r="I815">
        <v>12</v>
      </c>
      <c r="J815">
        <v>1</v>
      </c>
      <c r="K815" t="s">
        <v>8922</v>
      </c>
    </row>
    <row r="816" spans="1:11" x14ac:dyDescent="0.25">
      <c r="A816" t="s">
        <v>2905</v>
      </c>
      <c r="B816" t="s">
        <v>2906</v>
      </c>
      <c r="C816" t="s">
        <v>2907</v>
      </c>
      <c r="D816" t="s">
        <v>2908</v>
      </c>
      <c r="E816" t="s">
        <v>14</v>
      </c>
      <c r="F816" t="s">
        <v>15</v>
      </c>
      <c r="G816">
        <v>28208</v>
      </c>
      <c r="H816" t="s">
        <v>26</v>
      </c>
      <c r="I816">
        <v>23</v>
      </c>
      <c r="J816">
        <v>1</v>
      </c>
      <c r="K816" t="s">
        <v>8935</v>
      </c>
    </row>
    <row r="817" spans="1:11" x14ac:dyDescent="0.25">
      <c r="A817" t="s">
        <v>2909</v>
      </c>
      <c r="B817" t="s">
        <v>312</v>
      </c>
      <c r="C817" t="s">
        <v>2910</v>
      </c>
      <c r="D817" t="s">
        <v>2911</v>
      </c>
      <c r="E817" t="s">
        <v>14</v>
      </c>
      <c r="F817" t="s">
        <v>15</v>
      </c>
      <c r="G817">
        <v>28212</v>
      </c>
      <c r="H817" t="s">
        <v>39</v>
      </c>
      <c r="I817">
        <v>7</v>
      </c>
      <c r="J817">
        <v>1</v>
      </c>
      <c r="K817" t="s">
        <v>8925</v>
      </c>
    </row>
    <row r="818" spans="1:11" x14ac:dyDescent="0.25">
      <c r="A818" t="s">
        <v>2912</v>
      </c>
      <c r="B818" t="s">
        <v>2913</v>
      </c>
      <c r="C818" t="s">
        <v>337</v>
      </c>
      <c r="D818" t="s">
        <v>2914</v>
      </c>
      <c r="E818" t="s">
        <v>14</v>
      </c>
      <c r="F818" t="s">
        <v>15</v>
      </c>
      <c r="G818">
        <v>28277</v>
      </c>
      <c r="H818" t="s">
        <v>26</v>
      </c>
      <c r="I818">
        <v>22</v>
      </c>
      <c r="J818">
        <v>0</v>
      </c>
      <c r="K818" t="s">
        <v>8935</v>
      </c>
    </row>
    <row r="819" spans="1:11" x14ac:dyDescent="0.25">
      <c r="A819" t="s">
        <v>2915</v>
      </c>
      <c r="B819" t="s">
        <v>2916</v>
      </c>
      <c r="C819" t="s">
        <v>2917</v>
      </c>
      <c r="D819" t="s">
        <v>2918</v>
      </c>
      <c r="E819" t="s">
        <v>14</v>
      </c>
      <c r="F819" t="s">
        <v>15</v>
      </c>
      <c r="G819">
        <v>28217</v>
      </c>
      <c r="H819" t="s">
        <v>39</v>
      </c>
      <c r="I819">
        <v>7</v>
      </c>
      <c r="J819">
        <v>0</v>
      </c>
      <c r="K819" t="s">
        <v>8935</v>
      </c>
    </row>
    <row r="820" spans="1:11" x14ac:dyDescent="0.25">
      <c r="A820" t="s">
        <v>2919</v>
      </c>
      <c r="B820" t="s">
        <v>2920</v>
      </c>
      <c r="C820" t="s">
        <v>2921</v>
      </c>
      <c r="D820" t="s">
        <v>2922</v>
      </c>
      <c r="E820" t="s">
        <v>14</v>
      </c>
      <c r="F820" t="s">
        <v>15</v>
      </c>
      <c r="G820">
        <v>28206</v>
      </c>
      <c r="H820" t="s">
        <v>48</v>
      </c>
      <c r="I820">
        <v>5</v>
      </c>
      <c r="J820">
        <v>1</v>
      </c>
      <c r="K820" t="s">
        <v>8935</v>
      </c>
    </row>
    <row r="821" spans="1:11" x14ac:dyDescent="0.25">
      <c r="A821" t="s">
        <v>2923</v>
      </c>
      <c r="B821" t="s">
        <v>2924</v>
      </c>
      <c r="C821" t="s">
        <v>2925</v>
      </c>
      <c r="D821" t="s">
        <v>2926</v>
      </c>
      <c r="E821" t="s">
        <v>14</v>
      </c>
      <c r="F821" t="s">
        <v>15</v>
      </c>
      <c r="G821">
        <v>28203</v>
      </c>
      <c r="H821" t="s">
        <v>16</v>
      </c>
      <c r="I821">
        <v>58</v>
      </c>
      <c r="J821">
        <v>1</v>
      </c>
      <c r="K821" t="s">
        <v>8935</v>
      </c>
    </row>
    <row r="822" spans="1:11" x14ac:dyDescent="0.25">
      <c r="A822" t="s">
        <v>2927</v>
      </c>
      <c r="B822" t="s">
        <v>2928</v>
      </c>
      <c r="C822" t="s">
        <v>2929</v>
      </c>
      <c r="D822" t="s">
        <v>2930</v>
      </c>
      <c r="E822" t="s">
        <v>14</v>
      </c>
      <c r="F822" t="s">
        <v>15</v>
      </c>
      <c r="G822">
        <v>28227</v>
      </c>
      <c r="H822" t="s">
        <v>21</v>
      </c>
      <c r="I822">
        <v>13</v>
      </c>
      <c r="J822">
        <v>0</v>
      </c>
      <c r="K822" t="s">
        <v>8928</v>
      </c>
    </row>
    <row r="823" spans="1:11" x14ac:dyDescent="0.25">
      <c r="A823" t="s">
        <v>2931</v>
      </c>
      <c r="B823" t="s">
        <v>2932</v>
      </c>
      <c r="C823" t="s">
        <v>2933</v>
      </c>
      <c r="D823" t="s">
        <v>2934</v>
      </c>
      <c r="E823" t="s">
        <v>14</v>
      </c>
      <c r="F823" t="s">
        <v>15</v>
      </c>
      <c r="G823">
        <v>28205</v>
      </c>
      <c r="H823" t="s">
        <v>39</v>
      </c>
      <c r="I823">
        <v>5</v>
      </c>
      <c r="J823">
        <v>0</v>
      </c>
      <c r="K823" t="s">
        <v>8935</v>
      </c>
    </row>
    <row r="824" spans="1:11" x14ac:dyDescent="0.25">
      <c r="A824" t="s">
        <v>2935</v>
      </c>
      <c r="B824" t="s">
        <v>1768</v>
      </c>
      <c r="C824" t="s">
        <v>2936</v>
      </c>
      <c r="D824" t="s">
        <v>2937</v>
      </c>
      <c r="E824" t="s">
        <v>14</v>
      </c>
      <c r="F824" t="s">
        <v>15</v>
      </c>
      <c r="G824">
        <v>28209</v>
      </c>
      <c r="H824" t="s">
        <v>21</v>
      </c>
      <c r="I824">
        <v>31</v>
      </c>
      <c r="J824">
        <v>1</v>
      </c>
      <c r="K824" t="s">
        <v>8926</v>
      </c>
    </row>
    <row r="825" spans="1:11" x14ac:dyDescent="0.25">
      <c r="A825" t="s">
        <v>2938</v>
      </c>
      <c r="B825" t="s">
        <v>2939</v>
      </c>
      <c r="C825" t="s">
        <v>2940</v>
      </c>
      <c r="D825" t="s">
        <v>2941</v>
      </c>
      <c r="E825" t="s">
        <v>14</v>
      </c>
      <c r="F825" t="s">
        <v>15</v>
      </c>
      <c r="G825">
        <v>28273</v>
      </c>
      <c r="H825" t="s">
        <v>16</v>
      </c>
      <c r="I825">
        <v>268</v>
      </c>
      <c r="J825">
        <v>1</v>
      </c>
      <c r="K825" t="s">
        <v>8935</v>
      </c>
    </row>
    <row r="826" spans="1:11" x14ac:dyDescent="0.25">
      <c r="A826" t="s">
        <v>2942</v>
      </c>
      <c r="B826" t="s">
        <v>312</v>
      </c>
      <c r="C826" t="s">
        <v>2544</v>
      </c>
      <c r="D826" t="s">
        <v>2943</v>
      </c>
      <c r="E826" t="s">
        <v>14</v>
      </c>
      <c r="F826" t="s">
        <v>15</v>
      </c>
      <c r="G826">
        <v>28273</v>
      </c>
      <c r="H826" t="s">
        <v>21</v>
      </c>
      <c r="I826">
        <v>11</v>
      </c>
      <c r="J826">
        <v>0</v>
      </c>
      <c r="K826" t="s">
        <v>8925</v>
      </c>
    </row>
    <row r="827" spans="1:11" x14ac:dyDescent="0.25">
      <c r="A827" t="s">
        <v>2944</v>
      </c>
      <c r="B827" t="s">
        <v>2945</v>
      </c>
      <c r="C827" t="s">
        <v>2946</v>
      </c>
      <c r="D827" t="s">
        <v>2947</v>
      </c>
      <c r="E827" t="s">
        <v>14</v>
      </c>
      <c r="F827" t="s">
        <v>15</v>
      </c>
      <c r="G827">
        <v>28205</v>
      </c>
      <c r="H827" t="s">
        <v>21</v>
      </c>
      <c r="I827">
        <v>46</v>
      </c>
      <c r="J827">
        <v>0</v>
      </c>
      <c r="K827" t="s">
        <v>8935</v>
      </c>
    </row>
    <row r="828" spans="1:11" x14ac:dyDescent="0.25">
      <c r="A828" t="s">
        <v>2948</v>
      </c>
      <c r="B828" t="s">
        <v>2949</v>
      </c>
      <c r="C828" t="s">
        <v>321</v>
      </c>
      <c r="D828" t="s">
        <v>2950</v>
      </c>
      <c r="E828" t="s">
        <v>14</v>
      </c>
      <c r="F828" t="s">
        <v>15</v>
      </c>
      <c r="G828">
        <v>28273</v>
      </c>
      <c r="H828" t="s">
        <v>26</v>
      </c>
      <c r="I828">
        <v>13</v>
      </c>
      <c r="J828">
        <v>1</v>
      </c>
      <c r="K828" t="s">
        <v>8921</v>
      </c>
    </row>
    <row r="829" spans="1:11" x14ac:dyDescent="0.25">
      <c r="A829" t="s">
        <v>2951</v>
      </c>
      <c r="B829" t="s">
        <v>2952</v>
      </c>
      <c r="C829" t="s">
        <v>1112</v>
      </c>
      <c r="D829" t="s">
        <v>230</v>
      </c>
      <c r="E829" t="s">
        <v>14</v>
      </c>
      <c r="F829" t="s">
        <v>15</v>
      </c>
      <c r="G829">
        <v>28226</v>
      </c>
      <c r="H829" t="s">
        <v>16</v>
      </c>
      <c r="I829">
        <v>231</v>
      </c>
      <c r="J829">
        <v>1</v>
      </c>
      <c r="K829" t="s">
        <v>8924</v>
      </c>
    </row>
    <row r="830" spans="1:11" x14ac:dyDescent="0.25">
      <c r="A830" t="s">
        <v>2953</v>
      </c>
      <c r="B830" t="s">
        <v>2954</v>
      </c>
      <c r="C830" t="s">
        <v>2955</v>
      </c>
      <c r="D830" t="s">
        <v>2956</v>
      </c>
      <c r="E830" t="s">
        <v>14</v>
      </c>
      <c r="F830" t="s">
        <v>15</v>
      </c>
      <c r="G830">
        <v>28216</v>
      </c>
      <c r="H830" t="s">
        <v>195</v>
      </c>
      <c r="I830">
        <v>6</v>
      </c>
      <c r="J830">
        <v>1</v>
      </c>
      <c r="K830" t="s">
        <v>8935</v>
      </c>
    </row>
    <row r="831" spans="1:11" x14ac:dyDescent="0.25">
      <c r="A831" t="s">
        <v>2957</v>
      </c>
      <c r="B831" t="s">
        <v>2958</v>
      </c>
      <c r="C831" t="s">
        <v>2959</v>
      </c>
      <c r="D831" t="s">
        <v>2960</v>
      </c>
      <c r="E831" t="s">
        <v>14</v>
      </c>
      <c r="F831" t="s">
        <v>15</v>
      </c>
      <c r="G831">
        <v>28262</v>
      </c>
      <c r="H831" t="s">
        <v>26</v>
      </c>
      <c r="I831">
        <v>16</v>
      </c>
      <c r="J831">
        <v>0</v>
      </c>
      <c r="K831" t="s">
        <v>8931</v>
      </c>
    </row>
    <row r="832" spans="1:11" x14ac:dyDescent="0.25">
      <c r="A832" t="s">
        <v>2961</v>
      </c>
      <c r="B832" t="s">
        <v>2962</v>
      </c>
      <c r="C832" t="s">
        <v>2963</v>
      </c>
      <c r="D832" t="s">
        <v>2964</v>
      </c>
      <c r="E832" t="s">
        <v>14</v>
      </c>
      <c r="F832" t="s">
        <v>15</v>
      </c>
      <c r="G832">
        <v>28277</v>
      </c>
      <c r="H832" t="s">
        <v>16</v>
      </c>
      <c r="I832">
        <v>103</v>
      </c>
      <c r="J832">
        <v>1</v>
      </c>
      <c r="K832" t="s">
        <v>8926</v>
      </c>
    </row>
    <row r="833" spans="1:11" x14ac:dyDescent="0.25">
      <c r="A833" t="s">
        <v>2965</v>
      </c>
      <c r="B833" t="s">
        <v>2966</v>
      </c>
      <c r="C833" t="s">
        <v>2967</v>
      </c>
      <c r="D833" t="s">
        <v>2968</v>
      </c>
      <c r="E833" t="s">
        <v>14</v>
      </c>
      <c r="F833" t="s">
        <v>15</v>
      </c>
      <c r="G833">
        <v>28205</v>
      </c>
      <c r="H833" t="s">
        <v>16</v>
      </c>
      <c r="I833">
        <v>32</v>
      </c>
      <c r="J833">
        <v>1</v>
      </c>
      <c r="K833" t="s">
        <v>8929</v>
      </c>
    </row>
    <row r="834" spans="1:11" x14ac:dyDescent="0.25">
      <c r="A834" t="s">
        <v>2969</v>
      </c>
      <c r="B834" t="s">
        <v>2970</v>
      </c>
      <c r="C834" t="s">
        <v>597</v>
      </c>
      <c r="D834" t="s">
        <v>2971</v>
      </c>
      <c r="E834" t="s">
        <v>14</v>
      </c>
      <c r="F834" t="s">
        <v>15</v>
      </c>
      <c r="G834">
        <v>28202</v>
      </c>
      <c r="H834" t="s">
        <v>26</v>
      </c>
      <c r="I834">
        <v>213</v>
      </c>
      <c r="J834">
        <v>0</v>
      </c>
      <c r="K834" t="s">
        <v>8921</v>
      </c>
    </row>
    <row r="835" spans="1:11" x14ac:dyDescent="0.25">
      <c r="A835" t="s">
        <v>2972</v>
      </c>
      <c r="B835" t="s">
        <v>176</v>
      </c>
      <c r="C835" t="s">
        <v>2973</v>
      </c>
      <c r="D835" t="s">
        <v>2498</v>
      </c>
      <c r="E835" t="s">
        <v>14</v>
      </c>
      <c r="F835" t="s">
        <v>15</v>
      </c>
      <c r="G835">
        <v>28277</v>
      </c>
      <c r="H835" t="s">
        <v>26</v>
      </c>
      <c r="I835">
        <v>16</v>
      </c>
      <c r="J835">
        <v>0</v>
      </c>
      <c r="K835" t="s">
        <v>8935</v>
      </c>
    </row>
    <row r="836" spans="1:11" x14ac:dyDescent="0.25">
      <c r="A836" t="s">
        <v>2974</v>
      </c>
      <c r="B836" t="s">
        <v>2975</v>
      </c>
      <c r="C836" t="s">
        <v>169</v>
      </c>
      <c r="D836" t="s">
        <v>2976</v>
      </c>
      <c r="E836" t="s">
        <v>14</v>
      </c>
      <c r="F836" t="s">
        <v>15</v>
      </c>
      <c r="G836">
        <v>28203</v>
      </c>
      <c r="H836" t="s">
        <v>48</v>
      </c>
      <c r="I836">
        <v>118</v>
      </c>
      <c r="J836">
        <v>1</v>
      </c>
      <c r="K836" t="s">
        <v>8935</v>
      </c>
    </row>
    <row r="837" spans="1:11" x14ac:dyDescent="0.25">
      <c r="A837" t="s">
        <v>2977</v>
      </c>
      <c r="B837" t="s">
        <v>2978</v>
      </c>
      <c r="C837" t="s">
        <v>1020</v>
      </c>
      <c r="D837" t="s">
        <v>2979</v>
      </c>
      <c r="E837" t="s">
        <v>14</v>
      </c>
      <c r="F837" t="s">
        <v>15</v>
      </c>
      <c r="G837">
        <v>28210</v>
      </c>
      <c r="H837" t="s">
        <v>48</v>
      </c>
      <c r="I837">
        <v>19</v>
      </c>
      <c r="J837">
        <v>1</v>
      </c>
      <c r="K837" t="s">
        <v>8935</v>
      </c>
    </row>
    <row r="838" spans="1:11" x14ac:dyDescent="0.25">
      <c r="A838" t="s">
        <v>2980</v>
      </c>
      <c r="B838" t="s">
        <v>967</v>
      </c>
      <c r="C838" t="s">
        <v>87</v>
      </c>
      <c r="D838" t="s">
        <v>2981</v>
      </c>
      <c r="E838" t="s">
        <v>14</v>
      </c>
      <c r="F838" t="s">
        <v>15</v>
      </c>
      <c r="G838">
        <v>28227</v>
      </c>
      <c r="H838" t="s">
        <v>26</v>
      </c>
      <c r="I838">
        <v>10</v>
      </c>
      <c r="J838">
        <v>1</v>
      </c>
      <c r="K838" t="s">
        <v>8935</v>
      </c>
    </row>
    <row r="839" spans="1:11" x14ac:dyDescent="0.25">
      <c r="A839" t="s">
        <v>2982</v>
      </c>
      <c r="B839" t="s">
        <v>2983</v>
      </c>
      <c r="C839" t="s">
        <v>2984</v>
      </c>
      <c r="D839" t="s">
        <v>2985</v>
      </c>
      <c r="E839" t="s">
        <v>14</v>
      </c>
      <c r="F839" t="s">
        <v>15</v>
      </c>
      <c r="G839">
        <v>28226</v>
      </c>
      <c r="H839" t="s">
        <v>16</v>
      </c>
      <c r="I839">
        <v>90</v>
      </c>
      <c r="J839">
        <v>0</v>
      </c>
      <c r="K839" t="s">
        <v>8925</v>
      </c>
    </row>
    <row r="840" spans="1:11" x14ac:dyDescent="0.25">
      <c r="A840" t="s">
        <v>2986</v>
      </c>
      <c r="B840" t="s">
        <v>2987</v>
      </c>
      <c r="C840" t="s">
        <v>2988</v>
      </c>
      <c r="D840" t="s">
        <v>2989</v>
      </c>
      <c r="E840" t="s">
        <v>14</v>
      </c>
      <c r="F840" t="s">
        <v>15</v>
      </c>
      <c r="G840">
        <v>28202</v>
      </c>
      <c r="H840" t="s">
        <v>48</v>
      </c>
      <c r="I840">
        <v>448</v>
      </c>
      <c r="J840">
        <v>1</v>
      </c>
      <c r="K840" t="s">
        <v>8935</v>
      </c>
    </row>
    <row r="841" spans="1:11" x14ac:dyDescent="0.25">
      <c r="A841" t="s">
        <v>2990</v>
      </c>
      <c r="B841" t="s">
        <v>2991</v>
      </c>
      <c r="C841" t="s">
        <v>2992</v>
      </c>
      <c r="D841" t="s">
        <v>2993</v>
      </c>
      <c r="E841" t="s">
        <v>14</v>
      </c>
      <c r="F841" t="s">
        <v>15</v>
      </c>
      <c r="G841">
        <v>28211</v>
      </c>
      <c r="H841" t="s">
        <v>16</v>
      </c>
      <c r="I841">
        <v>156</v>
      </c>
      <c r="J841">
        <v>1</v>
      </c>
      <c r="K841" t="s">
        <v>8935</v>
      </c>
    </row>
    <row r="842" spans="1:11" x14ac:dyDescent="0.25">
      <c r="A842" t="s">
        <v>2994</v>
      </c>
      <c r="B842" t="s">
        <v>2995</v>
      </c>
      <c r="C842" t="s">
        <v>2996</v>
      </c>
      <c r="D842" t="s">
        <v>565</v>
      </c>
      <c r="E842" t="s">
        <v>14</v>
      </c>
      <c r="F842" t="s">
        <v>15</v>
      </c>
      <c r="G842">
        <v>28202</v>
      </c>
      <c r="H842" t="s">
        <v>21</v>
      </c>
      <c r="I842">
        <v>108</v>
      </c>
      <c r="J842">
        <v>1</v>
      </c>
      <c r="K842" t="s">
        <v>8935</v>
      </c>
    </row>
    <row r="843" spans="1:11" x14ac:dyDescent="0.25">
      <c r="A843" t="s">
        <v>2997</v>
      </c>
      <c r="B843" t="s">
        <v>2998</v>
      </c>
      <c r="C843" t="s">
        <v>2999</v>
      </c>
      <c r="D843" t="s">
        <v>3000</v>
      </c>
      <c r="E843" t="s">
        <v>14</v>
      </c>
      <c r="F843" t="s">
        <v>15</v>
      </c>
      <c r="G843">
        <v>28203</v>
      </c>
      <c r="H843" t="s">
        <v>21</v>
      </c>
      <c r="I843">
        <v>22</v>
      </c>
      <c r="J843">
        <v>1</v>
      </c>
      <c r="K843" t="s">
        <v>8935</v>
      </c>
    </row>
    <row r="844" spans="1:11" x14ac:dyDescent="0.25">
      <c r="A844" t="s">
        <v>3001</v>
      </c>
      <c r="B844" t="s">
        <v>391</v>
      </c>
      <c r="C844" t="s">
        <v>364</v>
      </c>
      <c r="D844" t="s">
        <v>3002</v>
      </c>
      <c r="E844" t="s">
        <v>14</v>
      </c>
      <c r="F844" t="s">
        <v>15</v>
      </c>
      <c r="G844">
        <v>28273</v>
      </c>
      <c r="H844" t="s">
        <v>265</v>
      </c>
      <c r="I844">
        <v>3</v>
      </c>
      <c r="J844">
        <v>1</v>
      </c>
      <c r="K844" t="s">
        <v>8935</v>
      </c>
    </row>
    <row r="845" spans="1:11" x14ac:dyDescent="0.25">
      <c r="A845" t="s">
        <v>3003</v>
      </c>
      <c r="B845" t="s">
        <v>3004</v>
      </c>
      <c r="C845" t="s">
        <v>3005</v>
      </c>
      <c r="D845" t="s">
        <v>3006</v>
      </c>
      <c r="E845" t="s">
        <v>14</v>
      </c>
      <c r="F845" t="s">
        <v>15</v>
      </c>
      <c r="G845">
        <v>28210</v>
      </c>
      <c r="H845" t="s">
        <v>39</v>
      </c>
      <c r="I845">
        <v>285</v>
      </c>
      <c r="J845">
        <v>1</v>
      </c>
      <c r="K845" t="s">
        <v>8935</v>
      </c>
    </row>
    <row r="846" spans="1:11" x14ac:dyDescent="0.25">
      <c r="A846" t="s">
        <v>3007</v>
      </c>
      <c r="B846" t="s">
        <v>3008</v>
      </c>
      <c r="C846" t="s">
        <v>3009</v>
      </c>
      <c r="D846" t="s">
        <v>3010</v>
      </c>
      <c r="E846" t="s">
        <v>14</v>
      </c>
      <c r="F846" t="s">
        <v>15</v>
      </c>
      <c r="G846">
        <v>28203</v>
      </c>
      <c r="H846" t="s">
        <v>26</v>
      </c>
      <c r="I846">
        <v>35</v>
      </c>
      <c r="J846">
        <v>0</v>
      </c>
      <c r="K846" t="s">
        <v>8935</v>
      </c>
    </row>
    <row r="847" spans="1:11" x14ac:dyDescent="0.25">
      <c r="A847" t="s">
        <v>3011</v>
      </c>
      <c r="B847" t="s">
        <v>3012</v>
      </c>
      <c r="C847" t="s">
        <v>3013</v>
      </c>
      <c r="D847" t="s">
        <v>357</v>
      </c>
      <c r="E847" t="s">
        <v>14</v>
      </c>
      <c r="F847" t="s">
        <v>15</v>
      </c>
      <c r="G847">
        <v>28202</v>
      </c>
      <c r="H847" t="s">
        <v>26</v>
      </c>
      <c r="I847">
        <v>24</v>
      </c>
      <c r="J847">
        <v>0</v>
      </c>
      <c r="K847" t="s">
        <v>8935</v>
      </c>
    </row>
    <row r="848" spans="1:11" x14ac:dyDescent="0.25">
      <c r="A848" t="s">
        <v>3014</v>
      </c>
      <c r="B848" t="s">
        <v>3015</v>
      </c>
      <c r="C848" t="s">
        <v>3016</v>
      </c>
      <c r="D848" t="s">
        <v>3017</v>
      </c>
      <c r="E848" t="s">
        <v>14</v>
      </c>
      <c r="F848" t="s">
        <v>15</v>
      </c>
      <c r="G848">
        <v>28214</v>
      </c>
      <c r="H848" t="s">
        <v>21</v>
      </c>
      <c r="I848">
        <v>15</v>
      </c>
      <c r="J848">
        <v>1</v>
      </c>
      <c r="K848" t="s">
        <v>8935</v>
      </c>
    </row>
    <row r="849" spans="1:11" x14ac:dyDescent="0.25">
      <c r="A849" t="s">
        <v>3018</v>
      </c>
      <c r="B849" t="s">
        <v>3019</v>
      </c>
      <c r="C849" t="s">
        <v>3020</v>
      </c>
      <c r="D849" t="s">
        <v>3021</v>
      </c>
      <c r="E849" t="s">
        <v>14</v>
      </c>
      <c r="F849" t="s">
        <v>15</v>
      </c>
      <c r="G849">
        <v>28278</v>
      </c>
      <c r="H849" t="s">
        <v>26</v>
      </c>
      <c r="I849">
        <v>71</v>
      </c>
      <c r="J849">
        <v>1</v>
      </c>
      <c r="K849" t="s">
        <v>8935</v>
      </c>
    </row>
    <row r="850" spans="1:11" x14ac:dyDescent="0.25">
      <c r="A850" t="s">
        <v>3022</v>
      </c>
      <c r="B850" t="s">
        <v>3023</v>
      </c>
      <c r="C850" t="s">
        <v>202</v>
      </c>
      <c r="D850" t="s">
        <v>3024</v>
      </c>
      <c r="E850" t="s">
        <v>14</v>
      </c>
      <c r="F850" t="s">
        <v>15</v>
      </c>
      <c r="G850">
        <v>28262</v>
      </c>
      <c r="H850" t="s">
        <v>48</v>
      </c>
      <c r="I850">
        <v>77</v>
      </c>
      <c r="J850">
        <v>1</v>
      </c>
      <c r="K850" t="s">
        <v>8935</v>
      </c>
    </row>
    <row r="851" spans="1:11" x14ac:dyDescent="0.25">
      <c r="A851" t="s">
        <v>3025</v>
      </c>
      <c r="B851" t="s">
        <v>3026</v>
      </c>
      <c r="C851" t="s">
        <v>3027</v>
      </c>
      <c r="D851" t="s">
        <v>3028</v>
      </c>
      <c r="E851" t="s">
        <v>14</v>
      </c>
      <c r="F851" t="s">
        <v>15</v>
      </c>
      <c r="G851">
        <v>28263</v>
      </c>
      <c r="H851" t="s">
        <v>21</v>
      </c>
      <c r="I851">
        <v>3</v>
      </c>
      <c r="J851">
        <v>0</v>
      </c>
      <c r="K851" t="s">
        <v>8920</v>
      </c>
    </row>
    <row r="852" spans="1:11" x14ac:dyDescent="0.25">
      <c r="A852" t="s">
        <v>3029</v>
      </c>
      <c r="B852" t="s">
        <v>3030</v>
      </c>
      <c r="C852" t="s">
        <v>3031</v>
      </c>
      <c r="D852" t="s">
        <v>3032</v>
      </c>
      <c r="E852" t="s">
        <v>14</v>
      </c>
      <c r="F852" t="s">
        <v>15</v>
      </c>
      <c r="G852">
        <v>28277</v>
      </c>
      <c r="H852" t="s">
        <v>21</v>
      </c>
      <c r="I852">
        <v>6</v>
      </c>
      <c r="J852">
        <v>1</v>
      </c>
      <c r="K852" t="s">
        <v>8935</v>
      </c>
    </row>
    <row r="853" spans="1:11" x14ac:dyDescent="0.25">
      <c r="A853" t="s">
        <v>3033</v>
      </c>
      <c r="B853" t="s">
        <v>176</v>
      </c>
      <c r="C853" t="s">
        <v>913</v>
      </c>
      <c r="D853" t="s">
        <v>412</v>
      </c>
      <c r="E853" t="s">
        <v>14</v>
      </c>
      <c r="F853" t="s">
        <v>15</v>
      </c>
      <c r="G853">
        <v>28277</v>
      </c>
      <c r="H853" t="s">
        <v>21</v>
      </c>
      <c r="I853">
        <v>94</v>
      </c>
      <c r="J853">
        <v>1</v>
      </c>
      <c r="K853" t="s">
        <v>8935</v>
      </c>
    </row>
    <row r="854" spans="1:11" x14ac:dyDescent="0.25">
      <c r="A854" t="e">
        <f>--KCl2FvVQpvjzmZSPyviA</f>
        <v>#NAME?</v>
      </c>
      <c r="B854" t="s">
        <v>2533</v>
      </c>
      <c r="C854" t="s">
        <v>177</v>
      </c>
      <c r="D854" t="s">
        <v>3034</v>
      </c>
      <c r="E854" t="s">
        <v>14</v>
      </c>
      <c r="F854" t="s">
        <v>15</v>
      </c>
      <c r="G854">
        <v>28269</v>
      </c>
      <c r="H854" t="s">
        <v>26</v>
      </c>
      <c r="I854">
        <v>13</v>
      </c>
      <c r="J854">
        <v>1</v>
      </c>
      <c r="K854" t="s">
        <v>8935</v>
      </c>
    </row>
    <row r="855" spans="1:11" x14ac:dyDescent="0.25">
      <c r="A855" t="s">
        <v>3035</v>
      </c>
      <c r="B855" t="s">
        <v>3036</v>
      </c>
      <c r="C855" t="s">
        <v>3037</v>
      </c>
      <c r="D855" t="s">
        <v>3038</v>
      </c>
      <c r="E855" t="s">
        <v>14</v>
      </c>
      <c r="F855" t="s">
        <v>15</v>
      </c>
      <c r="G855">
        <v>28213</v>
      </c>
      <c r="H855" t="s">
        <v>48</v>
      </c>
      <c r="I855">
        <v>12</v>
      </c>
      <c r="J855">
        <v>1</v>
      </c>
      <c r="K855" t="s">
        <v>8935</v>
      </c>
    </row>
    <row r="856" spans="1:11" x14ac:dyDescent="0.25">
      <c r="A856" t="s">
        <v>3039</v>
      </c>
      <c r="B856" t="s">
        <v>3040</v>
      </c>
      <c r="C856" t="s">
        <v>3041</v>
      </c>
      <c r="D856" t="s">
        <v>3042</v>
      </c>
      <c r="E856" t="s">
        <v>14</v>
      </c>
      <c r="F856" t="s">
        <v>15</v>
      </c>
      <c r="G856">
        <v>28216</v>
      </c>
      <c r="H856" t="s">
        <v>16</v>
      </c>
      <c r="I856">
        <v>17</v>
      </c>
      <c r="J856">
        <v>1</v>
      </c>
      <c r="K856" t="s">
        <v>8935</v>
      </c>
    </row>
    <row r="857" spans="1:11" x14ac:dyDescent="0.25">
      <c r="A857" t="s">
        <v>3043</v>
      </c>
      <c r="B857" t="s">
        <v>3044</v>
      </c>
      <c r="C857" t="s">
        <v>3045</v>
      </c>
      <c r="D857" t="s">
        <v>3046</v>
      </c>
      <c r="E857" t="s">
        <v>14</v>
      </c>
      <c r="F857" t="s">
        <v>15</v>
      </c>
      <c r="G857">
        <v>28210</v>
      </c>
      <c r="H857" t="s">
        <v>16</v>
      </c>
      <c r="I857">
        <v>145</v>
      </c>
      <c r="J857">
        <v>0</v>
      </c>
      <c r="K857" t="s">
        <v>8921</v>
      </c>
    </row>
    <row r="858" spans="1:11" x14ac:dyDescent="0.25">
      <c r="A858" t="s">
        <v>3047</v>
      </c>
      <c r="B858" t="s">
        <v>811</v>
      </c>
      <c r="C858" t="s">
        <v>3048</v>
      </c>
      <c r="D858" t="s">
        <v>3049</v>
      </c>
      <c r="E858" t="s">
        <v>14</v>
      </c>
      <c r="F858" t="s">
        <v>15</v>
      </c>
      <c r="G858">
        <v>28213</v>
      </c>
      <c r="H858" t="s">
        <v>39</v>
      </c>
      <c r="I858">
        <v>56</v>
      </c>
      <c r="J858">
        <v>1</v>
      </c>
      <c r="K858" t="s">
        <v>8925</v>
      </c>
    </row>
    <row r="859" spans="1:11" x14ac:dyDescent="0.25">
      <c r="A859" t="s">
        <v>3050</v>
      </c>
      <c r="B859" t="s">
        <v>3051</v>
      </c>
      <c r="C859" t="s">
        <v>3052</v>
      </c>
      <c r="D859" t="s">
        <v>3053</v>
      </c>
      <c r="E859" t="s">
        <v>14</v>
      </c>
      <c r="F859" t="s">
        <v>15</v>
      </c>
      <c r="G859">
        <v>28216</v>
      </c>
      <c r="H859" t="s">
        <v>39</v>
      </c>
      <c r="I859">
        <v>28</v>
      </c>
      <c r="J859">
        <v>1</v>
      </c>
      <c r="K859" t="s">
        <v>8935</v>
      </c>
    </row>
    <row r="860" spans="1:11" x14ac:dyDescent="0.25">
      <c r="A860" t="s">
        <v>3054</v>
      </c>
      <c r="B860" t="s">
        <v>3055</v>
      </c>
      <c r="C860" t="s">
        <v>3056</v>
      </c>
      <c r="D860" t="s">
        <v>3057</v>
      </c>
      <c r="E860" t="s">
        <v>14</v>
      </c>
      <c r="F860" t="s">
        <v>15</v>
      </c>
      <c r="G860">
        <v>28211</v>
      </c>
      <c r="H860" t="s">
        <v>16</v>
      </c>
      <c r="I860">
        <v>170</v>
      </c>
      <c r="J860">
        <v>1</v>
      </c>
      <c r="K860" t="s">
        <v>8920</v>
      </c>
    </row>
    <row r="861" spans="1:11" x14ac:dyDescent="0.25">
      <c r="A861" t="s">
        <v>3058</v>
      </c>
      <c r="B861" t="s">
        <v>2108</v>
      </c>
      <c r="C861" t="s">
        <v>3059</v>
      </c>
      <c r="D861" t="s">
        <v>3060</v>
      </c>
      <c r="E861" t="s">
        <v>14</v>
      </c>
      <c r="F861" t="s">
        <v>15</v>
      </c>
      <c r="G861">
        <v>28205</v>
      </c>
      <c r="H861" t="s">
        <v>39</v>
      </c>
      <c r="I861">
        <v>6</v>
      </c>
      <c r="J861">
        <v>1</v>
      </c>
      <c r="K861" t="s">
        <v>8935</v>
      </c>
    </row>
    <row r="862" spans="1:11" x14ac:dyDescent="0.25">
      <c r="A862" t="s">
        <v>3061</v>
      </c>
      <c r="B862" t="s">
        <v>600</v>
      </c>
      <c r="C862" t="s">
        <v>3062</v>
      </c>
      <c r="D862" t="s">
        <v>3063</v>
      </c>
      <c r="E862" t="s">
        <v>14</v>
      </c>
      <c r="F862" t="s">
        <v>15</v>
      </c>
      <c r="G862">
        <v>28202</v>
      </c>
      <c r="H862" t="s">
        <v>16</v>
      </c>
      <c r="I862">
        <v>76</v>
      </c>
      <c r="J862">
        <v>1</v>
      </c>
      <c r="K862" t="s">
        <v>8935</v>
      </c>
    </row>
    <row r="863" spans="1:11" x14ac:dyDescent="0.25">
      <c r="A863" t="s">
        <v>3064</v>
      </c>
      <c r="B863" t="s">
        <v>1543</v>
      </c>
      <c r="C863" t="s">
        <v>3065</v>
      </c>
      <c r="D863" t="s">
        <v>3066</v>
      </c>
      <c r="E863" t="s">
        <v>14</v>
      </c>
      <c r="F863" t="s">
        <v>15</v>
      </c>
      <c r="G863">
        <v>28226</v>
      </c>
      <c r="H863" t="s">
        <v>21</v>
      </c>
      <c r="I863">
        <v>3</v>
      </c>
      <c r="J863">
        <v>0</v>
      </c>
      <c r="K863" t="s">
        <v>8930</v>
      </c>
    </row>
    <row r="864" spans="1:11" x14ac:dyDescent="0.25">
      <c r="A864" t="s">
        <v>3067</v>
      </c>
      <c r="B864" t="s">
        <v>3068</v>
      </c>
      <c r="C864" t="s">
        <v>3069</v>
      </c>
      <c r="E864" t="s">
        <v>14</v>
      </c>
      <c r="F864" t="s">
        <v>15</v>
      </c>
      <c r="G864">
        <v>28202</v>
      </c>
      <c r="H864" t="s">
        <v>39</v>
      </c>
      <c r="I864">
        <v>6</v>
      </c>
      <c r="J864">
        <v>1</v>
      </c>
      <c r="K864" t="s">
        <v>8936</v>
      </c>
    </row>
    <row r="865" spans="1:11" x14ac:dyDescent="0.25">
      <c r="A865" t="s">
        <v>3070</v>
      </c>
      <c r="B865" t="s">
        <v>3071</v>
      </c>
      <c r="C865" t="s">
        <v>3072</v>
      </c>
      <c r="D865" t="s">
        <v>3073</v>
      </c>
      <c r="E865" t="s">
        <v>14</v>
      </c>
      <c r="F865" t="s">
        <v>15</v>
      </c>
      <c r="G865">
        <v>28210</v>
      </c>
      <c r="H865" t="s">
        <v>16</v>
      </c>
      <c r="I865">
        <v>634</v>
      </c>
      <c r="J865">
        <v>1</v>
      </c>
      <c r="K865" t="s">
        <v>8924</v>
      </c>
    </row>
    <row r="866" spans="1:11" x14ac:dyDescent="0.25">
      <c r="A866" t="s">
        <v>3074</v>
      </c>
      <c r="B866" t="s">
        <v>379</v>
      </c>
      <c r="C866" t="s">
        <v>3075</v>
      </c>
      <c r="D866" t="s">
        <v>1284</v>
      </c>
      <c r="E866" t="s">
        <v>14</v>
      </c>
      <c r="F866" t="s">
        <v>15</v>
      </c>
      <c r="G866">
        <v>28202</v>
      </c>
      <c r="H866" t="s">
        <v>48</v>
      </c>
      <c r="I866">
        <v>11</v>
      </c>
      <c r="J866">
        <v>1</v>
      </c>
      <c r="K866" t="s">
        <v>8930</v>
      </c>
    </row>
    <row r="867" spans="1:11" x14ac:dyDescent="0.25">
      <c r="A867" t="s">
        <v>3076</v>
      </c>
      <c r="B867" t="s">
        <v>3077</v>
      </c>
      <c r="C867" t="s">
        <v>3078</v>
      </c>
      <c r="D867" t="s">
        <v>3079</v>
      </c>
      <c r="E867" t="s">
        <v>14</v>
      </c>
      <c r="F867" t="s">
        <v>15</v>
      </c>
      <c r="G867">
        <v>28209</v>
      </c>
      <c r="H867" t="s">
        <v>21</v>
      </c>
      <c r="I867">
        <v>116</v>
      </c>
      <c r="J867">
        <v>1</v>
      </c>
      <c r="K867" t="s">
        <v>8935</v>
      </c>
    </row>
    <row r="868" spans="1:11" x14ac:dyDescent="0.25">
      <c r="A868" t="s">
        <v>3080</v>
      </c>
      <c r="B868" t="s">
        <v>3081</v>
      </c>
      <c r="C868" t="s">
        <v>3082</v>
      </c>
      <c r="D868" t="s">
        <v>3083</v>
      </c>
      <c r="E868" t="s">
        <v>14</v>
      </c>
      <c r="F868" t="s">
        <v>15</v>
      </c>
      <c r="G868">
        <v>28209</v>
      </c>
      <c r="H868" t="s">
        <v>16</v>
      </c>
      <c r="I868">
        <v>16</v>
      </c>
      <c r="J868">
        <v>0</v>
      </c>
      <c r="K868" t="s">
        <v>8935</v>
      </c>
    </row>
    <row r="869" spans="1:11" x14ac:dyDescent="0.25">
      <c r="A869" t="s">
        <v>3084</v>
      </c>
      <c r="B869" t="s">
        <v>3085</v>
      </c>
      <c r="C869" t="s">
        <v>3086</v>
      </c>
      <c r="D869" t="s">
        <v>850</v>
      </c>
      <c r="E869" t="s">
        <v>14</v>
      </c>
      <c r="F869" t="s">
        <v>15</v>
      </c>
      <c r="G869">
        <v>28202</v>
      </c>
      <c r="H869" t="s">
        <v>21</v>
      </c>
      <c r="I869">
        <v>11</v>
      </c>
      <c r="J869">
        <v>0</v>
      </c>
      <c r="K869" t="s">
        <v>8935</v>
      </c>
    </row>
    <row r="870" spans="1:11" x14ac:dyDescent="0.25">
      <c r="A870" t="s">
        <v>3087</v>
      </c>
      <c r="B870" t="s">
        <v>3088</v>
      </c>
      <c r="C870" t="s">
        <v>411</v>
      </c>
      <c r="D870" t="s">
        <v>3089</v>
      </c>
      <c r="E870" t="s">
        <v>14</v>
      </c>
      <c r="F870" t="s">
        <v>15</v>
      </c>
      <c r="G870">
        <v>28205</v>
      </c>
      <c r="H870" t="s">
        <v>48</v>
      </c>
      <c r="I870">
        <v>20</v>
      </c>
      <c r="J870">
        <v>1</v>
      </c>
      <c r="K870" t="s">
        <v>8935</v>
      </c>
    </row>
    <row r="871" spans="1:11" x14ac:dyDescent="0.25">
      <c r="A871" t="s">
        <v>3090</v>
      </c>
      <c r="B871" t="s">
        <v>410</v>
      </c>
      <c r="C871" t="s">
        <v>411</v>
      </c>
      <c r="D871" t="s">
        <v>3091</v>
      </c>
      <c r="E871" t="s">
        <v>14</v>
      </c>
      <c r="F871" t="s">
        <v>15</v>
      </c>
      <c r="G871">
        <v>28277</v>
      </c>
      <c r="H871" t="s">
        <v>48</v>
      </c>
      <c r="I871">
        <v>15</v>
      </c>
      <c r="J871">
        <v>1</v>
      </c>
      <c r="K871" t="s">
        <v>8935</v>
      </c>
    </row>
    <row r="872" spans="1:11" x14ac:dyDescent="0.25">
      <c r="A872" t="s">
        <v>3092</v>
      </c>
      <c r="B872" t="s">
        <v>3093</v>
      </c>
      <c r="C872" t="s">
        <v>3094</v>
      </c>
      <c r="D872" t="s">
        <v>954</v>
      </c>
      <c r="E872" t="s">
        <v>14</v>
      </c>
      <c r="F872" t="s">
        <v>15</v>
      </c>
      <c r="G872">
        <v>28202</v>
      </c>
      <c r="H872" t="s">
        <v>26</v>
      </c>
      <c r="I872">
        <v>89</v>
      </c>
      <c r="J872">
        <v>0</v>
      </c>
      <c r="K872" t="s">
        <v>8935</v>
      </c>
    </row>
    <row r="873" spans="1:11" x14ac:dyDescent="0.25">
      <c r="A873" t="s">
        <v>3095</v>
      </c>
      <c r="B873" t="s">
        <v>3096</v>
      </c>
      <c r="C873" t="s">
        <v>3097</v>
      </c>
      <c r="D873" t="s">
        <v>3098</v>
      </c>
      <c r="E873" t="s">
        <v>14</v>
      </c>
      <c r="F873" t="s">
        <v>15</v>
      </c>
      <c r="G873">
        <v>28213</v>
      </c>
      <c r="H873" t="s">
        <v>48</v>
      </c>
      <c r="I873">
        <v>43</v>
      </c>
      <c r="J873">
        <v>1</v>
      </c>
      <c r="K873" t="s">
        <v>8935</v>
      </c>
    </row>
    <row r="874" spans="1:11" x14ac:dyDescent="0.25">
      <c r="A874" t="s">
        <v>3099</v>
      </c>
      <c r="B874" t="s">
        <v>3100</v>
      </c>
      <c r="C874" t="s">
        <v>3101</v>
      </c>
      <c r="D874" t="s">
        <v>3102</v>
      </c>
      <c r="E874" t="s">
        <v>14</v>
      </c>
      <c r="F874" t="s">
        <v>15</v>
      </c>
      <c r="G874">
        <v>28262</v>
      </c>
      <c r="H874" t="s">
        <v>21</v>
      </c>
      <c r="I874">
        <v>24</v>
      </c>
      <c r="J874">
        <v>1</v>
      </c>
      <c r="K874" t="s">
        <v>8920</v>
      </c>
    </row>
    <row r="875" spans="1:11" x14ac:dyDescent="0.25">
      <c r="A875" t="s">
        <v>3103</v>
      </c>
      <c r="B875" t="s">
        <v>3104</v>
      </c>
      <c r="C875" t="s">
        <v>3105</v>
      </c>
      <c r="D875" t="s">
        <v>3106</v>
      </c>
      <c r="E875" t="s">
        <v>14</v>
      </c>
      <c r="F875" t="s">
        <v>15</v>
      </c>
      <c r="G875">
        <v>28217</v>
      </c>
      <c r="H875" t="s">
        <v>16</v>
      </c>
      <c r="I875">
        <v>30</v>
      </c>
      <c r="J875">
        <v>1</v>
      </c>
      <c r="K875" t="s">
        <v>8935</v>
      </c>
    </row>
    <row r="876" spans="1:11" x14ac:dyDescent="0.25">
      <c r="A876" t="s">
        <v>3107</v>
      </c>
      <c r="B876" t="s">
        <v>2054</v>
      </c>
      <c r="C876" t="s">
        <v>3108</v>
      </c>
      <c r="D876" t="s">
        <v>3109</v>
      </c>
      <c r="E876" t="s">
        <v>14</v>
      </c>
      <c r="F876" t="s">
        <v>15</v>
      </c>
      <c r="G876">
        <v>28202</v>
      </c>
      <c r="H876" t="s">
        <v>16</v>
      </c>
      <c r="I876">
        <v>80</v>
      </c>
      <c r="J876">
        <v>1</v>
      </c>
      <c r="K876" t="s">
        <v>8936</v>
      </c>
    </row>
    <row r="877" spans="1:11" x14ac:dyDescent="0.25">
      <c r="A877" t="s">
        <v>3110</v>
      </c>
      <c r="B877" t="s">
        <v>3111</v>
      </c>
      <c r="C877" t="s">
        <v>3112</v>
      </c>
      <c r="D877" t="s">
        <v>975</v>
      </c>
      <c r="E877" t="s">
        <v>14</v>
      </c>
      <c r="F877" t="s">
        <v>15</v>
      </c>
      <c r="G877">
        <v>28203</v>
      </c>
      <c r="H877" t="s">
        <v>26</v>
      </c>
      <c r="I877">
        <v>9</v>
      </c>
      <c r="J877">
        <v>0</v>
      </c>
      <c r="K877" t="s">
        <v>8935</v>
      </c>
    </row>
    <row r="878" spans="1:11" x14ac:dyDescent="0.25">
      <c r="A878" t="s">
        <v>3113</v>
      </c>
      <c r="B878" t="s">
        <v>3114</v>
      </c>
      <c r="C878" t="s">
        <v>3115</v>
      </c>
      <c r="D878" t="s">
        <v>3116</v>
      </c>
      <c r="E878" t="s">
        <v>14</v>
      </c>
      <c r="F878" t="s">
        <v>15</v>
      </c>
      <c r="G878">
        <v>28216</v>
      </c>
      <c r="H878" t="s">
        <v>39</v>
      </c>
      <c r="I878">
        <v>36</v>
      </c>
      <c r="J878">
        <v>1</v>
      </c>
      <c r="K878" t="s">
        <v>8935</v>
      </c>
    </row>
    <row r="879" spans="1:11" x14ac:dyDescent="0.25">
      <c r="A879" t="s">
        <v>3117</v>
      </c>
      <c r="B879" t="s">
        <v>3118</v>
      </c>
      <c r="C879" t="s">
        <v>3119</v>
      </c>
      <c r="D879" t="s">
        <v>3120</v>
      </c>
      <c r="E879" t="s">
        <v>14</v>
      </c>
      <c r="F879" t="s">
        <v>15</v>
      </c>
      <c r="G879">
        <v>28226</v>
      </c>
      <c r="H879" t="s">
        <v>21</v>
      </c>
      <c r="I879">
        <v>141</v>
      </c>
      <c r="J879">
        <v>1</v>
      </c>
      <c r="K879" t="s">
        <v>8926</v>
      </c>
    </row>
    <row r="880" spans="1:11" x14ac:dyDescent="0.25">
      <c r="A880" t="s">
        <v>3121</v>
      </c>
      <c r="B880" t="s">
        <v>3122</v>
      </c>
      <c r="C880" t="s">
        <v>3123</v>
      </c>
      <c r="D880" t="s">
        <v>3124</v>
      </c>
      <c r="E880" t="s">
        <v>14</v>
      </c>
      <c r="F880" t="s">
        <v>15</v>
      </c>
      <c r="G880">
        <v>28202</v>
      </c>
      <c r="H880" t="s">
        <v>16</v>
      </c>
      <c r="I880">
        <v>50</v>
      </c>
      <c r="J880">
        <v>1</v>
      </c>
      <c r="K880" t="s">
        <v>8935</v>
      </c>
    </row>
    <row r="881" spans="1:11" x14ac:dyDescent="0.25">
      <c r="A881" t="s">
        <v>3125</v>
      </c>
      <c r="B881" t="s">
        <v>3126</v>
      </c>
      <c r="C881" t="s">
        <v>3127</v>
      </c>
      <c r="D881" t="s">
        <v>3128</v>
      </c>
      <c r="E881" t="s">
        <v>14</v>
      </c>
      <c r="F881" t="s">
        <v>15</v>
      </c>
      <c r="G881">
        <v>28273</v>
      </c>
      <c r="H881" t="s">
        <v>39</v>
      </c>
      <c r="I881">
        <v>39</v>
      </c>
      <c r="J881">
        <v>0</v>
      </c>
      <c r="K881" t="s">
        <v>8935</v>
      </c>
    </row>
    <row r="882" spans="1:11" x14ac:dyDescent="0.25">
      <c r="A882" t="s">
        <v>3129</v>
      </c>
      <c r="B882" t="s">
        <v>3130</v>
      </c>
      <c r="C882" t="s">
        <v>3131</v>
      </c>
      <c r="D882" t="s">
        <v>3132</v>
      </c>
      <c r="E882" t="s">
        <v>14</v>
      </c>
      <c r="F882" t="s">
        <v>15</v>
      </c>
      <c r="G882">
        <v>28202</v>
      </c>
      <c r="H882" t="s">
        <v>16</v>
      </c>
      <c r="I882">
        <v>523</v>
      </c>
      <c r="J882">
        <v>1</v>
      </c>
      <c r="K882" t="s">
        <v>8935</v>
      </c>
    </row>
    <row r="883" spans="1:11" x14ac:dyDescent="0.25">
      <c r="A883" t="s">
        <v>3133</v>
      </c>
      <c r="B883" t="s">
        <v>3134</v>
      </c>
      <c r="C883" t="s">
        <v>3135</v>
      </c>
      <c r="D883" t="s">
        <v>3136</v>
      </c>
      <c r="E883" t="s">
        <v>14</v>
      </c>
      <c r="F883" t="s">
        <v>15</v>
      </c>
      <c r="G883">
        <v>28205</v>
      </c>
      <c r="H883" t="s">
        <v>39</v>
      </c>
      <c r="I883">
        <v>630</v>
      </c>
      <c r="J883">
        <v>1</v>
      </c>
      <c r="K883" t="s">
        <v>8935</v>
      </c>
    </row>
    <row r="884" spans="1:11" x14ac:dyDescent="0.25">
      <c r="A884" t="s">
        <v>3137</v>
      </c>
      <c r="B884" t="s">
        <v>3138</v>
      </c>
      <c r="C884" t="s">
        <v>3139</v>
      </c>
      <c r="D884" t="s">
        <v>3140</v>
      </c>
      <c r="E884" t="s">
        <v>14</v>
      </c>
      <c r="F884" t="s">
        <v>15</v>
      </c>
      <c r="G884">
        <v>28277</v>
      </c>
      <c r="H884" t="s">
        <v>21</v>
      </c>
      <c r="I884">
        <v>41</v>
      </c>
      <c r="J884">
        <v>0</v>
      </c>
      <c r="K884" t="s">
        <v>8935</v>
      </c>
    </row>
    <row r="885" spans="1:11" x14ac:dyDescent="0.25">
      <c r="A885" t="s">
        <v>3141</v>
      </c>
      <c r="B885" t="s">
        <v>3142</v>
      </c>
      <c r="C885" t="s">
        <v>1020</v>
      </c>
      <c r="D885" t="s">
        <v>3143</v>
      </c>
      <c r="E885" t="s">
        <v>14</v>
      </c>
      <c r="F885" t="s">
        <v>15</v>
      </c>
      <c r="G885">
        <v>28269</v>
      </c>
      <c r="H885" t="s">
        <v>26</v>
      </c>
      <c r="I885">
        <v>9</v>
      </c>
      <c r="J885">
        <v>1</v>
      </c>
      <c r="K885" t="s">
        <v>8935</v>
      </c>
    </row>
    <row r="886" spans="1:11" x14ac:dyDescent="0.25">
      <c r="A886" t="s">
        <v>3144</v>
      </c>
      <c r="B886" t="s">
        <v>3145</v>
      </c>
      <c r="C886" t="s">
        <v>51</v>
      </c>
      <c r="D886" t="s">
        <v>3146</v>
      </c>
      <c r="E886" t="s">
        <v>14</v>
      </c>
      <c r="F886" t="s">
        <v>15</v>
      </c>
      <c r="G886">
        <v>28104</v>
      </c>
      <c r="H886" t="s">
        <v>26</v>
      </c>
      <c r="I886">
        <v>84</v>
      </c>
      <c r="J886">
        <v>1</v>
      </c>
      <c r="K886" t="s">
        <v>8935</v>
      </c>
    </row>
    <row r="887" spans="1:11" x14ac:dyDescent="0.25">
      <c r="A887" t="s">
        <v>3147</v>
      </c>
      <c r="B887" t="s">
        <v>3148</v>
      </c>
      <c r="C887" t="s">
        <v>467</v>
      </c>
      <c r="D887" t="s">
        <v>3149</v>
      </c>
      <c r="E887" t="s">
        <v>14</v>
      </c>
      <c r="F887" t="s">
        <v>15</v>
      </c>
      <c r="G887">
        <v>28217</v>
      </c>
      <c r="H887" t="s">
        <v>48</v>
      </c>
      <c r="I887">
        <v>36</v>
      </c>
      <c r="J887">
        <v>1</v>
      </c>
      <c r="K887" t="s">
        <v>8935</v>
      </c>
    </row>
    <row r="888" spans="1:11" x14ac:dyDescent="0.25">
      <c r="A888" t="s">
        <v>3150</v>
      </c>
      <c r="B888" t="s">
        <v>3151</v>
      </c>
      <c r="C888" t="s">
        <v>3152</v>
      </c>
      <c r="D888" t="s">
        <v>3153</v>
      </c>
      <c r="E888" t="s">
        <v>14</v>
      </c>
      <c r="F888" t="s">
        <v>15</v>
      </c>
      <c r="G888">
        <v>28204</v>
      </c>
      <c r="H888" t="s">
        <v>26</v>
      </c>
      <c r="I888">
        <v>7</v>
      </c>
      <c r="J888">
        <v>0</v>
      </c>
      <c r="K888" t="s">
        <v>8922</v>
      </c>
    </row>
    <row r="889" spans="1:11" x14ac:dyDescent="0.25">
      <c r="A889" t="s">
        <v>3154</v>
      </c>
      <c r="B889" t="s">
        <v>3155</v>
      </c>
      <c r="C889" t="s">
        <v>3156</v>
      </c>
      <c r="D889" t="s">
        <v>3157</v>
      </c>
      <c r="E889" t="s">
        <v>14</v>
      </c>
      <c r="F889" t="s">
        <v>15</v>
      </c>
      <c r="G889">
        <v>28226</v>
      </c>
      <c r="H889" t="s">
        <v>21</v>
      </c>
      <c r="I889">
        <v>106</v>
      </c>
      <c r="J889">
        <v>1</v>
      </c>
      <c r="K889" t="s">
        <v>8936</v>
      </c>
    </row>
    <row r="890" spans="1:11" x14ac:dyDescent="0.25">
      <c r="A890" t="s">
        <v>3158</v>
      </c>
      <c r="B890" t="s">
        <v>3159</v>
      </c>
      <c r="C890" t="s">
        <v>3160</v>
      </c>
      <c r="D890" t="s">
        <v>3161</v>
      </c>
      <c r="E890" t="s">
        <v>14</v>
      </c>
      <c r="F890" t="s">
        <v>15</v>
      </c>
      <c r="G890">
        <v>28226</v>
      </c>
      <c r="H890" t="s">
        <v>146</v>
      </c>
      <c r="I890">
        <v>4</v>
      </c>
      <c r="J890">
        <v>1</v>
      </c>
      <c r="K890" t="s">
        <v>8935</v>
      </c>
    </row>
    <row r="891" spans="1:11" x14ac:dyDescent="0.25">
      <c r="A891" t="s">
        <v>3162</v>
      </c>
      <c r="B891" t="s">
        <v>1343</v>
      </c>
      <c r="C891" t="s">
        <v>3163</v>
      </c>
      <c r="D891" t="s">
        <v>3164</v>
      </c>
      <c r="E891" t="s">
        <v>14</v>
      </c>
      <c r="F891" t="s">
        <v>15</v>
      </c>
      <c r="G891">
        <v>28207</v>
      </c>
      <c r="H891" t="s">
        <v>16</v>
      </c>
      <c r="I891">
        <v>16</v>
      </c>
      <c r="J891">
        <v>0</v>
      </c>
      <c r="K891" t="s">
        <v>8935</v>
      </c>
    </row>
    <row r="892" spans="1:11" x14ac:dyDescent="0.25">
      <c r="A892" t="s">
        <v>3165</v>
      </c>
      <c r="B892" t="s">
        <v>1329</v>
      </c>
      <c r="C892" t="s">
        <v>3166</v>
      </c>
      <c r="D892" t="s">
        <v>3167</v>
      </c>
      <c r="E892" t="s">
        <v>14</v>
      </c>
      <c r="F892" t="s">
        <v>15</v>
      </c>
      <c r="G892">
        <v>28273</v>
      </c>
      <c r="H892" t="s">
        <v>21</v>
      </c>
      <c r="I892">
        <v>44</v>
      </c>
      <c r="J892">
        <v>0</v>
      </c>
      <c r="K892" t="s">
        <v>8923</v>
      </c>
    </row>
    <row r="893" spans="1:11" x14ac:dyDescent="0.25">
      <c r="A893" t="s">
        <v>3168</v>
      </c>
      <c r="B893" t="s">
        <v>279</v>
      </c>
      <c r="C893" t="s">
        <v>3169</v>
      </c>
      <c r="D893" t="s">
        <v>3170</v>
      </c>
      <c r="E893" t="s">
        <v>14</v>
      </c>
      <c r="F893" t="s">
        <v>15</v>
      </c>
      <c r="G893">
        <v>28262</v>
      </c>
      <c r="H893" t="s">
        <v>21</v>
      </c>
      <c r="I893">
        <v>104</v>
      </c>
      <c r="J893">
        <v>1</v>
      </c>
      <c r="K893" t="s">
        <v>8926</v>
      </c>
    </row>
    <row r="894" spans="1:11" x14ac:dyDescent="0.25">
      <c r="A894" t="s">
        <v>3171</v>
      </c>
      <c r="B894" t="s">
        <v>3172</v>
      </c>
      <c r="C894" t="s">
        <v>2359</v>
      </c>
      <c r="D894" t="s">
        <v>3173</v>
      </c>
      <c r="E894" t="s">
        <v>14</v>
      </c>
      <c r="F894" t="s">
        <v>15</v>
      </c>
      <c r="G894">
        <v>28227</v>
      </c>
      <c r="H894" t="s">
        <v>48</v>
      </c>
      <c r="I894">
        <v>37</v>
      </c>
      <c r="J894">
        <v>0</v>
      </c>
      <c r="K894" t="s">
        <v>8935</v>
      </c>
    </row>
    <row r="895" spans="1:11" x14ac:dyDescent="0.25">
      <c r="A895" t="s">
        <v>3174</v>
      </c>
      <c r="B895" t="s">
        <v>3175</v>
      </c>
      <c r="C895" t="s">
        <v>3176</v>
      </c>
      <c r="D895" t="s">
        <v>3177</v>
      </c>
      <c r="E895" t="s">
        <v>14</v>
      </c>
      <c r="F895" t="s">
        <v>15</v>
      </c>
      <c r="G895">
        <v>28213</v>
      </c>
      <c r="H895" t="s">
        <v>26</v>
      </c>
      <c r="I895">
        <v>115</v>
      </c>
      <c r="J895">
        <v>1</v>
      </c>
      <c r="K895" t="s">
        <v>8935</v>
      </c>
    </row>
    <row r="896" spans="1:11" x14ac:dyDescent="0.25">
      <c r="A896" t="s">
        <v>3178</v>
      </c>
      <c r="B896" t="s">
        <v>3179</v>
      </c>
      <c r="C896" t="s">
        <v>169</v>
      </c>
      <c r="D896" t="s">
        <v>3180</v>
      </c>
      <c r="E896" t="s">
        <v>14</v>
      </c>
      <c r="F896" t="s">
        <v>15</v>
      </c>
      <c r="G896">
        <v>28202</v>
      </c>
      <c r="H896" t="s">
        <v>48</v>
      </c>
      <c r="I896">
        <v>118</v>
      </c>
      <c r="J896">
        <v>1</v>
      </c>
      <c r="K896" t="s">
        <v>8935</v>
      </c>
    </row>
    <row r="897" spans="1:11" x14ac:dyDescent="0.25">
      <c r="A897" t="s">
        <v>3181</v>
      </c>
      <c r="B897" t="s">
        <v>3182</v>
      </c>
      <c r="C897" t="s">
        <v>3183</v>
      </c>
      <c r="D897" t="s">
        <v>3184</v>
      </c>
      <c r="E897" t="s">
        <v>14</v>
      </c>
      <c r="F897" t="s">
        <v>15</v>
      </c>
      <c r="G897">
        <v>28204</v>
      </c>
      <c r="H897" t="s">
        <v>39</v>
      </c>
      <c r="I897">
        <v>202</v>
      </c>
      <c r="J897">
        <v>1</v>
      </c>
      <c r="K897" t="s">
        <v>8935</v>
      </c>
    </row>
    <row r="898" spans="1:11" x14ac:dyDescent="0.25">
      <c r="A898" t="s">
        <v>3185</v>
      </c>
      <c r="B898" t="s">
        <v>3186</v>
      </c>
      <c r="C898" t="s">
        <v>59</v>
      </c>
      <c r="D898" t="s">
        <v>3187</v>
      </c>
      <c r="E898" t="s">
        <v>14</v>
      </c>
      <c r="F898" t="s">
        <v>15</v>
      </c>
      <c r="G898">
        <v>28262</v>
      </c>
      <c r="H898" t="s">
        <v>26</v>
      </c>
      <c r="I898">
        <v>9</v>
      </c>
      <c r="J898">
        <v>1</v>
      </c>
      <c r="K898" t="s">
        <v>8935</v>
      </c>
    </row>
    <row r="899" spans="1:11" x14ac:dyDescent="0.25">
      <c r="A899" t="s">
        <v>3188</v>
      </c>
      <c r="B899" t="s">
        <v>3189</v>
      </c>
      <c r="C899" t="s">
        <v>3190</v>
      </c>
      <c r="D899" t="s">
        <v>64</v>
      </c>
      <c r="E899" t="s">
        <v>14</v>
      </c>
      <c r="F899" t="s">
        <v>15</v>
      </c>
      <c r="G899">
        <v>28203</v>
      </c>
      <c r="H899" t="s">
        <v>16</v>
      </c>
      <c r="I899">
        <v>77</v>
      </c>
      <c r="J899">
        <v>0</v>
      </c>
      <c r="K899" t="s">
        <v>8935</v>
      </c>
    </row>
    <row r="900" spans="1:11" x14ac:dyDescent="0.25">
      <c r="A900" t="s">
        <v>3191</v>
      </c>
      <c r="B900" t="s">
        <v>3192</v>
      </c>
      <c r="C900" t="s">
        <v>3193</v>
      </c>
      <c r="E900" t="s">
        <v>14</v>
      </c>
      <c r="F900" t="s">
        <v>15</v>
      </c>
      <c r="G900">
        <v>28205</v>
      </c>
      <c r="H900" t="s">
        <v>16</v>
      </c>
      <c r="I900">
        <v>11</v>
      </c>
      <c r="J900">
        <v>1</v>
      </c>
      <c r="K900" t="s">
        <v>8922</v>
      </c>
    </row>
    <row r="901" spans="1:11" x14ac:dyDescent="0.25">
      <c r="A901" t="s">
        <v>3194</v>
      </c>
      <c r="B901" t="s">
        <v>3195</v>
      </c>
      <c r="C901" t="s">
        <v>3196</v>
      </c>
      <c r="D901" t="s">
        <v>3197</v>
      </c>
      <c r="E901" t="s">
        <v>14</v>
      </c>
      <c r="F901" t="s">
        <v>15</v>
      </c>
      <c r="G901">
        <v>28204</v>
      </c>
      <c r="H901" t="s">
        <v>16</v>
      </c>
      <c r="I901">
        <v>183</v>
      </c>
      <c r="J901">
        <v>1</v>
      </c>
      <c r="K901" t="s">
        <v>8935</v>
      </c>
    </row>
    <row r="902" spans="1:11" x14ac:dyDescent="0.25">
      <c r="A902" t="s">
        <v>3198</v>
      </c>
      <c r="B902" t="s">
        <v>312</v>
      </c>
      <c r="C902" t="s">
        <v>3199</v>
      </c>
      <c r="D902" t="s">
        <v>3200</v>
      </c>
      <c r="E902" t="s">
        <v>14</v>
      </c>
      <c r="F902" t="s">
        <v>15</v>
      </c>
      <c r="G902">
        <v>28217</v>
      </c>
      <c r="H902" t="s">
        <v>21</v>
      </c>
      <c r="I902">
        <v>3</v>
      </c>
      <c r="J902">
        <v>1</v>
      </c>
      <c r="K902" t="s">
        <v>8925</v>
      </c>
    </row>
    <row r="903" spans="1:11" x14ac:dyDescent="0.25">
      <c r="A903" t="s">
        <v>3201</v>
      </c>
      <c r="B903" t="s">
        <v>3202</v>
      </c>
      <c r="C903" t="s">
        <v>3203</v>
      </c>
      <c r="D903" t="s">
        <v>2545</v>
      </c>
      <c r="E903" t="s">
        <v>14</v>
      </c>
      <c r="F903" t="s">
        <v>15</v>
      </c>
      <c r="G903">
        <v>28277</v>
      </c>
      <c r="H903" t="s">
        <v>26</v>
      </c>
      <c r="I903">
        <v>18</v>
      </c>
      <c r="J903">
        <v>1</v>
      </c>
      <c r="K903" t="s">
        <v>8935</v>
      </c>
    </row>
    <row r="904" spans="1:11" x14ac:dyDescent="0.25">
      <c r="A904" t="s">
        <v>3204</v>
      </c>
      <c r="B904" t="s">
        <v>3205</v>
      </c>
      <c r="C904" t="s">
        <v>337</v>
      </c>
      <c r="D904" t="s">
        <v>3206</v>
      </c>
      <c r="E904" t="s">
        <v>14</v>
      </c>
      <c r="F904" t="s">
        <v>15</v>
      </c>
      <c r="G904">
        <v>28227</v>
      </c>
      <c r="H904" t="s">
        <v>21</v>
      </c>
      <c r="I904">
        <v>15</v>
      </c>
      <c r="J904">
        <v>1</v>
      </c>
      <c r="K904" t="s">
        <v>8935</v>
      </c>
    </row>
    <row r="905" spans="1:11" x14ac:dyDescent="0.25">
      <c r="A905" t="s">
        <v>3207</v>
      </c>
      <c r="B905" t="s">
        <v>3208</v>
      </c>
      <c r="C905" t="s">
        <v>3209</v>
      </c>
      <c r="D905" t="s">
        <v>3210</v>
      </c>
      <c r="E905" t="s">
        <v>14</v>
      </c>
      <c r="F905" t="s">
        <v>15</v>
      </c>
      <c r="G905">
        <v>28277</v>
      </c>
      <c r="H905" t="s">
        <v>16</v>
      </c>
      <c r="I905">
        <v>76</v>
      </c>
      <c r="J905">
        <v>0</v>
      </c>
      <c r="K905" t="s">
        <v>8921</v>
      </c>
    </row>
    <row r="906" spans="1:11" x14ac:dyDescent="0.25">
      <c r="A906" t="s">
        <v>3211</v>
      </c>
      <c r="B906" t="s">
        <v>3212</v>
      </c>
      <c r="C906" t="s">
        <v>1135</v>
      </c>
      <c r="D906" t="s">
        <v>3213</v>
      </c>
      <c r="E906" t="s">
        <v>14</v>
      </c>
      <c r="F906" t="s">
        <v>15</v>
      </c>
      <c r="G906">
        <v>28226</v>
      </c>
      <c r="H906" t="s">
        <v>101</v>
      </c>
      <c r="I906">
        <v>32</v>
      </c>
      <c r="J906">
        <v>1</v>
      </c>
      <c r="K906" t="s">
        <v>8935</v>
      </c>
    </row>
    <row r="907" spans="1:11" x14ac:dyDescent="0.25">
      <c r="A907" t="s">
        <v>3214</v>
      </c>
      <c r="B907" t="s">
        <v>3215</v>
      </c>
      <c r="C907" t="s">
        <v>3216</v>
      </c>
      <c r="D907" t="s">
        <v>3217</v>
      </c>
      <c r="E907" t="s">
        <v>14</v>
      </c>
      <c r="F907" t="s">
        <v>15</v>
      </c>
      <c r="G907">
        <v>28203</v>
      </c>
      <c r="H907" t="s">
        <v>16</v>
      </c>
      <c r="I907">
        <v>46</v>
      </c>
      <c r="J907">
        <v>1</v>
      </c>
      <c r="K907" t="s">
        <v>8920</v>
      </c>
    </row>
    <row r="908" spans="1:11" x14ac:dyDescent="0.25">
      <c r="A908" t="s">
        <v>3218</v>
      </c>
      <c r="B908" t="s">
        <v>58</v>
      </c>
      <c r="C908" t="s">
        <v>3219</v>
      </c>
      <c r="D908" t="s">
        <v>3220</v>
      </c>
      <c r="E908" t="s">
        <v>14</v>
      </c>
      <c r="F908" t="s">
        <v>15</v>
      </c>
      <c r="G908">
        <v>28202</v>
      </c>
      <c r="H908" t="s">
        <v>16</v>
      </c>
      <c r="I908">
        <v>4</v>
      </c>
      <c r="J908">
        <v>0</v>
      </c>
      <c r="K908" t="s">
        <v>8935</v>
      </c>
    </row>
    <row r="909" spans="1:11" x14ac:dyDescent="0.25">
      <c r="A909" t="s">
        <v>3221</v>
      </c>
      <c r="B909" t="s">
        <v>1343</v>
      </c>
      <c r="C909" t="s">
        <v>3222</v>
      </c>
      <c r="D909" t="s">
        <v>3223</v>
      </c>
      <c r="E909" t="s">
        <v>14</v>
      </c>
      <c r="F909" t="s">
        <v>15</v>
      </c>
      <c r="G909">
        <v>28203</v>
      </c>
      <c r="H909" t="s">
        <v>26</v>
      </c>
      <c r="I909">
        <v>36</v>
      </c>
      <c r="J909">
        <v>1</v>
      </c>
      <c r="K909" t="s">
        <v>8935</v>
      </c>
    </row>
    <row r="910" spans="1:11" x14ac:dyDescent="0.25">
      <c r="A910" t="s">
        <v>3224</v>
      </c>
      <c r="B910" t="s">
        <v>3225</v>
      </c>
      <c r="C910" t="s">
        <v>3226</v>
      </c>
      <c r="D910" t="s">
        <v>3227</v>
      </c>
      <c r="E910" t="s">
        <v>14</v>
      </c>
      <c r="F910" t="s">
        <v>15</v>
      </c>
      <c r="G910">
        <v>28277</v>
      </c>
      <c r="H910" t="s">
        <v>21</v>
      </c>
      <c r="I910">
        <v>6</v>
      </c>
      <c r="J910">
        <v>1</v>
      </c>
      <c r="K910" t="s">
        <v>8935</v>
      </c>
    </row>
    <row r="911" spans="1:11" x14ac:dyDescent="0.25">
      <c r="A911" t="s">
        <v>3228</v>
      </c>
      <c r="B911" t="s">
        <v>3229</v>
      </c>
      <c r="C911" t="s">
        <v>3230</v>
      </c>
      <c r="D911" t="s">
        <v>3231</v>
      </c>
      <c r="E911" t="s">
        <v>14</v>
      </c>
      <c r="F911" t="s">
        <v>15</v>
      </c>
      <c r="G911">
        <v>28202</v>
      </c>
      <c r="H911" t="s">
        <v>21</v>
      </c>
      <c r="I911">
        <v>207</v>
      </c>
      <c r="J911">
        <v>0</v>
      </c>
      <c r="K911" t="s">
        <v>8923</v>
      </c>
    </row>
    <row r="912" spans="1:11" x14ac:dyDescent="0.25">
      <c r="A912" t="s">
        <v>3232</v>
      </c>
      <c r="B912" t="s">
        <v>279</v>
      </c>
      <c r="C912" t="s">
        <v>3233</v>
      </c>
      <c r="D912" t="s">
        <v>1274</v>
      </c>
      <c r="E912" t="s">
        <v>14</v>
      </c>
      <c r="F912" t="s">
        <v>15</v>
      </c>
      <c r="G912">
        <v>28269</v>
      </c>
      <c r="H912" t="s">
        <v>26</v>
      </c>
      <c r="I912">
        <v>28</v>
      </c>
      <c r="J912">
        <v>1</v>
      </c>
      <c r="K912" t="s">
        <v>8926</v>
      </c>
    </row>
    <row r="913" spans="1:11" x14ac:dyDescent="0.25">
      <c r="A913" t="s">
        <v>3234</v>
      </c>
      <c r="B913" t="s">
        <v>3235</v>
      </c>
      <c r="C913" t="s">
        <v>3236</v>
      </c>
      <c r="D913" t="s">
        <v>3237</v>
      </c>
      <c r="E913" t="s">
        <v>14</v>
      </c>
      <c r="F913" t="s">
        <v>15</v>
      </c>
      <c r="G913">
        <v>28263</v>
      </c>
      <c r="H913" t="s">
        <v>16</v>
      </c>
      <c r="I913">
        <v>27</v>
      </c>
      <c r="J913">
        <v>1</v>
      </c>
      <c r="K913" t="s">
        <v>8935</v>
      </c>
    </row>
    <row r="914" spans="1:11" x14ac:dyDescent="0.25">
      <c r="A914" t="s">
        <v>3238</v>
      </c>
      <c r="B914" t="s">
        <v>279</v>
      </c>
      <c r="C914" t="s">
        <v>3239</v>
      </c>
      <c r="D914" t="s">
        <v>3240</v>
      </c>
      <c r="E914" t="s">
        <v>14</v>
      </c>
      <c r="F914" t="s">
        <v>15</v>
      </c>
      <c r="G914">
        <v>28273</v>
      </c>
      <c r="H914" t="s">
        <v>48</v>
      </c>
      <c r="I914">
        <v>11</v>
      </c>
      <c r="J914">
        <v>0</v>
      </c>
      <c r="K914" t="s">
        <v>8926</v>
      </c>
    </row>
    <row r="915" spans="1:11" x14ac:dyDescent="0.25">
      <c r="A915" t="s">
        <v>3241</v>
      </c>
      <c r="B915" t="s">
        <v>3242</v>
      </c>
      <c r="C915" t="s">
        <v>3243</v>
      </c>
      <c r="D915" t="s">
        <v>1325</v>
      </c>
      <c r="E915" t="s">
        <v>14</v>
      </c>
      <c r="F915" t="s">
        <v>15</v>
      </c>
      <c r="G915">
        <v>28277</v>
      </c>
      <c r="H915" t="s">
        <v>26</v>
      </c>
      <c r="I915">
        <v>247</v>
      </c>
      <c r="J915">
        <v>1</v>
      </c>
      <c r="K915" t="s">
        <v>8935</v>
      </c>
    </row>
    <row r="916" spans="1:11" x14ac:dyDescent="0.25">
      <c r="A916" t="s">
        <v>3244</v>
      </c>
      <c r="B916" t="s">
        <v>3245</v>
      </c>
      <c r="C916" t="s">
        <v>59</v>
      </c>
      <c r="D916" t="s">
        <v>3246</v>
      </c>
      <c r="E916" t="s">
        <v>14</v>
      </c>
      <c r="F916" t="s">
        <v>15</v>
      </c>
      <c r="G916">
        <v>28211</v>
      </c>
      <c r="H916" t="s">
        <v>48</v>
      </c>
      <c r="I916">
        <v>6</v>
      </c>
      <c r="J916">
        <v>1</v>
      </c>
      <c r="K916" t="s">
        <v>8935</v>
      </c>
    </row>
    <row r="917" spans="1:11" x14ac:dyDescent="0.25">
      <c r="A917" t="s">
        <v>3247</v>
      </c>
      <c r="B917" t="s">
        <v>3248</v>
      </c>
      <c r="C917" t="s">
        <v>3249</v>
      </c>
      <c r="D917" t="s">
        <v>3250</v>
      </c>
      <c r="E917" t="s">
        <v>14</v>
      </c>
      <c r="F917" t="s">
        <v>15</v>
      </c>
      <c r="G917">
        <v>28217</v>
      </c>
      <c r="H917" t="s">
        <v>101</v>
      </c>
      <c r="I917">
        <v>77</v>
      </c>
      <c r="J917">
        <v>0</v>
      </c>
      <c r="K917" t="s">
        <v>8935</v>
      </c>
    </row>
    <row r="918" spans="1:11" x14ac:dyDescent="0.25">
      <c r="A918" t="s">
        <v>3251</v>
      </c>
      <c r="B918" t="s">
        <v>3252</v>
      </c>
      <c r="C918" t="s">
        <v>3253</v>
      </c>
      <c r="D918" t="s">
        <v>2601</v>
      </c>
      <c r="E918" t="s">
        <v>14</v>
      </c>
      <c r="F918" t="s">
        <v>15</v>
      </c>
      <c r="G918">
        <v>28211</v>
      </c>
      <c r="H918" t="s">
        <v>16</v>
      </c>
      <c r="I918">
        <v>118</v>
      </c>
      <c r="J918">
        <v>0</v>
      </c>
      <c r="K918" t="s">
        <v>8935</v>
      </c>
    </row>
    <row r="919" spans="1:11" x14ac:dyDescent="0.25">
      <c r="A919" t="s">
        <v>3254</v>
      </c>
      <c r="B919" t="s">
        <v>316</v>
      </c>
      <c r="C919" t="s">
        <v>317</v>
      </c>
      <c r="D919" t="s">
        <v>3255</v>
      </c>
      <c r="E919" t="s">
        <v>14</v>
      </c>
      <c r="F919" t="s">
        <v>15</v>
      </c>
      <c r="G919">
        <v>28215</v>
      </c>
      <c r="H919" t="s">
        <v>265</v>
      </c>
      <c r="I919">
        <v>3</v>
      </c>
      <c r="J919">
        <v>1</v>
      </c>
      <c r="K919" t="s">
        <v>8935</v>
      </c>
    </row>
    <row r="920" spans="1:11" x14ac:dyDescent="0.25">
      <c r="A920" t="s">
        <v>3256</v>
      </c>
      <c r="B920" t="s">
        <v>3257</v>
      </c>
      <c r="C920" t="s">
        <v>439</v>
      </c>
      <c r="D920" t="s">
        <v>3258</v>
      </c>
      <c r="E920" t="s">
        <v>14</v>
      </c>
      <c r="F920" t="s">
        <v>15</v>
      </c>
      <c r="G920">
        <v>28217</v>
      </c>
      <c r="H920" t="s">
        <v>26</v>
      </c>
      <c r="I920">
        <v>104</v>
      </c>
      <c r="J920">
        <v>1</v>
      </c>
      <c r="K920" t="s">
        <v>8935</v>
      </c>
    </row>
    <row r="921" spans="1:11" x14ac:dyDescent="0.25">
      <c r="A921" t="s">
        <v>3259</v>
      </c>
      <c r="B921" t="s">
        <v>3260</v>
      </c>
      <c r="C921" t="s">
        <v>3261</v>
      </c>
      <c r="D921" t="s">
        <v>326</v>
      </c>
      <c r="E921" t="s">
        <v>14</v>
      </c>
      <c r="F921" t="s">
        <v>15</v>
      </c>
      <c r="G921">
        <v>28227</v>
      </c>
      <c r="H921" t="s">
        <v>26</v>
      </c>
      <c r="I921">
        <v>14</v>
      </c>
      <c r="J921">
        <v>0</v>
      </c>
      <c r="K921" t="s">
        <v>8935</v>
      </c>
    </row>
    <row r="922" spans="1:11" x14ac:dyDescent="0.25">
      <c r="A922" t="s">
        <v>3262</v>
      </c>
      <c r="B922" t="s">
        <v>3263</v>
      </c>
      <c r="C922" t="s">
        <v>3264</v>
      </c>
      <c r="D922" t="s">
        <v>3265</v>
      </c>
      <c r="E922" t="s">
        <v>14</v>
      </c>
      <c r="F922" t="s">
        <v>15</v>
      </c>
      <c r="G922">
        <v>28227</v>
      </c>
      <c r="H922" t="s">
        <v>21</v>
      </c>
      <c r="I922">
        <v>71</v>
      </c>
      <c r="J922">
        <v>1</v>
      </c>
      <c r="K922" t="s">
        <v>8921</v>
      </c>
    </row>
    <row r="923" spans="1:11" x14ac:dyDescent="0.25">
      <c r="A923" t="s">
        <v>3266</v>
      </c>
      <c r="B923" t="s">
        <v>3267</v>
      </c>
      <c r="C923" t="s">
        <v>3268</v>
      </c>
      <c r="D923" t="s">
        <v>3269</v>
      </c>
      <c r="E923" t="s">
        <v>14</v>
      </c>
      <c r="F923" t="s">
        <v>15</v>
      </c>
      <c r="G923">
        <v>28211</v>
      </c>
      <c r="H923" t="s">
        <v>16</v>
      </c>
      <c r="I923">
        <v>33</v>
      </c>
      <c r="J923">
        <v>1</v>
      </c>
      <c r="K923" t="s">
        <v>8935</v>
      </c>
    </row>
    <row r="924" spans="1:11" x14ac:dyDescent="0.25">
      <c r="A924" t="s">
        <v>3270</v>
      </c>
      <c r="B924" t="s">
        <v>3271</v>
      </c>
      <c r="C924" t="s">
        <v>3272</v>
      </c>
      <c r="D924" t="s">
        <v>3273</v>
      </c>
      <c r="E924" t="s">
        <v>14</v>
      </c>
      <c r="F924" t="s">
        <v>15</v>
      </c>
      <c r="G924">
        <v>28262</v>
      </c>
      <c r="H924" t="s">
        <v>21</v>
      </c>
      <c r="I924">
        <v>124</v>
      </c>
      <c r="J924">
        <v>1</v>
      </c>
      <c r="K924" t="s">
        <v>8923</v>
      </c>
    </row>
    <row r="925" spans="1:11" x14ac:dyDescent="0.25">
      <c r="A925" t="s">
        <v>3274</v>
      </c>
      <c r="B925" t="s">
        <v>3275</v>
      </c>
      <c r="C925" t="s">
        <v>1065</v>
      </c>
      <c r="D925" t="s">
        <v>3276</v>
      </c>
      <c r="E925" t="s">
        <v>14</v>
      </c>
      <c r="F925" t="s">
        <v>15</v>
      </c>
      <c r="G925">
        <v>28277</v>
      </c>
      <c r="H925" t="s">
        <v>16</v>
      </c>
      <c r="I925">
        <v>24</v>
      </c>
      <c r="J925">
        <v>0</v>
      </c>
      <c r="K925" t="s">
        <v>8935</v>
      </c>
    </row>
    <row r="926" spans="1:11" x14ac:dyDescent="0.25">
      <c r="A926" t="s">
        <v>3277</v>
      </c>
      <c r="B926" t="s">
        <v>209</v>
      </c>
      <c r="C926" t="s">
        <v>3278</v>
      </c>
      <c r="D926" t="s">
        <v>3279</v>
      </c>
      <c r="E926" t="s">
        <v>14</v>
      </c>
      <c r="F926" t="s">
        <v>15</v>
      </c>
      <c r="G926">
        <v>28282</v>
      </c>
      <c r="H926" t="s">
        <v>39</v>
      </c>
      <c r="I926">
        <v>90</v>
      </c>
      <c r="J926">
        <v>1</v>
      </c>
      <c r="K926" t="s">
        <v>8925</v>
      </c>
    </row>
    <row r="927" spans="1:11" x14ac:dyDescent="0.25">
      <c r="A927" t="s">
        <v>3280</v>
      </c>
      <c r="B927" t="s">
        <v>3281</v>
      </c>
      <c r="C927" t="s">
        <v>622</v>
      </c>
      <c r="D927" t="s">
        <v>3282</v>
      </c>
      <c r="E927" t="s">
        <v>14</v>
      </c>
      <c r="F927" t="s">
        <v>15</v>
      </c>
      <c r="G927">
        <v>28208</v>
      </c>
      <c r="H927" t="s">
        <v>26</v>
      </c>
      <c r="I927">
        <v>10</v>
      </c>
      <c r="J927">
        <v>1</v>
      </c>
      <c r="K927" t="s">
        <v>8935</v>
      </c>
    </row>
    <row r="928" spans="1:11" x14ac:dyDescent="0.25">
      <c r="A928" t="s">
        <v>3283</v>
      </c>
      <c r="B928" t="s">
        <v>3284</v>
      </c>
      <c r="C928" t="s">
        <v>3285</v>
      </c>
      <c r="D928" t="s">
        <v>3286</v>
      </c>
      <c r="E928" t="s">
        <v>14</v>
      </c>
      <c r="F928" t="s">
        <v>15</v>
      </c>
      <c r="G928">
        <v>28212</v>
      </c>
      <c r="H928" t="s">
        <v>265</v>
      </c>
      <c r="I928">
        <v>3</v>
      </c>
      <c r="J928">
        <v>0</v>
      </c>
      <c r="K928" t="s">
        <v>8935</v>
      </c>
    </row>
    <row r="929" spans="1:11" x14ac:dyDescent="0.25">
      <c r="A929" t="s">
        <v>3287</v>
      </c>
      <c r="B929" t="s">
        <v>228</v>
      </c>
      <c r="C929" t="s">
        <v>3288</v>
      </c>
      <c r="D929" t="s">
        <v>1864</v>
      </c>
      <c r="E929" t="s">
        <v>14</v>
      </c>
      <c r="F929" t="s">
        <v>15</v>
      </c>
      <c r="G929">
        <v>28209</v>
      </c>
      <c r="H929" t="s">
        <v>48</v>
      </c>
      <c r="I929">
        <v>41</v>
      </c>
      <c r="J929">
        <v>0</v>
      </c>
      <c r="K929" t="s">
        <v>8935</v>
      </c>
    </row>
    <row r="930" spans="1:11" x14ac:dyDescent="0.25">
      <c r="A930" t="s">
        <v>3289</v>
      </c>
      <c r="B930" t="s">
        <v>2337</v>
      </c>
      <c r="C930" t="s">
        <v>3290</v>
      </c>
      <c r="D930" t="s">
        <v>3291</v>
      </c>
      <c r="E930" t="s">
        <v>14</v>
      </c>
      <c r="F930" t="s">
        <v>15</v>
      </c>
      <c r="G930">
        <v>28213</v>
      </c>
      <c r="H930" t="s">
        <v>16</v>
      </c>
      <c r="I930">
        <v>44</v>
      </c>
      <c r="J930">
        <v>1</v>
      </c>
      <c r="K930" t="s">
        <v>8927</v>
      </c>
    </row>
    <row r="931" spans="1:11" x14ac:dyDescent="0.25">
      <c r="A931" t="s">
        <v>3292</v>
      </c>
      <c r="B931" t="s">
        <v>3293</v>
      </c>
      <c r="C931" t="s">
        <v>263</v>
      </c>
      <c r="D931" t="s">
        <v>3294</v>
      </c>
      <c r="E931" t="s">
        <v>14</v>
      </c>
      <c r="F931" t="s">
        <v>15</v>
      </c>
      <c r="G931">
        <v>28269</v>
      </c>
      <c r="H931" t="s">
        <v>48</v>
      </c>
      <c r="I931">
        <v>7</v>
      </c>
      <c r="J931">
        <v>1</v>
      </c>
      <c r="K931" t="s">
        <v>8935</v>
      </c>
    </row>
    <row r="932" spans="1:11" x14ac:dyDescent="0.25">
      <c r="A932" t="s">
        <v>3295</v>
      </c>
      <c r="B932" t="s">
        <v>3296</v>
      </c>
      <c r="C932" t="s">
        <v>3297</v>
      </c>
      <c r="D932" t="s">
        <v>3298</v>
      </c>
      <c r="E932" t="s">
        <v>14</v>
      </c>
      <c r="F932" t="s">
        <v>15</v>
      </c>
      <c r="G932">
        <v>28202</v>
      </c>
      <c r="H932" t="s">
        <v>21</v>
      </c>
      <c r="I932">
        <v>101</v>
      </c>
      <c r="J932">
        <v>1</v>
      </c>
      <c r="K932" t="s">
        <v>8921</v>
      </c>
    </row>
    <row r="933" spans="1:11" x14ac:dyDescent="0.25">
      <c r="A933" t="s">
        <v>3299</v>
      </c>
      <c r="B933" t="s">
        <v>3300</v>
      </c>
      <c r="C933" t="s">
        <v>3301</v>
      </c>
      <c r="E933" t="s">
        <v>14</v>
      </c>
      <c r="F933" t="s">
        <v>15</v>
      </c>
      <c r="G933">
        <v>28205</v>
      </c>
      <c r="H933" t="s">
        <v>146</v>
      </c>
      <c r="I933">
        <v>5</v>
      </c>
      <c r="J933">
        <v>0</v>
      </c>
      <c r="K933" t="s">
        <v>8935</v>
      </c>
    </row>
    <row r="934" spans="1:11" x14ac:dyDescent="0.25">
      <c r="A934" t="s">
        <v>3302</v>
      </c>
      <c r="B934" t="s">
        <v>3303</v>
      </c>
      <c r="C934" t="s">
        <v>1903</v>
      </c>
      <c r="D934" t="s">
        <v>3304</v>
      </c>
      <c r="E934" t="s">
        <v>14</v>
      </c>
      <c r="F934" t="s">
        <v>15</v>
      </c>
      <c r="G934">
        <v>28277</v>
      </c>
      <c r="H934" t="s">
        <v>21</v>
      </c>
      <c r="I934">
        <v>285</v>
      </c>
      <c r="J934">
        <v>1</v>
      </c>
      <c r="K934" t="s">
        <v>8935</v>
      </c>
    </row>
    <row r="935" spans="1:11" x14ac:dyDescent="0.25">
      <c r="A935" t="s">
        <v>3305</v>
      </c>
      <c r="B935" t="s">
        <v>3306</v>
      </c>
      <c r="C935" t="s">
        <v>3307</v>
      </c>
      <c r="D935" t="s">
        <v>3308</v>
      </c>
      <c r="E935" t="s">
        <v>14</v>
      </c>
      <c r="F935" t="s">
        <v>15</v>
      </c>
      <c r="G935">
        <v>28208</v>
      </c>
      <c r="H935" t="s">
        <v>101</v>
      </c>
      <c r="I935">
        <v>412</v>
      </c>
      <c r="J935">
        <v>1</v>
      </c>
      <c r="K935" t="s">
        <v>8925</v>
      </c>
    </row>
    <row r="936" spans="1:11" x14ac:dyDescent="0.25">
      <c r="A936" t="s">
        <v>3309</v>
      </c>
      <c r="B936" t="s">
        <v>3310</v>
      </c>
      <c r="C936" t="s">
        <v>3311</v>
      </c>
      <c r="D936" t="s">
        <v>3312</v>
      </c>
      <c r="E936" t="s">
        <v>14</v>
      </c>
      <c r="F936" t="s">
        <v>15</v>
      </c>
      <c r="G936">
        <v>28277</v>
      </c>
      <c r="H936" t="s">
        <v>48</v>
      </c>
      <c r="I936">
        <v>141</v>
      </c>
      <c r="J936">
        <v>1</v>
      </c>
      <c r="K936" t="s">
        <v>8935</v>
      </c>
    </row>
    <row r="937" spans="1:11" x14ac:dyDescent="0.25">
      <c r="A937" t="s">
        <v>3313</v>
      </c>
      <c r="B937" t="s">
        <v>3314</v>
      </c>
      <c r="C937" t="s">
        <v>3315</v>
      </c>
      <c r="D937" t="s">
        <v>3316</v>
      </c>
      <c r="E937" t="s">
        <v>14</v>
      </c>
      <c r="F937" t="s">
        <v>15</v>
      </c>
      <c r="G937">
        <v>28212</v>
      </c>
      <c r="H937" t="s">
        <v>39</v>
      </c>
      <c r="I937">
        <v>16</v>
      </c>
      <c r="J937">
        <v>1</v>
      </c>
      <c r="K937" t="s">
        <v>8925</v>
      </c>
    </row>
    <row r="938" spans="1:11" x14ac:dyDescent="0.25">
      <c r="A938" t="s">
        <v>3317</v>
      </c>
      <c r="B938" t="s">
        <v>3318</v>
      </c>
      <c r="C938" t="s">
        <v>3319</v>
      </c>
      <c r="D938" t="s">
        <v>936</v>
      </c>
      <c r="E938" t="s">
        <v>14</v>
      </c>
      <c r="F938" t="s">
        <v>15</v>
      </c>
      <c r="G938">
        <v>28217</v>
      </c>
      <c r="H938" t="s">
        <v>26</v>
      </c>
      <c r="I938">
        <v>14</v>
      </c>
      <c r="J938">
        <v>0</v>
      </c>
      <c r="K938" t="s">
        <v>8935</v>
      </c>
    </row>
    <row r="939" spans="1:11" x14ac:dyDescent="0.25">
      <c r="A939" t="s">
        <v>3320</v>
      </c>
      <c r="B939" t="s">
        <v>3321</v>
      </c>
      <c r="C939" t="s">
        <v>221</v>
      </c>
      <c r="D939" t="s">
        <v>3322</v>
      </c>
      <c r="E939" t="s">
        <v>14</v>
      </c>
      <c r="F939" t="s">
        <v>15</v>
      </c>
      <c r="G939">
        <v>28204</v>
      </c>
      <c r="H939" t="s">
        <v>195</v>
      </c>
      <c r="I939">
        <v>55</v>
      </c>
      <c r="J939">
        <v>1</v>
      </c>
      <c r="K939" t="s">
        <v>8935</v>
      </c>
    </row>
    <row r="940" spans="1:11" x14ac:dyDescent="0.25">
      <c r="A940" t="s">
        <v>3323</v>
      </c>
      <c r="B940" t="s">
        <v>3324</v>
      </c>
      <c r="C940" t="s">
        <v>3325</v>
      </c>
      <c r="D940" t="s">
        <v>3326</v>
      </c>
      <c r="E940" t="s">
        <v>14</v>
      </c>
      <c r="F940" t="s">
        <v>15</v>
      </c>
      <c r="G940">
        <v>28227</v>
      </c>
      <c r="H940" t="s">
        <v>21</v>
      </c>
      <c r="I940">
        <v>24</v>
      </c>
      <c r="J940">
        <v>0</v>
      </c>
      <c r="K940" t="s">
        <v>8935</v>
      </c>
    </row>
    <row r="941" spans="1:11" x14ac:dyDescent="0.25">
      <c r="A941" t="s">
        <v>3327</v>
      </c>
      <c r="B941" t="s">
        <v>3328</v>
      </c>
      <c r="C941" t="s">
        <v>3329</v>
      </c>
      <c r="E941" t="s">
        <v>14</v>
      </c>
      <c r="F941" t="s">
        <v>15</v>
      </c>
      <c r="H941" t="s">
        <v>26</v>
      </c>
      <c r="I941">
        <v>6</v>
      </c>
      <c r="J941">
        <v>1</v>
      </c>
      <c r="K941" t="s">
        <v>8923</v>
      </c>
    </row>
    <row r="942" spans="1:11" x14ac:dyDescent="0.25">
      <c r="A942" t="s">
        <v>3330</v>
      </c>
      <c r="B942" t="s">
        <v>3331</v>
      </c>
      <c r="C942" t="s">
        <v>2847</v>
      </c>
      <c r="D942" t="s">
        <v>3332</v>
      </c>
      <c r="E942" t="s">
        <v>14</v>
      </c>
      <c r="F942" t="s">
        <v>15</v>
      </c>
      <c r="G942">
        <v>28273</v>
      </c>
      <c r="H942" t="s">
        <v>16</v>
      </c>
      <c r="I942">
        <v>43</v>
      </c>
      <c r="J942">
        <v>1</v>
      </c>
      <c r="K942" t="s">
        <v>8922</v>
      </c>
    </row>
    <row r="943" spans="1:11" x14ac:dyDescent="0.25">
      <c r="A943" t="s">
        <v>3333</v>
      </c>
      <c r="B943" t="s">
        <v>3334</v>
      </c>
      <c r="C943" t="s">
        <v>3335</v>
      </c>
      <c r="D943" t="s">
        <v>3336</v>
      </c>
      <c r="E943" t="s">
        <v>14</v>
      </c>
      <c r="F943" t="s">
        <v>15</v>
      </c>
      <c r="G943">
        <v>28217</v>
      </c>
      <c r="H943" t="s">
        <v>16</v>
      </c>
      <c r="I943">
        <v>33</v>
      </c>
      <c r="J943">
        <v>1</v>
      </c>
      <c r="K943" t="s">
        <v>8935</v>
      </c>
    </row>
    <row r="944" spans="1:11" x14ac:dyDescent="0.25">
      <c r="A944" t="s">
        <v>3337</v>
      </c>
      <c r="B944" t="s">
        <v>139</v>
      </c>
      <c r="C944" t="s">
        <v>3338</v>
      </c>
      <c r="D944" t="s">
        <v>3339</v>
      </c>
      <c r="E944" t="s">
        <v>14</v>
      </c>
      <c r="F944" t="s">
        <v>15</v>
      </c>
      <c r="G944">
        <v>28215</v>
      </c>
      <c r="H944" t="s">
        <v>26</v>
      </c>
      <c r="I944">
        <v>11</v>
      </c>
      <c r="J944">
        <v>1</v>
      </c>
      <c r="K944" t="s">
        <v>8926</v>
      </c>
    </row>
    <row r="945" spans="1:11" x14ac:dyDescent="0.25">
      <c r="A945" t="s">
        <v>3340</v>
      </c>
      <c r="B945" t="s">
        <v>3341</v>
      </c>
      <c r="C945" t="s">
        <v>3342</v>
      </c>
      <c r="D945" t="s">
        <v>1722</v>
      </c>
      <c r="E945" t="s">
        <v>14</v>
      </c>
      <c r="F945" t="s">
        <v>15</v>
      </c>
      <c r="G945">
        <v>28206</v>
      </c>
      <c r="H945" t="s">
        <v>16</v>
      </c>
      <c r="I945">
        <v>50</v>
      </c>
      <c r="J945">
        <v>0</v>
      </c>
      <c r="K945" t="s">
        <v>8935</v>
      </c>
    </row>
    <row r="946" spans="1:11" x14ac:dyDescent="0.25">
      <c r="A946" t="s">
        <v>3343</v>
      </c>
      <c r="B946" t="s">
        <v>3344</v>
      </c>
      <c r="C946" t="s">
        <v>3345</v>
      </c>
      <c r="D946" t="s">
        <v>3346</v>
      </c>
      <c r="E946" t="s">
        <v>14</v>
      </c>
      <c r="F946" t="s">
        <v>15</v>
      </c>
      <c r="G946">
        <v>28202</v>
      </c>
      <c r="H946" t="s">
        <v>39</v>
      </c>
      <c r="I946">
        <v>367</v>
      </c>
      <c r="J946">
        <v>1</v>
      </c>
      <c r="K946" t="s">
        <v>8935</v>
      </c>
    </row>
    <row r="947" spans="1:11" x14ac:dyDescent="0.25">
      <c r="A947" t="s">
        <v>3347</v>
      </c>
      <c r="B947" t="s">
        <v>3348</v>
      </c>
      <c r="C947" t="s">
        <v>3349</v>
      </c>
      <c r="D947" t="s">
        <v>3350</v>
      </c>
      <c r="E947" t="s">
        <v>14</v>
      </c>
      <c r="F947" t="s">
        <v>15</v>
      </c>
      <c r="G947">
        <v>28205</v>
      </c>
      <c r="H947" t="s">
        <v>39</v>
      </c>
      <c r="I947">
        <v>58</v>
      </c>
      <c r="J947">
        <v>1</v>
      </c>
      <c r="K947" t="s">
        <v>8935</v>
      </c>
    </row>
    <row r="948" spans="1:11" x14ac:dyDescent="0.25">
      <c r="A948" t="s">
        <v>3351</v>
      </c>
      <c r="B948" t="s">
        <v>3352</v>
      </c>
      <c r="C948" t="s">
        <v>622</v>
      </c>
      <c r="D948" t="s">
        <v>3353</v>
      </c>
      <c r="E948" t="s">
        <v>14</v>
      </c>
      <c r="F948" t="s">
        <v>15</v>
      </c>
      <c r="G948">
        <v>28216</v>
      </c>
      <c r="H948" t="s">
        <v>101</v>
      </c>
      <c r="I948">
        <v>30</v>
      </c>
      <c r="J948">
        <v>1</v>
      </c>
      <c r="K948" t="s">
        <v>8935</v>
      </c>
    </row>
    <row r="949" spans="1:11" x14ac:dyDescent="0.25">
      <c r="A949" t="s">
        <v>3354</v>
      </c>
      <c r="B949" t="s">
        <v>1909</v>
      </c>
      <c r="C949" t="s">
        <v>3355</v>
      </c>
      <c r="D949" t="s">
        <v>3356</v>
      </c>
      <c r="E949" t="s">
        <v>14</v>
      </c>
      <c r="F949" t="s">
        <v>15</v>
      </c>
      <c r="G949">
        <v>28277</v>
      </c>
      <c r="H949" t="s">
        <v>16</v>
      </c>
      <c r="I949">
        <v>61</v>
      </c>
      <c r="J949">
        <v>1</v>
      </c>
      <c r="K949" t="s">
        <v>8921</v>
      </c>
    </row>
    <row r="950" spans="1:11" x14ac:dyDescent="0.25">
      <c r="A950" t="s">
        <v>3357</v>
      </c>
      <c r="B950" t="s">
        <v>3358</v>
      </c>
      <c r="C950" t="s">
        <v>3359</v>
      </c>
      <c r="E950" t="s">
        <v>14</v>
      </c>
      <c r="F950" t="s">
        <v>15</v>
      </c>
      <c r="H950" t="s">
        <v>21</v>
      </c>
      <c r="I950">
        <v>5</v>
      </c>
      <c r="J950">
        <v>1</v>
      </c>
      <c r="K950" t="s">
        <v>8935</v>
      </c>
    </row>
    <row r="951" spans="1:11" x14ac:dyDescent="0.25">
      <c r="A951" t="s">
        <v>3360</v>
      </c>
      <c r="B951" t="s">
        <v>3361</v>
      </c>
      <c r="C951" t="s">
        <v>3020</v>
      </c>
      <c r="D951" t="s">
        <v>3362</v>
      </c>
      <c r="E951" t="s">
        <v>14</v>
      </c>
      <c r="F951" t="s">
        <v>15</v>
      </c>
      <c r="G951">
        <v>28269</v>
      </c>
      <c r="H951" t="s">
        <v>26</v>
      </c>
      <c r="I951">
        <v>64</v>
      </c>
      <c r="J951">
        <v>1</v>
      </c>
      <c r="K951" t="s">
        <v>8935</v>
      </c>
    </row>
    <row r="952" spans="1:11" x14ac:dyDescent="0.25">
      <c r="A952" t="s">
        <v>3363</v>
      </c>
      <c r="B952" t="s">
        <v>3364</v>
      </c>
      <c r="C952" t="s">
        <v>3365</v>
      </c>
      <c r="D952" t="s">
        <v>3366</v>
      </c>
      <c r="E952" t="s">
        <v>14</v>
      </c>
      <c r="F952" t="s">
        <v>15</v>
      </c>
      <c r="G952">
        <v>28212</v>
      </c>
      <c r="H952" t="s">
        <v>101</v>
      </c>
      <c r="I952">
        <v>6</v>
      </c>
      <c r="J952">
        <v>1</v>
      </c>
      <c r="K952" t="s">
        <v>8925</v>
      </c>
    </row>
    <row r="953" spans="1:11" x14ac:dyDescent="0.25">
      <c r="A953" t="e">
        <f>-xjyKKg8O8_LGngT9kHNZg</f>
        <v>#NAME?</v>
      </c>
      <c r="B953" t="s">
        <v>3367</v>
      </c>
      <c r="C953" t="s">
        <v>3368</v>
      </c>
      <c r="D953" t="s">
        <v>3369</v>
      </c>
      <c r="E953" t="s">
        <v>14</v>
      </c>
      <c r="F953" t="s">
        <v>15</v>
      </c>
      <c r="G953">
        <v>28270</v>
      </c>
      <c r="H953" t="s">
        <v>26</v>
      </c>
      <c r="I953">
        <v>19</v>
      </c>
      <c r="J953">
        <v>0</v>
      </c>
      <c r="K953" t="s">
        <v>8931</v>
      </c>
    </row>
    <row r="954" spans="1:11" x14ac:dyDescent="0.25">
      <c r="A954" t="s">
        <v>3370</v>
      </c>
      <c r="B954" t="s">
        <v>176</v>
      </c>
      <c r="C954" t="s">
        <v>317</v>
      </c>
      <c r="D954" t="s">
        <v>3371</v>
      </c>
      <c r="E954" t="s">
        <v>14</v>
      </c>
      <c r="F954" t="s">
        <v>15</v>
      </c>
      <c r="G954">
        <v>28217</v>
      </c>
      <c r="H954" t="s">
        <v>48</v>
      </c>
      <c r="I954">
        <v>24</v>
      </c>
      <c r="J954">
        <v>1</v>
      </c>
      <c r="K954" t="s">
        <v>8935</v>
      </c>
    </row>
    <row r="955" spans="1:11" x14ac:dyDescent="0.25">
      <c r="A955" t="s">
        <v>3372</v>
      </c>
      <c r="B955" t="s">
        <v>316</v>
      </c>
      <c r="C955" t="s">
        <v>3373</v>
      </c>
      <c r="D955" t="s">
        <v>1284</v>
      </c>
      <c r="E955" t="s">
        <v>14</v>
      </c>
      <c r="F955" t="s">
        <v>15</v>
      </c>
      <c r="G955">
        <v>28202</v>
      </c>
      <c r="H955" t="s">
        <v>16</v>
      </c>
      <c r="I955">
        <v>44</v>
      </c>
      <c r="J955">
        <v>1</v>
      </c>
      <c r="K955" t="s">
        <v>8935</v>
      </c>
    </row>
    <row r="956" spans="1:11" x14ac:dyDescent="0.25">
      <c r="A956" t="s">
        <v>3374</v>
      </c>
      <c r="B956" t="s">
        <v>316</v>
      </c>
      <c r="C956" t="s">
        <v>3375</v>
      </c>
      <c r="D956" t="s">
        <v>3376</v>
      </c>
      <c r="E956" t="s">
        <v>14</v>
      </c>
      <c r="F956" t="s">
        <v>15</v>
      </c>
      <c r="G956">
        <v>28262</v>
      </c>
      <c r="H956" t="s">
        <v>16</v>
      </c>
      <c r="I956">
        <v>10</v>
      </c>
      <c r="J956">
        <v>1</v>
      </c>
      <c r="K956" t="s">
        <v>8935</v>
      </c>
    </row>
    <row r="957" spans="1:11" x14ac:dyDescent="0.25">
      <c r="A957" t="s">
        <v>3377</v>
      </c>
      <c r="B957" t="s">
        <v>2618</v>
      </c>
      <c r="C957" t="s">
        <v>3378</v>
      </c>
      <c r="D957" t="s">
        <v>3379</v>
      </c>
      <c r="E957" t="s">
        <v>14</v>
      </c>
      <c r="F957" t="s">
        <v>15</v>
      </c>
      <c r="G957">
        <v>28277</v>
      </c>
      <c r="H957" t="s">
        <v>48</v>
      </c>
      <c r="I957">
        <v>46</v>
      </c>
      <c r="J957">
        <v>1</v>
      </c>
      <c r="K957" t="s">
        <v>8935</v>
      </c>
    </row>
    <row r="958" spans="1:11" x14ac:dyDescent="0.25">
      <c r="A958" t="s">
        <v>3380</v>
      </c>
      <c r="B958" t="s">
        <v>2058</v>
      </c>
      <c r="C958" t="s">
        <v>415</v>
      </c>
      <c r="D958" t="s">
        <v>3381</v>
      </c>
      <c r="E958" t="s">
        <v>14</v>
      </c>
      <c r="F958" t="s">
        <v>15</v>
      </c>
      <c r="G958">
        <v>28203</v>
      </c>
      <c r="H958" t="s">
        <v>39</v>
      </c>
      <c r="I958">
        <v>35</v>
      </c>
      <c r="J958">
        <v>1</v>
      </c>
      <c r="K958" t="s">
        <v>8935</v>
      </c>
    </row>
    <row r="959" spans="1:11" x14ac:dyDescent="0.25">
      <c r="A959" t="s">
        <v>3382</v>
      </c>
      <c r="B959" t="s">
        <v>3383</v>
      </c>
      <c r="C959" t="s">
        <v>193</v>
      </c>
      <c r="D959" t="s">
        <v>608</v>
      </c>
      <c r="E959" t="s">
        <v>14</v>
      </c>
      <c r="F959" t="s">
        <v>15</v>
      </c>
      <c r="G959">
        <v>28202</v>
      </c>
      <c r="H959" t="s">
        <v>26</v>
      </c>
      <c r="I959">
        <v>6</v>
      </c>
      <c r="J959">
        <v>0</v>
      </c>
      <c r="K959" t="s">
        <v>8935</v>
      </c>
    </row>
    <row r="960" spans="1:11" x14ac:dyDescent="0.25">
      <c r="A960" t="s">
        <v>3384</v>
      </c>
      <c r="B960" t="s">
        <v>74</v>
      </c>
      <c r="C960" t="s">
        <v>3385</v>
      </c>
      <c r="D960" t="s">
        <v>3386</v>
      </c>
      <c r="E960" t="s">
        <v>14</v>
      </c>
      <c r="F960" t="s">
        <v>15</v>
      </c>
      <c r="G960">
        <v>28203</v>
      </c>
      <c r="H960" t="s">
        <v>48</v>
      </c>
      <c r="I960">
        <v>3</v>
      </c>
      <c r="J960">
        <v>0</v>
      </c>
      <c r="K960" t="s">
        <v>8924</v>
      </c>
    </row>
    <row r="961" spans="1:11" x14ac:dyDescent="0.25">
      <c r="A961" t="s">
        <v>3387</v>
      </c>
      <c r="B961" t="s">
        <v>3388</v>
      </c>
      <c r="C961" t="s">
        <v>1094</v>
      </c>
      <c r="D961" t="s">
        <v>264</v>
      </c>
      <c r="E961" t="s">
        <v>14</v>
      </c>
      <c r="F961" t="s">
        <v>15</v>
      </c>
      <c r="G961">
        <v>28213</v>
      </c>
      <c r="H961" t="s">
        <v>265</v>
      </c>
      <c r="I961">
        <v>7</v>
      </c>
      <c r="J961">
        <v>1</v>
      </c>
      <c r="K961" t="s">
        <v>8925</v>
      </c>
    </row>
    <row r="962" spans="1:11" x14ac:dyDescent="0.25">
      <c r="A962" t="s">
        <v>3389</v>
      </c>
      <c r="B962" t="s">
        <v>668</v>
      </c>
      <c r="C962" t="s">
        <v>3390</v>
      </c>
      <c r="D962" t="s">
        <v>3391</v>
      </c>
      <c r="E962" t="s">
        <v>14</v>
      </c>
      <c r="F962" t="s">
        <v>15</v>
      </c>
      <c r="G962">
        <v>28263</v>
      </c>
      <c r="H962" t="s">
        <v>21</v>
      </c>
      <c r="I962">
        <v>7</v>
      </c>
      <c r="J962">
        <v>0</v>
      </c>
      <c r="K962" t="s">
        <v>8920</v>
      </c>
    </row>
    <row r="963" spans="1:11" x14ac:dyDescent="0.25">
      <c r="A963" t="s">
        <v>3392</v>
      </c>
      <c r="B963" t="s">
        <v>3393</v>
      </c>
      <c r="C963" t="s">
        <v>3394</v>
      </c>
      <c r="D963" t="s">
        <v>3395</v>
      </c>
      <c r="E963" t="s">
        <v>14</v>
      </c>
      <c r="F963" t="s">
        <v>15</v>
      </c>
      <c r="G963">
        <v>28277</v>
      </c>
      <c r="H963" t="s">
        <v>39</v>
      </c>
      <c r="I963">
        <v>5</v>
      </c>
      <c r="J963">
        <v>1</v>
      </c>
      <c r="K963" t="s">
        <v>8935</v>
      </c>
    </row>
    <row r="964" spans="1:11" x14ac:dyDescent="0.25">
      <c r="A964" t="s">
        <v>3396</v>
      </c>
      <c r="B964" t="s">
        <v>3397</v>
      </c>
      <c r="C964" t="s">
        <v>3398</v>
      </c>
      <c r="D964" t="s">
        <v>3399</v>
      </c>
      <c r="E964" t="s">
        <v>14</v>
      </c>
      <c r="F964" t="s">
        <v>15</v>
      </c>
      <c r="G964">
        <v>28262</v>
      </c>
      <c r="H964" t="s">
        <v>21</v>
      </c>
      <c r="I964">
        <v>29</v>
      </c>
      <c r="J964">
        <v>1</v>
      </c>
      <c r="K964" t="s">
        <v>8935</v>
      </c>
    </row>
    <row r="965" spans="1:11" x14ac:dyDescent="0.25">
      <c r="A965" t="e">
        <f>-m4vlAAV295vNt2DS0z2bg</f>
        <v>#NAME?</v>
      </c>
      <c r="B965" t="s">
        <v>3400</v>
      </c>
      <c r="C965" t="s">
        <v>3401</v>
      </c>
      <c r="D965" t="s">
        <v>3402</v>
      </c>
      <c r="E965" t="s">
        <v>14</v>
      </c>
      <c r="F965" t="s">
        <v>15</v>
      </c>
      <c r="G965">
        <v>28269</v>
      </c>
      <c r="H965" t="s">
        <v>39</v>
      </c>
      <c r="I965">
        <v>7</v>
      </c>
      <c r="J965">
        <v>0</v>
      </c>
      <c r="K965" t="s">
        <v>8935</v>
      </c>
    </row>
    <row r="966" spans="1:11" x14ac:dyDescent="0.25">
      <c r="A966" t="s">
        <v>3403</v>
      </c>
      <c r="B966" t="s">
        <v>3404</v>
      </c>
      <c r="C966" t="s">
        <v>1937</v>
      </c>
      <c r="D966" t="s">
        <v>1040</v>
      </c>
      <c r="E966" t="s">
        <v>14</v>
      </c>
      <c r="F966" t="s">
        <v>15</v>
      </c>
      <c r="G966">
        <v>28204</v>
      </c>
      <c r="H966" t="s">
        <v>16</v>
      </c>
      <c r="I966">
        <v>263</v>
      </c>
      <c r="J966">
        <v>1</v>
      </c>
      <c r="K966" t="s">
        <v>8935</v>
      </c>
    </row>
    <row r="967" spans="1:11" x14ac:dyDescent="0.25">
      <c r="A967" t="s">
        <v>3405</v>
      </c>
      <c r="B967" t="s">
        <v>3406</v>
      </c>
      <c r="C967" t="s">
        <v>3407</v>
      </c>
      <c r="D967" t="s">
        <v>3408</v>
      </c>
      <c r="E967" t="s">
        <v>14</v>
      </c>
      <c r="F967" t="s">
        <v>15</v>
      </c>
      <c r="G967">
        <v>28277</v>
      </c>
      <c r="H967" t="s">
        <v>26</v>
      </c>
      <c r="I967">
        <v>122</v>
      </c>
      <c r="J967">
        <v>1</v>
      </c>
      <c r="K967" t="s">
        <v>8936</v>
      </c>
    </row>
    <row r="968" spans="1:11" x14ac:dyDescent="0.25">
      <c r="A968" t="s">
        <v>3409</v>
      </c>
      <c r="B968" t="s">
        <v>1343</v>
      </c>
      <c r="C968" t="s">
        <v>1882</v>
      </c>
      <c r="D968" t="s">
        <v>3410</v>
      </c>
      <c r="E968" t="s">
        <v>14</v>
      </c>
      <c r="F968" t="s">
        <v>15</v>
      </c>
      <c r="G968">
        <v>28277</v>
      </c>
      <c r="H968" t="s">
        <v>26</v>
      </c>
      <c r="I968">
        <v>16</v>
      </c>
      <c r="J968">
        <v>1</v>
      </c>
      <c r="K968" t="s">
        <v>8935</v>
      </c>
    </row>
    <row r="969" spans="1:11" x14ac:dyDescent="0.25">
      <c r="A969" t="s">
        <v>3411</v>
      </c>
      <c r="B969" t="s">
        <v>3412</v>
      </c>
      <c r="C969" t="s">
        <v>3413</v>
      </c>
      <c r="D969" t="s">
        <v>3414</v>
      </c>
      <c r="E969" t="s">
        <v>14</v>
      </c>
      <c r="F969" t="s">
        <v>15</v>
      </c>
      <c r="G969">
        <v>28262</v>
      </c>
      <c r="H969" t="s">
        <v>48</v>
      </c>
      <c r="I969">
        <v>38</v>
      </c>
      <c r="J969">
        <v>0</v>
      </c>
      <c r="K969" t="s">
        <v>8935</v>
      </c>
    </row>
    <row r="970" spans="1:11" x14ac:dyDescent="0.25">
      <c r="A970" t="s">
        <v>3415</v>
      </c>
      <c r="B970" t="s">
        <v>3416</v>
      </c>
      <c r="C970" t="s">
        <v>3417</v>
      </c>
      <c r="D970" t="s">
        <v>3418</v>
      </c>
      <c r="E970" t="s">
        <v>14</v>
      </c>
      <c r="F970" t="s">
        <v>15</v>
      </c>
      <c r="G970">
        <v>28216</v>
      </c>
      <c r="H970" t="s">
        <v>21</v>
      </c>
      <c r="I970">
        <v>43</v>
      </c>
      <c r="J970">
        <v>0</v>
      </c>
      <c r="K970" t="s">
        <v>8920</v>
      </c>
    </row>
    <row r="971" spans="1:11" x14ac:dyDescent="0.25">
      <c r="A971" t="s">
        <v>3419</v>
      </c>
      <c r="B971" t="s">
        <v>3420</v>
      </c>
      <c r="C971" t="s">
        <v>3421</v>
      </c>
      <c r="D971" t="s">
        <v>3422</v>
      </c>
      <c r="E971" t="s">
        <v>14</v>
      </c>
      <c r="F971" t="s">
        <v>15</v>
      </c>
      <c r="G971">
        <v>28202</v>
      </c>
      <c r="H971" t="s">
        <v>48</v>
      </c>
      <c r="I971">
        <v>5</v>
      </c>
      <c r="J971">
        <v>1</v>
      </c>
      <c r="K971" t="s">
        <v>8935</v>
      </c>
    </row>
    <row r="972" spans="1:11" x14ac:dyDescent="0.25">
      <c r="A972" t="s">
        <v>3423</v>
      </c>
      <c r="B972" t="s">
        <v>1690</v>
      </c>
      <c r="C972" t="s">
        <v>597</v>
      </c>
      <c r="D972" t="s">
        <v>3424</v>
      </c>
      <c r="E972" t="s">
        <v>14</v>
      </c>
      <c r="F972" t="s">
        <v>15</v>
      </c>
      <c r="G972">
        <v>28209</v>
      </c>
      <c r="H972" t="s">
        <v>26</v>
      </c>
      <c r="I972">
        <v>139</v>
      </c>
      <c r="J972">
        <v>1</v>
      </c>
      <c r="K972" t="s">
        <v>8921</v>
      </c>
    </row>
    <row r="973" spans="1:11" x14ac:dyDescent="0.25">
      <c r="A973" t="s">
        <v>3425</v>
      </c>
      <c r="B973" t="s">
        <v>3426</v>
      </c>
      <c r="C973" t="s">
        <v>3427</v>
      </c>
      <c r="D973" t="s">
        <v>3428</v>
      </c>
      <c r="E973" t="s">
        <v>14</v>
      </c>
      <c r="F973" t="s">
        <v>15</v>
      </c>
      <c r="G973">
        <v>28202</v>
      </c>
      <c r="H973" t="s">
        <v>16</v>
      </c>
      <c r="I973">
        <v>83</v>
      </c>
      <c r="J973">
        <v>1</v>
      </c>
      <c r="K973" t="s">
        <v>8923</v>
      </c>
    </row>
    <row r="974" spans="1:11" x14ac:dyDescent="0.25">
      <c r="A974" t="s">
        <v>3429</v>
      </c>
      <c r="B974" t="s">
        <v>3430</v>
      </c>
      <c r="C974" t="s">
        <v>3431</v>
      </c>
      <c r="D974" t="s">
        <v>3432</v>
      </c>
      <c r="E974" t="s">
        <v>14</v>
      </c>
      <c r="F974" t="s">
        <v>15</v>
      </c>
      <c r="G974">
        <v>28205</v>
      </c>
      <c r="H974" t="s">
        <v>16</v>
      </c>
      <c r="I974">
        <v>3</v>
      </c>
      <c r="J974">
        <v>0</v>
      </c>
      <c r="K974" t="s">
        <v>8932</v>
      </c>
    </row>
    <row r="975" spans="1:11" x14ac:dyDescent="0.25">
      <c r="A975" t="s">
        <v>3433</v>
      </c>
      <c r="B975" t="s">
        <v>3434</v>
      </c>
      <c r="C975" t="s">
        <v>3435</v>
      </c>
      <c r="D975" t="s">
        <v>3436</v>
      </c>
      <c r="E975" t="s">
        <v>14</v>
      </c>
      <c r="F975" t="s">
        <v>15</v>
      </c>
      <c r="G975">
        <v>28202</v>
      </c>
      <c r="H975" t="s">
        <v>16</v>
      </c>
      <c r="I975">
        <v>3</v>
      </c>
      <c r="J975">
        <v>0</v>
      </c>
      <c r="K975" t="s">
        <v>8935</v>
      </c>
    </row>
    <row r="976" spans="1:11" x14ac:dyDescent="0.25">
      <c r="A976" t="s">
        <v>3437</v>
      </c>
      <c r="B976" t="s">
        <v>176</v>
      </c>
      <c r="C976" t="s">
        <v>3438</v>
      </c>
      <c r="D976" t="s">
        <v>3439</v>
      </c>
      <c r="E976" t="s">
        <v>14</v>
      </c>
      <c r="F976" t="s">
        <v>15</v>
      </c>
      <c r="G976">
        <v>28203</v>
      </c>
      <c r="H976" t="s">
        <v>21</v>
      </c>
      <c r="I976">
        <v>11</v>
      </c>
      <c r="J976">
        <v>0</v>
      </c>
      <c r="K976" t="s">
        <v>8935</v>
      </c>
    </row>
    <row r="977" spans="1:11" x14ac:dyDescent="0.25">
      <c r="A977" t="s">
        <v>3440</v>
      </c>
      <c r="B977" t="s">
        <v>3441</v>
      </c>
      <c r="C977" t="s">
        <v>3442</v>
      </c>
      <c r="D977" t="s">
        <v>1033</v>
      </c>
      <c r="E977" t="s">
        <v>14</v>
      </c>
      <c r="F977" t="s">
        <v>15</v>
      </c>
      <c r="G977">
        <v>28211</v>
      </c>
      <c r="H977" t="s">
        <v>21</v>
      </c>
      <c r="I977">
        <v>50</v>
      </c>
      <c r="J977">
        <v>1</v>
      </c>
      <c r="K977" t="s">
        <v>8935</v>
      </c>
    </row>
    <row r="978" spans="1:11" x14ac:dyDescent="0.25">
      <c r="A978" t="s">
        <v>3443</v>
      </c>
      <c r="B978" t="s">
        <v>3444</v>
      </c>
      <c r="C978" t="s">
        <v>3445</v>
      </c>
      <c r="D978" t="s">
        <v>3446</v>
      </c>
      <c r="E978" t="s">
        <v>14</v>
      </c>
      <c r="F978" t="s">
        <v>15</v>
      </c>
      <c r="G978">
        <v>28203</v>
      </c>
      <c r="H978" t="s">
        <v>21</v>
      </c>
      <c r="I978">
        <v>14</v>
      </c>
      <c r="J978">
        <v>1</v>
      </c>
      <c r="K978" t="s">
        <v>8935</v>
      </c>
    </row>
    <row r="979" spans="1:11" x14ac:dyDescent="0.25">
      <c r="A979" t="s">
        <v>3447</v>
      </c>
      <c r="B979" t="s">
        <v>3448</v>
      </c>
      <c r="C979" t="s">
        <v>193</v>
      </c>
      <c r="D979" t="s">
        <v>3449</v>
      </c>
      <c r="E979" t="s">
        <v>14</v>
      </c>
      <c r="F979" t="s">
        <v>15</v>
      </c>
      <c r="G979">
        <v>28270</v>
      </c>
      <c r="H979" t="s">
        <v>101</v>
      </c>
      <c r="I979">
        <v>23</v>
      </c>
      <c r="J979">
        <v>1</v>
      </c>
      <c r="K979" t="s">
        <v>8935</v>
      </c>
    </row>
    <row r="980" spans="1:11" x14ac:dyDescent="0.25">
      <c r="A980" t="s">
        <v>3450</v>
      </c>
      <c r="B980" t="s">
        <v>422</v>
      </c>
      <c r="C980" t="s">
        <v>3451</v>
      </c>
      <c r="D980" t="s">
        <v>1066</v>
      </c>
      <c r="E980" t="s">
        <v>14</v>
      </c>
      <c r="F980" t="s">
        <v>15</v>
      </c>
      <c r="G980">
        <v>28075</v>
      </c>
      <c r="H980" t="s">
        <v>21</v>
      </c>
      <c r="I980">
        <v>143</v>
      </c>
      <c r="J980">
        <v>1</v>
      </c>
      <c r="K980" t="s">
        <v>8920</v>
      </c>
    </row>
    <row r="981" spans="1:11" x14ac:dyDescent="0.25">
      <c r="A981" t="s">
        <v>3452</v>
      </c>
      <c r="B981" t="s">
        <v>3453</v>
      </c>
      <c r="C981" t="s">
        <v>3454</v>
      </c>
      <c r="D981" t="s">
        <v>3455</v>
      </c>
      <c r="E981" t="s">
        <v>14</v>
      </c>
      <c r="F981" t="s">
        <v>15</v>
      </c>
      <c r="G981">
        <v>28266</v>
      </c>
      <c r="H981" t="s">
        <v>21</v>
      </c>
      <c r="I981">
        <v>6</v>
      </c>
      <c r="J981">
        <v>0</v>
      </c>
      <c r="K981" t="s">
        <v>8937</v>
      </c>
    </row>
    <row r="982" spans="1:11" x14ac:dyDescent="0.25">
      <c r="A982" t="s">
        <v>3456</v>
      </c>
      <c r="B982" t="s">
        <v>3457</v>
      </c>
      <c r="C982" t="s">
        <v>3458</v>
      </c>
      <c r="D982" t="s">
        <v>2318</v>
      </c>
      <c r="E982" t="s">
        <v>14</v>
      </c>
      <c r="F982" t="s">
        <v>15</v>
      </c>
      <c r="G982">
        <v>28277</v>
      </c>
      <c r="H982" t="s">
        <v>21</v>
      </c>
      <c r="I982">
        <v>97</v>
      </c>
      <c r="J982">
        <v>1</v>
      </c>
      <c r="K982" t="s">
        <v>8920</v>
      </c>
    </row>
    <row r="983" spans="1:11" x14ac:dyDescent="0.25">
      <c r="A983" t="s">
        <v>3459</v>
      </c>
      <c r="B983" t="s">
        <v>3460</v>
      </c>
      <c r="C983" t="s">
        <v>3461</v>
      </c>
      <c r="D983" t="s">
        <v>211</v>
      </c>
      <c r="E983" t="s">
        <v>14</v>
      </c>
      <c r="F983" t="s">
        <v>15</v>
      </c>
      <c r="G983">
        <v>28262</v>
      </c>
      <c r="H983" t="s">
        <v>16</v>
      </c>
      <c r="I983">
        <v>43</v>
      </c>
      <c r="J983">
        <v>1</v>
      </c>
      <c r="K983" t="s">
        <v>8921</v>
      </c>
    </row>
    <row r="984" spans="1:11" x14ac:dyDescent="0.25">
      <c r="A984" t="s">
        <v>3462</v>
      </c>
      <c r="B984" t="s">
        <v>3463</v>
      </c>
      <c r="C984" t="s">
        <v>3464</v>
      </c>
      <c r="D984" t="s">
        <v>3465</v>
      </c>
      <c r="E984" t="s">
        <v>14</v>
      </c>
      <c r="F984" t="s">
        <v>15</v>
      </c>
      <c r="G984">
        <v>28204</v>
      </c>
      <c r="H984" t="s">
        <v>39</v>
      </c>
      <c r="I984">
        <v>328</v>
      </c>
      <c r="J984">
        <v>1</v>
      </c>
      <c r="K984" t="s">
        <v>8935</v>
      </c>
    </row>
    <row r="985" spans="1:11" x14ac:dyDescent="0.25">
      <c r="A985" t="s">
        <v>3466</v>
      </c>
      <c r="B985" t="s">
        <v>3467</v>
      </c>
      <c r="C985" t="s">
        <v>1024</v>
      </c>
      <c r="D985" t="s">
        <v>3369</v>
      </c>
      <c r="E985" t="s">
        <v>14</v>
      </c>
      <c r="F985" t="s">
        <v>15</v>
      </c>
      <c r="G985">
        <v>28270</v>
      </c>
      <c r="H985" t="s">
        <v>26</v>
      </c>
      <c r="I985">
        <v>93</v>
      </c>
      <c r="J985">
        <v>1</v>
      </c>
      <c r="K985" t="s">
        <v>8935</v>
      </c>
    </row>
    <row r="986" spans="1:11" x14ac:dyDescent="0.25">
      <c r="A986" t="s">
        <v>3468</v>
      </c>
      <c r="B986" t="s">
        <v>3469</v>
      </c>
      <c r="C986" t="s">
        <v>411</v>
      </c>
      <c r="D986" t="s">
        <v>3470</v>
      </c>
      <c r="E986" t="s">
        <v>14</v>
      </c>
      <c r="F986" t="s">
        <v>15</v>
      </c>
      <c r="G986">
        <v>28270</v>
      </c>
      <c r="H986" t="s">
        <v>26</v>
      </c>
      <c r="I986">
        <v>37</v>
      </c>
      <c r="J986">
        <v>1</v>
      </c>
      <c r="K986" t="s">
        <v>8935</v>
      </c>
    </row>
    <row r="987" spans="1:11" x14ac:dyDescent="0.25">
      <c r="A987" t="s">
        <v>3471</v>
      </c>
      <c r="B987" t="s">
        <v>3472</v>
      </c>
      <c r="C987" t="s">
        <v>1094</v>
      </c>
      <c r="D987" t="s">
        <v>3473</v>
      </c>
      <c r="E987" t="s">
        <v>14</v>
      </c>
      <c r="F987" t="s">
        <v>15</v>
      </c>
      <c r="G987">
        <v>28205</v>
      </c>
      <c r="H987" t="s">
        <v>101</v>
      </c>
      <c r="I987">
        <v>8</v>
      </c>
      <c r="J987">
        <v>1</v>
      </c>
      <c r="K987" t="s">
        <v>8925</v>
      </c>
    </row>
    <row r="988" spans="1:11" x14ac:dyDescent="0.25">
      <c r="A988" t="s">
        <v>3474</v>
      </c>
      <c r="B988" t="s">
        <v>103</v>
      </c>
      <c r="C988" t="s">
        <v>3475</v>
      </c>
      <c r="D988" t="s">
        <v>3476</v>
      </c>
      <c r="E988" t="s">
        <v>14</v>
      </c>
      <c r="F988" t="s">
        <v>15</v>
      </c>
      <c r="G988">
        <v>28278</v>
      </c>
      <c r="H988" t="s">
        <v>16</v>
      </c>
      <c r="I988">
        <v>102</v>
      </c>
      <c r="J988">
        <v>1</v>
      </c>
      <c r="K988" t="s">
        <v>8921</v>
      </c>
    </row>
    <row r="989" spans="1:11" x14ac:dyDescent="0.25">
      <c r="A989" t="s">
        <v>3477</v>
      </c>
      <c r="B989" t="s">
        <v>3478</v>
      </c>
      <c r="C989" t="s">
        <v>3479</v>
      </c>
      <c r="D989" t="s">
        <v>3480</v>
      </c>
      <c r="E989" t="s">
        <v>14</v>
      </c>
      <c r="F989" t="s">
        <v>15</v>
      </c>
      <c r="G989">
        <v>28205</v>
      </c>
      <c r="H989" t="s">
        <v>39</v>
      </c>
      <c r="I989">
        <v>64</v>
      </c>
      <c r="J989">
        <v>1</v>
      </c>
      <c r="K989" t="s">
        <v>8923</v>
      </c>
    </row>
    <row r="990" spans="1:11" x14ac:dyDescent="0.25">
      <c r="A990" t="s">
        <v>3481</v>
      </c>
      <c r="B990" t="s">
        <v>2648</v>
      </c>
      <c r="C990" t="s">
        <v>3482</v>
      </c>
      <c r="D990" t="s">
        <v>3483</v>
      </c>
      <c r="E990" t="s">
        <v>14</v>
      </c>
      <c r="F990" t="s">
        <v>15</v>
      </c>
      <c r="G990">
        <v>28270</v>
      </c>
      <c r="H990" t="s">
        <v>21</v>
      </c>
      <c r="I990">
        <v>5</v>
      </c>
      <c r="J990">
        <v>0</v>
      </c>
      <c r="K990" t="s">
        <v>8935</v>
      </c>
    </row>
    <row r="991" spans="1:11" x14ac:dyDescent="0.25">
      <c r="A991" t="s">
        <v>3484</v>
      </c>
      <c r="B991" t="s">
        <v>3485</v>
      </c>
      <c r="C991" t="s">
        <v>3486</v>
      </c>
      <c r="D991" t="s">
        <v>3487</v>
      </c>
      <c r="E991" t="s">
        <v>14</v>
      </c>
      <c r="F991" t="s">
        <v>15</v>
      </c>
      <c r="G991">
        <v>28202</v>
      </c>
      <c r="H991" t="s">
        <v>21</v>
      </c>
      <c r="I991">
        <v>175</v>
      </c>
      <c r="J991">
        <v>1</v>
      </c>
      <c r="K991" t="s">
        <v>8935</v>
      </c>
    </row>
    <row r="992" spans="1:11" x14ac:dyDescent="0.25">
      <c r="A992" t="s">
        <v>3488</v>
      </c>
      <c r="B992" t="s">
        <v>3489</v>
      </c>
      <c r="C992" t="s">
        <v>3490</v>
      </c>
      <c r="D992" t="s">
        <v>3491</v>
      </c>
      <c r="E992" t="s">
        <v>14</v>
      </c>
      <c r="F992" t="s">
        <v>15</v>
      </c>
      <c r="G992">
        <v>28202</v>
      </c>
      <c r="H992" t="s">
        <v>21</v>
      </c>
      <c r="I992">
        <v>27</v>
      </c>
      <c r="J992">
        <v>0</v>
      </c>
      <c r="K992" t="s">
        <v>8935</v>
      </c>
    </row>
    <row r="993" spans="1:11" x14ac:dyDescent="0.25">
      <c r="A993" t="s">
        <v>3492</v>
      </c>
      <c r="B993" t="s">
        <v>3263</v>
      </c>
      <c r="C993" t="s">
        <v>3493</v>
      </c>
      <c r="D993" t="s">
        <v>3494</v>
      </c>
      <c r="E993" t="s">
        <v>14</v>
      </c>
      <c r="F993" t="s">
        <v>15</v>
      </c>
      <c r="G993">
        <v>28217</v>
      </c>
      <c r="H993" t="s">
        <v>16</v>
      </c>
      <c r="I993">
        <v>168</v>
      </c>
      <c r="J993">
        <v>1</v>
      </c>
      <c r="K993" t="s">
        <v>8921</v>
      </c>
    </row>
    <row r="994" spans="1:11" x14ac:dyDescent="0.25">
      <c r="A994" t="s">
        <v>3495</v>
      </c>
      <c r="B994" t="s">
        <v>3496</v>
      </c>
      <c r="C994" t="s">
        <v>622</v>
      </c>
      <c r="D994" t="s">
        <v>3497</v>
      </c>
      <c r="E994" t="s">
        <v>14</v>
      </c>
      <c r="F994" t="s">
        <v>15</v>
      </c>
      <c r="G994">
        <v>28215</v>
      </c>
      <c r="H994" t="s">
        <v>48</v>
      </c>
      <c r="I994">
        <v>9</v>
      </c>
      <c r="J994">
        <v>1</v>
      </c>
      <c r="K994" t="s">
        <v>8935</v>
      </c>
    </row>
    <row r="995" spans="1:11" x14ac:dyDescent="0.25">
      <c r="A995" t="s">
        <v>3498</v>
      </c>
      <c r="B995" t="s">
        <v>3499</v>
      </c>
      <c r="C995" t="s">
        <v>3500</v>
      </c>
      <c r="D995" t="s">
        <v>3501</v>
      </c>
      <c r="E995" t="s">
        <v>14</v>
      </c>
      <c r="F995" t="s">
        <v>15</v>
      </c>
      <c r="G995">
        <v>28205</v>
      </c>
      <c r="H995" t="s">
        <v>39</v>
      </c>
      <c r="I995">
        <v>490</v>
      </c>
      <c r="J995">
        <v>1</v>
      </c>
      <c r="K995" t="s">
        <v>8923</v>
      </c>
    </row>
    <row r="996" spans="1:11" x14ac:dyDescent="0.25">
      <c r="A996" t="s">
        <v>3502</v>
      </c>
      <c r="B996" t="s">
        <v>359</v>
      </c>
      <c r="C996" t="s">
        <v>3503</v>
      </c>
      <c r="D996" t="s">
        <v>3504</v>
      </c>
      <c r="E996" t="s">
        <v>14</v>
      </c>
      <c r="F996" t="s">
        <v>15</v>
      </c>
      <c r="G996">
        <v>28202</v>
      </c>
      <c r="H996" t="s">
        <v>48</v>
      </c>
      <c r="I996">
        <v>12</v>
      </c>
      <c r="J996">
        <v>0</v>
      </c>
      <c r="K996" t="s">
        <v>8935</v>
      </c>
    </row>
    <row r="997" spans="1:11" x14ac:dyDescent="0.25">
      <c r="A997" t="s">
        <v>3505</v>
      </c>
      <c r="B997" t="s">
        <v>3506</v>
      </c>
      <c r="C997" t="s">
        <v>3507</v>
      </c>
      <c r="D997" t="s">
        <v>3508</v>
      </c>
      <c r="E997" t="s">
        <v>14</v>
      </c>
      <c r="F997" t="s">
        <v>15</v>
      </c>
      <c r="G997">
        <v>28226</v>
      </c>
      <c r="H997" t="s">
        <v>16</v>
      </c>
      <c r="I997">
        <v>3</v>
      </c>
      <c r="J997">
        <v>1</v>
      </c>
      <c r="K997" t="s">
        <v>8935</v>
      </c>
    </row>
    <row r="998" spans="1:11" x14ac:dyDescent="0.25">
      <c r="A998" t="s">
        <v>3509</v>
      </c>
      <c r="B998" t="s">
        <v>312</v>
      </c>
      <c r="C998" t="s">
        <v>3510</v>
      </c>
      <c r="D998" t="s">
        <v>3511</v>
      </c>
      <c r="E998" t="s">
        <v>14</v>
      </c>
      <c r="F998" t="s">
        <v>15</v>
      </c>
      <c r="G998">
        <v>28213</v>
      </c>
      <c r="H998" t="s">
        <v>16</v>
      </c>
      <c r="I998">
        <v>47</v>
      </c>
      <c r="J998">
        <v>1</v>
      </c>
      <c r="K998" t="s">
        <v>8925</v>
      </c>
    </row>
    <row r="999" spans="1:11" x14ac:dyDescent="0.25">
      <c r="A999" t="s">
        <v>3512</v>
      </c>
      <c r="B999" t="s">
        <v>3513</v>
      </c>
      <c r="C999" t="s">
        <v>3514</v>
      </c>
      <c r="D999" t="s">
        <v>3515</v>
      </c>
      <c r="E999" t="s">
        <v>14</v>
      </c>
      <c r="F999" t="s">
        <v>15</v>
      </c>
      <c r="G999">
        <v>28273</v>
      </c>
      <c r="H999" t="s">
        <v>21</v>
      </c>
      <c r="I999">
        <v>32</v>
      </c>
      <c r="J999">
        <v>0</v>
      </c>
      <c r="K999" t="s">
        <v>8935</v>
      </c>
    </row>
    <row r="1000" spans="1:11" x14ac:dyDescent="0.25">
      <c r="A1000" t="s">
        <v>3516</v>
      </c>
      <c r="B1000" t="s">
        <v>3517</v>
      </c>
      <c r="C1000" t="s">
        <v>3518</v>
      </c>
      <c r="D1000" t="s">
        <v>975</v>
      </c>
      <c r="E1000" t="s">
        <v>14</v>
      </c>
      <c r="F1000" t="s">
        <v>15</v>
      </c>
      <c r="G1000">
        <v>28203</v>
      </c>
      <c r="H1000" t="s">
        <v>16</v>
      </c>
      <c r="I1000">
        <v>144</v>
      </c>
      <c r="J1000">
        <v>0</v>
      </c>
      <c r="K1000" t="s">
        <v>8923</v>
      </c>
    </row>
    <row r="1001" spans="1:11" x14ac:dyDescent="0.25">
      <c r="A1001" t="s">
        <v>3519</v>
      </c>
      <c r="B1001" t="s">
        <v>3520</v>
      </c>
      <c r="C1001" t="s">
        <v>3521</v>
      </c>
      <c r="D1001" t="s">
        <v>3522</v>
      </c>
      <c r="E1001" t="s">
        <v>14</v>
      </c>
      <c r="F1001" t="s">
        <v>15</v>
      </c>
      <c r="G1001">
        <v>28206</v>
      </c>
      <c r="H1001" t="s">
        <v>21</v>
      </c>
      <c r="I1001">
        <v>3</v>
      </c>
      <c r="J1001">
        <v>0</v>
      </c>
      <c r="K1001" t="s">
        <v>8935</v>
      </c>
    </row>
    <row r="1002" spans="1:11" x14ac:dyDescent="0.25">
      <c r="A1002" t="s">
        <v>3523</v>
      </c>
      <c r="B1002" t="s">
        <v>556</v>
      </c>
      <c r="C1002" t="s">
        <v>3524</v>
      </c>
      <c r="D1002" t="s">
        <v>3525</v>
      </c>
      <c r="E1002" t="s">
        <v>14</v>
      </c>
      <c r="F1002" t="s">
        <v>15</v>
      </c>
      <c r="G1002">
        <v>28273</v>
      </c>
      <c r="H1002" t="s">
        <v>26</v>
      </c>
      <c r="I1002">
        <v>41</v>
      </c>
      <c r="J1002">
        <v>1</v>
      </c>
      <c r="K1002" t="s">
        <v>8935</v>
      </c>
    </row>
    <row r="1003" spans="1:11" x14ac:dyDescent="0.25">
      <c r="A1003" t="s">
        <v>3526</v>
      </c>
      <c r="B1003" t="s">
        <v>316</v>
      </c>
      <c r="C1003" t="s">
        <v>1270</v>
      </c>
      <c r="D1003" t="s">
        <v>3527</v>
      </c>
      <c r="E1003" t="s">
        <v>14</v>
      </c>
      <c r="F1003" t="s">
        <v>15</v>
      </c>
      <c r="G1003">
        <v>28270</v>
      </c>
      <c r="H1003" t="s">
        <v>21</v>
      </c>
      <c r="I1003">
        <v>94</v>
      </c>
      <c r="J1003">
        <v>1</v>
      </c>
      <c r="K1003" t="s">
        <v>8935</v>
      </c>
    </row>
    <row r="1004" spans="1:11" x14ac:dyDescent="0.25">
      <c r="A1004" t="s">
        <v>3528</v>
      </c>
      <c r="B1004" t="s">
        <v>3529</v>
      </c>
      <c r="C1004" t="s">
        <v>3226</v>
      </c>
      <c r="D1004" t="s">
        <v>3530</v>
      </c>
      <c r="E1004" t="s">
        <v>14</v>
      </c>
      <c r="F1004" t="s">
        <v>15</v>
      </c>
      <c r="G1004">
        <v>28217</v>
      </c>
      <c r="H1004" t="s">
        <v>21</v>
      </c>
      <c r="I1004">
        <v>36</v>
      </c>
      <c r="J1004">
        <v>1</v>
      </c>
      <c r="K1004" t="s">
        <v>8935</v>
      </c>
    </row>
    <row r="1005" spans="1:11" x14ac:dyDescent="0.25">
      <c r="A1005" t="s">
        <v>3531</v>
      </c>
      <c r="B1005" t="s">
        <v>3532</v>
      </c>
      <c r="C1005" t="s">
        <v>3533</v>
      </c>
      <c r="D1005" t="s">
        <v>3534</v>
      </c>
      <c r="E1005" t="s">
        <v>14</v>
      </c>
      <c r="F1005" t="s">
        <v>15</v>
      </c>
      <c r="G1005">
        <v>28215</v>
      </c>
      <c r="H1005" t="s">
        <v>21</v>
      </c>
      <c r="I1005">
        <v>27</v>
      </c>
      <c r="J1005">
        <v>1</v>
      </c>
      <c r="K1005" t="s">
        <v>8935</v>
      </c>
    </row>
    <row r="1006" spans="1:11" x14ac:dyDescent="0.25">
      <c r="A1006" t="s">
        <v>3535</v>
      </c>
      <c r="B1006" t="s">
        <v>3536</v>
      </c>
      <c r="C1006" t="s">
        <v>3537</v>
      </c>
      <c r="D1006" t="s">
        <v>3538</v>
      </c>
      <c r="E1006" t="s">
        <v>14</v>
      </c>
      <c r="F1006" t="s">
        <v>15</v>
      </c>
      <c r="G1006">
        <v>28210</v>
      </c>
      <c r="H1006" t="s">
        <v>26</v>
      </c>
      <c r="I1006">
        <v>42</v>
      </c>
      <c r="J1006">
        <v>1</v>
      </c>
      <c r="K1006" t="s">
        <v>8926</v>
      </c>
    </row>
    <row r="1007" spans="1:11" x14ac:dyDescent="0.25">
      <c r="A1007" t="s">
        <v>3539</v>
      </c>
      <c r="B1007" t="s">
        <v>3026</v>
      </c>
      <c r="C1007" t="s">
        <v>3540</v>
      </c>
      <c r="D1007" t="s">
        <v>3541</v>
      </c>
      <c r="E1007" t="s">
        <v>14</v>
      </c>
      <c r="F1007" t="s">
        <v>15</v>
      </c>
      <c r="G1007">
        <v>28216</v>
      </c>
      <c r="H1007" t="s">
        <v>48</v>
      </c>
      <c r="I1007">
        <v>3</v>
      </c>
      <c r="J1007">
        <v>0</v>
      </c>
      <c r="K1007" t="s">
        <v>8920</v>
      </c>
    </row>
    <row r="1008" spans="1:11" x14ac:dyDescent="0.25">
      <c r="A1008" t="s">
        <v>3542</v>
      </c>
      <c r="B1008" t="s">
        <v>3543</v>
      </c>
      <c r="C1008" t="s">
        <v>3544</v>
      </c>
      <c r="D1008" t="s">
        <v>3545</v>
      </c>
      <c r="E1008" t="s">
        <v>14</v>
      </c>
      <c r="F1008" t="s">
        <v>15</v>
      </c>
      <c r="G1008">
        <v>28277</v>
      </c>
      <c r="H1008" t="s">
        <v>21</v>
      </c>
      <c r="I1008">
        <v>136</v>
      </c>
      <c r="J1008">
        <v>1</v>
      </c>
      <c r="K1008" t="s">
        <v>8926</v>
      </c>
    </row>
    <row r="1009" spans="1:11" x14ac:dyDescent="0.25">
      <c r="A1009" t="s">
        <v>3546</v>
      </c>
      <c r="B1009" t="s">
        <v>3547</v>
      </c>
      <c r="C1009" t="s">
        <v>615</v>
      </c>
      <c r="D1009" t="s">
        <v>3548</v>
      </c>
      <c r="E1009" t="s">
        <v>14</v>
      </c>
      <c r="F1009" t="s">
        <v>15</v>
      </c>
      <c r="G1009">
        <v>28208</v>
      </c>
      <c r="H1009" t="s">
        <v>146</v>
      </c>
      <c r="I1009">
        <v>9</v>
      </c>
      <c r="J1009">
        <v>1</v>
      </c>
      <c r="K1009" t="s">
        <v>8922</v>
      </c>
    </row>
    <row r="1010" spans="1:11" x14ac:dyDescent="0.25">
      <c r="A1010" t="s">
        <v>3549</v>
      </c>
      <c r="B1010" t="s">
        <v>3550</v>
      </c>
      <c r="C1010" t="s">
        <v>3551</v>
      </c>
      <c r="D1010" t="s">
        <v>1870</v>
      </c>
      <c r="E1010" t="s">
        <v>14</v>
      </c>
      <c r="F1010" t="s">
        <v>15</v>
      </c>
      <c r="G1010">
        <v>28204</v>
      </c>
      <c r="H1010" t="s">
        <v>21</v>
      </c>
      <c r="I1010">
        <v>82</v>
      </c>
      <c r="J1010">
        <v>0</v>
      </c>
      <c r="K1010" t="s">
        <v>8935</v>
      </c>
    </row>
    <row r="1011" spans="1:11" x14ac:dyDescent="0.25">
      <c r="A1011" t="s">
        <v>3552</v>
      </c>
      <c r="B1011" t="s">
        <v>3553</v>
      </c>
      <c r="C1011" t="s">
        <v>3554</v>
      </c>
      <c r="D1011" t="s">
        <v>3555</v>
      </c>
      <c r="E1011" t="s">
        <v>14</v>
      </c>
      <c r="F1011" t="s">
        <v>15</v>
      </c>
      <c r="G1011">
        <v>28262</v>
      </c>
      <c r="H1011" t="s">
        <v>21</v>
      </c>
      <c r="I1011">
        <v>85</v>
      </c>
      <c r="J1011">
        <v>1</v>
      </c>
      <c r="K1011" t="s">
        <v>8935</v>
      </c>
    </row>
    <row r="1012" spans="1:11" x14ac:dyDescent="0.25">
      <c r="A1012" t="s">
        <v>3556</v>
      </c>
      <c r="B1012" t="s">
        <v>103</v>
      </c>
      <c r="C1012" t="s">
        <v>3557</v>
      </c>
      <c r="D1012" t="s">
        <v>3558</v>
      </c>
      <c r="E1012" t="s">
        <v>14</v>
      </c>
      <c r="F1012" t="s">
        <v>15</v>
      </c>
      <c r="G1012">
        <v>28202</v>
      </c>
      <c r="H1012" t="s">
        <v>21</v>
      </c>
      <c r="I1012">
        <v>88</v>
      </c>
      <c r="J1012">
        <v>0</v>
      </c>
      <c r="K1012" t="s">
        <v>8921</v>
      </c>
    </row>
    <row r="1013" spans="1:11" x14ac:dyDescent="0.25">
      <c r="A1013" t="s">
        <v>3559</v>
      </c>
      <c r="B1013" t="s">
        <v>3560</v>
      </c>
      <c r="C1013" t="s">
        <v>3561</v>
      </c>
      <c r="D1013" t="s">
        <v>2463</v>
      </c>
      <c r="E1013" t="s">
        <v>14</v>
      </c>
      <c r="F1013" t="s">
        <v>15</v>
      </c>
      <c r="G1013">
        <v>28203</v>
      </c>
      <c r="H1013" t="s">
        <v>16</v>
      </c>
      <c r="I1013">
        <v>183</v>
      </c>
      <c r="J1013">
        <v>1</v>
      </c>
      <c r="K1013" t="s">
        <v>8936</v>
      </c>
    </row>
    <row r="1014" spans="1:11" x14ac:dyDescent="0.25">
      <c r="A1014" t="s">
        <v>3562</v>
      </c>
      <c r="B1014" t="s">
        <v>3563</v>
      </c>
      <c r="C1014" t="s">
        <v>3564</v>
      </c>
      <c r="D1014" t="s">
        <v>1253</v>
      </c>
      <c r="E1014" t="s">
        <v>14</v>
      </c>
      <c r="F1014" t="s">
        <v>15</v>
      </c>
      <c r="G1014">
        <v>28277</v>
      </c>
      <c r="H1014" t="s">
        <v>21</v>
      </c>
      <c r="I1014">
        <v>246</v>
      </c>
      <c r="J1014">
        <v>1</v>
      </c>
      <c r="K1014" t="s">
        <v>8935</v>
      </c>
    </row>
    <row r="1015" spans="1:11" x14ac:dyDescent="0.25">
      <c r="A1015" t="s">
        <v>3565</v>
      </c>
      <c r="B1015" t="s">
        <v>3566</v>
      </c>
      <c r="C1015" t="s">
        <v>3567</v>
      </c>
      <c r="D1015" t="s">
        <v>3568</v>
      </c>
      <c r="E1015" t="s">
        <v>14</v>
      </c>
      <c r="F1015" t="s">
        <v>15</v>
      </c>
      <c r="G1015">
        <v>28262</v>
      </c>
      <c r="H1015" t="s">
        <v>39</v>
      </c>
      <c r="I1015">
        <v>370</v>
      </c>
      <c r="J1015">
        <v>1</v>
      </c>
      <c r="K1015" t="s">
        <v>8923</v>
      </c>
    </row>
    <row r="1016" spans="1:11" x14ac:dyDescent="0.25">
      <c r="A1016" t="s">
        <v>3569</v>
      </c>
      <c r="B1016" t="s">
        <v>391</v>
      </c>
      <c r="C1016" t="s">
        <v>364</v>
      </c>
      <c r="D1016" t="s">
        <v>3570</v>
      </c>
      <c r="E1016" t="s">
        <v>14</v>
      </c>
      <c r="F1016" t="s">
        <v>15</v>
      </c>
      <c r="G1016">
        <v>28270</v>
      </c>
      <c r="H1016" t="s">
        <v>101</v>
      </c>
      <c r="I1016">
        <v>9</v>
      </c>
      <c r="J1016">
        <v>1</v>
      </c>
      <c r="K1016" t="s">
        <v>8935</v>
      </c>
    </row>
    <row r="1017" spans="1:11" x14ac:dyDescent="0.25">
      <c r="A1017" t="s">
        <v>3571</v>
      </c>
      <c r="B1017" t="s">
        <v>3572</v>
      </c>
      <c r="C1017" t="s">
        <v>3573</v>
      </c>
      <c r="D1017" t="s">
        <v>3574</v>
      </c>
      <c r="E1017" t="s">
        <v>14</v>
      </c>
      <c r="F1017" t="s">
        <v>15</v>
      </c>
      <c r="G1017">
        <v>28273</v>
      </c>
      <c r="H1017" t="s">
        <v>48</v>
      </c>
      <c r="I1017">
        <v>80</v>
      </c>
      <c r="J1017">
        <v>1</v>
      </c>
      <c r="K1017" t="s">
        <v>8935</v>
      </c>
    </row>
    <row r="1018" spans="1:11" x14ac:dyDescent="0.25">
      <c r="A1018" t="s">
        <v>3575</v>
      </c>
      <c r="B1018" t="s">
        <v>3576</v>
      </c>
      <c r="C1018" t="s">
        <v>3577</v>
      </c>
      <c r="D1018" t="s">
        <v>3578</v>
      </c>
      <c r="E1018" t="s">
        <v>14</v>
      </c>
      <c r="F1018" t="s">
        <v>15</v>
      </c>
      <c r="G1018">
        <v>28203</v>
      </c>
      <c r="H1018" t="s">
        <v>16</v>
      </c>
      <c r="I1018">
        <v>252</v>
      </c>
      <c r="J1018">
        <v>1</v>
      </c>
      <c r="K1018" t="s">
        <v>8935</v>
      </c>
    </row>
    <row r="1019" spans="1:11" x14ac:dyDescent="0.25">
      <c r="A1019" t="s">
        <v>3579</v>
      </c>
      <c r="B1019" t="s">
        <v>3580</v>
      </c>
      <c r="C1019" t="s">
        <v>3581</v>
      </c>
      <c r="D1019" t="s">
        <v>3582</v>
      </c>
      <c r="E1019" t="s">
        <v>14</v>
      </c>
      <c r="F1019" t="s">
        <v>15</v>
      </c>
      <c r="G1019">
        <v>28262</v>
      </c>
      <c r="H1019" t="s">
        <v>48</v>
      </c>
      <c r="I1019">
        <v>106</v>
      </c>
      <c r="J1019">
        <v>1</v>
      </c>
      <c r="K1019" t="s">
        <v>8935</v>
      </c>
    </row>
    <row r="1020" spans="1:11" x14ac:dyDescent="0.25">
      <c r="A1020" t="s">
        <v>3583</v>
      </c>
      <c r="B1020" t="s">
        <v>3584</v>
      </c>
      <c r="C1020" t="s">
        <v>3585</v>
      </c>
      <c r="D1020" t="s">
        <v>3586</v>
      </c>
      <c r="E1020" t="s">
        <v>14</v>
      </c>
      <c r="F1020" t="s">
        <v>15</v>
      </c>
      <c r="G1020">
        <v>28210</v>
      </c>
      <c r="H1020" t="s">
        <v>16</v>
      </c>
      <c r="I1020">
        <v>45</v>
      </c>
      <c r="J1020">
        <v>1</v>
      </c>
      <c r="K1020" t="s">
        <v>8935</v>
      </c>
    </row>
    <row r="1021" spans="1:11" x14ac:dyDescent="0.25">
      <c r="A1021" t="s">
        <v>3587</v>
      </c>
      <c r="B1021" t="s">
        <v>556</v>
      </c>
      <c r="C1021" t="s">
        <v>3588</v>
      </c>
      <c r="D1021" t="s">
        <v>3589</v>
      </c>
      <c r="E1021" t="s">
        <v>14</v>
      </c>
      <c r="F1021" t="s">
        <v>15</v>
      </c>
      <c r="G1021">
        <v>28273</v>
      </c>
      <c r="H1021" t="s">
        <v>21</v>
      </c>
      <c r="I1021">
        <v>8</v>
      </c>
      <c r="J1021">
        <v>1</v>
      </c>
      <c r="K1021" t="s">
        <v>8935</v>
      </c>
    </row>
    <row r="1022" spans="1:11" x14ac:dyDescent="0.25">
      <c r="A1022" t="s">
        <v>3590</v>
      </c>
      <c r="B1022" t="s">
        <v>3591</v>
      </c>
      <c r="C1022" t="s">
        <v>3592</v>
      </c>
      <c r="D1022" t="s">
        <v>3593</v>
      </c>
      <c r="E1022" t="s">
        <v>14</v>
      </c>
      <c r="F1022" t="s">
        <v>15</v>
      </c>
      <c r="G1022">
        <v>28226</v>
      </c>
      <c r="H1022" t="s">
        <v>26</v>
      </c>
      <c r="I1022">
        <v>25</v>
      </c>
      <c r="J1022">
        <v>1</v>
      </c>
      <c r="K1022" t="s">
        <v>8935</v>
      </c>
    </row>
    <row r="1023" spans="1:11" x14ac:dyDescent="0.25">
      <c r="A1023" t="s">
        <v>3594</v>
      </c>
      <c r="B1023" t="s">
        <v>3595</v>
      </c>
      <c r="C1023" t="s">
        <v>3226</v>
      </c>
      <c r="D1023" t="s">
        <v>3596</v>
      </c>
      <c r="E1023" t="s">
        <v>14</v>
      </c>
      <c r="F1023" t="s">
        <v>15</v>
      </c>
      <c r="G1023">
        <v>28277</v>
      </c>
      <c r="H1023" t="s">
        <v>21</v>
      </c>
      <c r="I1023">
        <v>17</v>
      </c>
      <c r="J1023">
        <v>1</v>
      </c>
      <c r="K1023" t="s">
        <v>8935</v>
      </c>
    </row>
    <row r="1024" spans="1:11" x14ac:dyDescent="0.25">
      <c r="A1024" t="s">
        <v>3597</v>
      </c>
      <c r="B1024" t="s">
        <v>82</v>
      </c>
      <c r="C1024" t="s">
        <v>3598</v>
      </c>
      <c r="D1024" t="s">
        <v>3395</v>
      </c>
      <c r="E1024" t="s">
        <v>14</v>
      </c>
      <c r="F1024" t="s">
        <v>15</v>
      </c>
      <c r="G1024">
        <v>28277</v>
      </c>
      <c r="H1024" t="s">
        <v>21</v>
      </c>
      <c r="I1024">
        <v>30</v>
      </c>
      <c r="J1024">
        <v>0</v>
      </c>
      <c r="K1024" t="s">
        <v>8935</v>
      </c>
    </row>
    <row r="1025" spans="1:11" x14ac:dyDescent="0.25">
      <c r="A1025" t="s">
        <v>3599</v>
      </c>
      <c r="B1025" t="s">
        <v>3600</v>
      </c>
      <c r="C1025" t="s">
        <v>3601</v>
      </c>
      <c r="D1025" t="s">
        <v>3602</v>
      </c>
      <c r="E1025" t="s">
        <v>14</v>
      </c>
      <c r="F1025" t="s">
        <v>15</v>
      </c>
      <c r="G1025">
        <v>28202</v>
      </c>
      <c r="H1025" t="s">
        <v>16</v>
      </c>
      <c r="I1025">
        <v>131</v>
      </c>
      <c r="J1025">
        <v>1</v>
      </c>
      <c r="K1025" t="s">
        <v>8935</v>
      </c>
    </row>
    <row r="1026" spans="1:11" x14ac:dyDescent="0.25">
      <c r="A1026" t="s">
        <v>3603</v>
      </c>
      <c r="B1026" t="s">
        <v>3604</v>
      </c>
      <c r="C1026" t="s">
        <v>3605</v>
      </c>
      <c r="D1026" t="s">
        <v>3606</v>
      </c>
      <c r="E1026" t="s">
        <v>14</v>
      </c>
      <c r="F1026" t="s">
        <v>15</v>
      </c>
      <c r="G1026">
        <v>28205</v>
      </c>
      <c r="H1026" t="s">
        <v>16</v>
      </c>
      <c r="I1026">
        <v>63</v>
      </c>
      <c r="J1026">
        <v>1</v>
      </c>
      <c r="K1026" t="s">
        <v>8925</v>
      </c>
    </row>
    <row r="1027" spans="1:11" x14ac:dyDescent="0.25">
      <c r="A1027" t="s">
        <v>3607</v>
      </c>
      <c r="B1027" t="s">
        <v>3026</v>
      </c>
      <c r="C1027" t="s">
        <v>3608</v>
      </c>
      <c r="D1027" t="s">
        <v>3609</v>
      </c>
      <c r="E1027" t="s">
        <v>14</v>
      </c>
      <c r="F1027" t="s">
        <v>15</v>
      </c>
      <c r="G1027">
        <v>28269</v>
      </c>
      <c r="H1027" t="s">
        <v>21</v>
      </c>
      <c r="I1027">
        <v>10</v>
      </c>
      <c r="J1027">
        <v>1</v>
      </c>
      <c r="K1027" t="s">
        <v>8920</v>
      </c>
    </row>
    <row r="1028" spans="1:11" x14ac:dyDescent="0.25">
      <c r="A1028" t="s">
        <v>3610</v>
      </c>
      <c r="B1028" t="s">
        <v>139</v>
      </c>
      <c r="C1028" t="s">
        <v>3611</v>
      </c>
      <c r="D1028" t="s">
        <v>3612</v>
      </c>
      <c r="E1028" t="s">
        <v>14</v>
      </c>
      <c r="F1028" t="s">
        <v>15</v>
      </c>
      <c r="G1028">
        <v>28227</v>
      </c>
      <c r="H1028" t="s">
        <v>26</v>
      </c>
      <c r="I1028">
        <v>21</v>
      </c>
      <c r="J1028">
        <v>1</v>
      </c>
      <c r="K1028" t="s">
        <v>8926</v>
      </c>
    </row>
    <row r="1029" spans="1:11" x14ac:dyDescent="0.25">
      <c r="A1029" t="s">
        <v>3613</v>
      </c>
      <c r="B1029" t="s">
        <v>3614</v>
      </c>
      <c r="C1029" t="s">
        <v>3514</v>
      </c>
      <c r="D1029" t="s">
        <v>3615</v>
      </c>
      <c r="E1029" t="s">
        <v>14</v>
      </c>
      <c r="F1029" t="s">
        <v>15</v>
      </c>
      <c r="G1029">
        <v>28207</v>
      </c>
      <c r="H1029" t="s">
        <v>16</v>
      </c>
      <c r="I1029">
        <v>64</v>
      </c>
      <c r="J1029">
        <v>1</v>
      </c>
      <c r="K1029" t="s">
        <v>8935</v>
      </c>
    </row>
    <row r="1030" spans="1:11" x14ac:dyDescent="0.25">
      <c r="A1030" t="s">
        <v>3616</v>
      </c>
      <c r="B1030" t="s">
        <v>3617</v>
      </c>
      <c r="C1030" t="s">
        <v>3618</v>
      </c>
      <c r="D1030" t="s">
        <v>3619</v>
      </c>
      <c r="E1030" t="s">
        <v>14</v>
      </c>
      <c r="F1030" t="s">
        <v>15</v>
      </c>
      <c r="G1030">
        <v>28209</v>
      </c>
      <c r="H1030" t="s">
        <v>21</v>
      </c>
      <c r="I1030">
        <v>272</v>
      </c>
      <c r="J1030">
        <v>1</v>
      </c>
      <c r="K1030" t="s">
        <v>8935</v>
      </c>
    </row>
    <row r="1031" spans="1:11" x14ac:dyDescent="0.25">
      <c r="A1031" t="s">
        <v>3620</v>
      </c>
      <c r="B1031" t="s">
        <v>82</v>
      </c>
      <c r="C1031" t="s">
        <v>3621</v>
      </c>
      <c r="D1031" t="s">
        <v>412</v>
      </c>
      <c r="E1031" t="s">
        <v>14</v>
      </c>
      <c r="F1031" t="s">
        <v>15</v>
      </c>
      <c r="G1031">
        <v>28277</v>
      </c>
      <c r="H1031" t="s">
        <v>16</v>
      </c>
      <c r="I1031">
        <v>4</v>
      </c>
      <c r="J1031">
        <v>0</v>
      </c>
      <c r="K1031" t="s">
        <v>8935</v>
      </c>
    </row>
    <row r="1032" spans="1:11" x14ac:dyDescent="0.25">
      <c r="A1032" t="s">
        <v>3622</v>
      </c>
      <c r="B1032" t="s">
        <v>3623</v>
      </c>
      <c r="C1032" t="s">
        <v>3624</v>
      </c>
      <c r="E1032" t="s">
        <v>14</v>
      </c>
      <c r="F1032" t="s">
        <v>15</v>
      </c>
      <c r="G1032">
        <v>28211</v>
      </c>
      <c r="H1032" t="s">
        <v>39</v>
      </c>
      <c r="I1032">
        <v>21</v>
      </c>
      <c r="J1032">
        <v>1</v>
      </c>
      <c r="K1032" t="s">
        <v>8935</v>
      </c>
    </row>
    <row r="1033" spans="1:11" x14ac:dyDescent="0.25">
      <c r="A1033" t="s">
        <v>3625</v>
      </c>
      <c r="B1033" t="s">
        <v>3626</v>
      </c>
      <c r="C1033" t="s">
        <v>3627</v>
      </c>
      <c r="D1033" t="s">
        <v>3628</v>
      </c>
      <c r="E1033" t="s">
        <v>14</v>
      </c>
      <c r="F1033" t="s">
        <v>15</v>
      </c>
      <c r="G1033">
        <v>28205</v>
      </c>
      <c r="H1033" t="s">
        <v>39</v>
      </c>
      <c r="I1033">
        <v>32</v>
      </c>
      <c r="J1033">
        <v>1</v>
      </c>
      <c r="K1033" t="s">
        <v>8935</v>
      </c>
    </row>
    <row r="1034" spans="1:11" x14ac:dyDescent="0.25">
      <c r="A1034" t="s">
        <v>3629</v>
      </c>
      <c r="B1034" t="s">
        <v>3630</v>
      </c>
      <c r="C1034" t="s">
        <v>415</v>
      </c>
      <c r="D1034" t="s">
        <v>3631</v>
      </c>
      <c r="E1034" t="s">
        <v>14</v>
      </c>
      <c r="F1034" t="s">
        <v>15</v>
      </c>
      <c r="G1034">
        <v>28208</v>
      </c>
      <c r="H1034" t="s">
        <v>16</v>
      </c>
      <c r="I1034">
        <v>28</v>
      </c>
      <c r="J1034">
        <v>1</v>
      </c>
      <c r="K1034" t="s">
        <v>8935</v>
      </c>
    </row>
    <row r="1035" spans="1:11" x14ac:dyDescent="0.25">
      <c r="A1035" t="s">
        <v>3632</v>
      </c>
      <c r="B1035" t="s">
        <v>3633</v>
      </c>
      <c r="C1035" t="s">
        <v>3634</v>
      </c>
      <c r="D1035" t="s">
        <v>3635</v>
      </c>
      <c r="E1035" t="s">
        <v>14</v>
      </c>
      <c r="F1035" t="s">
        <v>15</v>
      </c>
      <c r="G1035">
        <v>28205</v>
      </c>
      <c r="H1035" t="s">
        <v>39</v>
      </c>
      <c r="I1035">
        <v>3</v>
      </c>
      <c r="J1035">
        <v>1</v>
      </c>
      <c r="K1035" t="s">
        <v>8935</v>
      </c>
    </row>
    <row r="1036" spans="1:11" x14ac:dyDescent="0.25">
      <c r="A1036" t="s">
        <v>3636</v>
      </c>
      <c r="B1036" t="s">
        <v>556</v>
      </c>
      <c r="C1036" t="s">
        <v>3637</v>
      </c>
      <c r="D1036" t="s">
        <v>3638</v>
      </c>
      <c r="E1036" t="s">
        <v>14</v>
      </c>
      <c r="F1036" t="s">
        <v>15</v>
      </c>
      <c r="G1036">
        <v>28207</v>
      </c>
      <c r="H1036" t="s">
        <v>16</v>
      </c>
      <c r="I1036">
        <v>115</v>
      </c>
      <c r="J1036">
        <v>1</v>
      </c>
      <c r="K1036" t="s">
        <v>8935</v>
      </c>
    </row>
    <row r="1037" spans="1:11" x14ac:dyDescent="0.25">
      <c r="A1037" t="s">
        <v>3639</v>
      </c>
      <c r="B1037" t="s">
        <v>3640</v>
      </c>
      <c r="C1037" t="s">
        <v>3641</v>
      </c>
      <c r="D1037" t="s">
        <v>3642</v>
      </c>
      <c r="E1037" t="s">
        <v>14</v>
      </c>
      <c r="F1037" t="s">
        <v>15</v>
      </c>
      <c r="G1037">
        <v>28213</v>
      </c>
      <c r="H1037" t="s">
        <v>16</v>
      </c>
      <c r="I1037">
        <v>4</v>
      </c>
      <c r="J1037">
        <v>0</v>
      </c>
      <c r="K1037" t="s">
        <v>8935</v>
      </c>
    </row>
    <row r="1038" spans="1:11" x14ac:dyDescent="0.25">
      <c r="A1038" t="s">
        <v>3643</v>
      </c>
      <c r="B1038" t="s">
        <v>3644</v>
      </c>
      <c r="C1038" t="s">
        <v>622</v>
      </c>
      <c r="D1038" t="s">
        <v>3645</v>
      </c>
      <c r="E1038" t="s">
        <v>14</v>
      </c>
      <c r="F1038" t="s">
        <v>15</v>
      </c>
      <c r="G1038">
        <v>28216</v>
      </c>
      <c r="H1038" t="s">
        <v>26</v>
      </c>
      <c r="I1038">
        <v>12</v>
      </c>
      <c r="J1038">
        <v>1</v>
      </c>
      <c r="K1038" t="s">
        <v>8935</v>
      </c>
    </row>
    <row r="1039" spans="1:11" x14ac:dyDescent="0.25">
      <c r="A1039" t="s">
        <v>3646</v>
      </c>
      <c r="B1039" t="s">
        <v>3647</v>
      </c>
      <c r="C1039" t="s">
        <v>3648</v>
      </c>
      <c r="D1039" t="s">
        <v>3649</v>
      </c>
      <c r="E1039" t="s">
        <v>14</v>
      </c>
      <c r="F1039" t="s">
        <v>15</v>
      </c>
      <c r="G1039">
        <v>28211</v>
      </c>
      <c r="H1039" t="s">
        <v>26</v>
      </c>
      <c r="I1039">
        <v>104</v>
      </c>
      <c r="J1039">
        <v>1</v>
      </c>
      <c r="K1039" t="s">
        <v>8935</v>
      </c>
    </row>
    <row r="1040" spans="1:11" x14ac:dyDescent="0.25">
      <c r="A1040" t="s">
        <v>3650</v>
      </c>
      <c r="B1040" t="s">
        <v>3651</v>
      </c>
      <c r="C1040" t="s">
        <v>3652</v>
      </c>
      <c r="D1040" t="s">
        <v>3653</v>
      </c>
      <c r="E1040" t="s">
        <v>14</v>
      </c>
      <c r="F1040" t="s">
        <v>15</v>
      </c>
      <c r="G1040">
        <v>28277</v>
      </c>
      <c r="H1040" t="s">
        <v>39</v>
      </c>
      <c r="I1040">
        <v>344</v>
      </c>
      <c r="J1040">
        <v>1</v>
      </c>
      <c r="K1040" t="s">
        <v>8921</v>
      </c>
    </row>
    <row r="1041" spans="1:11" x14ac:dyDescent="0.25">
      <c r="A1041" t="s">
        <v>3654</v>
      </c>
      <c r="B1041" t="s">
        <v>3655</v>
      </c>
      <c r="C1041" t="s">
        <v>3656</v>
      </c>
      <c r="D1041" t="s">
        <v>3657</v>
      </c>
      <c r="E1041" t="s">
        <v>14</v>
      </c>
      <c r="F1041" t="s">
        <v>15</v>
      </c>
      <c r="G1041">
        <v>28207</v>
      </c>
      <c r="H1041" t="s">
        <v>16</v>
      </c>
      <c r="I1041">
        <v>260</v>
      </c>
      <c r="J1041">
        <v>1</v>
      </c>
      <c r="K1041" t="s">
        <v>8936</v>
      </c>
    </row>
    <row r="1042" spans="1:11" x14ac:dyDescent="0.25">
      <c r="A1042" t="s">
        <v>3658</v>
      </c>
      <c r="B1042" t="s">
        <v>3659</v>
      </c>
      <c r="C1042" t="s">
        <v>3660</v>
      </c>
      <c r="D1042" t="s">
        <v>3250</v>
      </c>
      <c r="E1042" t="s">
        <v>14</v>
      </c>
      <c r="F1042" t="s">
        <v>15</v>
      </c>
      <c r="G1042">
        <v>28217</v>
      </c>
      <c r="H1042" t="s">
        <v>48</v>
      </c>
      <c r="I1042">
        <v>3</v>
      </c>
      <c r="J1042">
        <v>0</v>
      </c>
      <c r="K1042" t="s">
        <v>8926</v>
      </c>
    </row>
    <row r="1043" spans="1:11" x14ac:dyDescent="0.25">
      <c r="A1043" t="s">
        <v>3661</v>
      </c>
      <c r="B1043" t="s">
        <v>3662</v>
      </c>
      <c r="C1043" t="s">
        <v>3663</v>
      </c>
      <c r="D1043" t="s">
        <v>3664</v>
      </c>
      <c r="E1043" t="s">
        <v>14</v>
      </c>
      <c r="F1043" t="s">
        <v>15</v>
      </c>
      <c r="G1043">
        <v>28227</v>
      </c>
      <c r="H1043" t="s">
        <v>146</v>
      </c>
      <c r="I1043">
        <v>7</v>
      </c>
      <c r="J1043">
        <v>1</v>
      </c>
      <c r="K1043" t="s">
        <v>8935</v>
      </c>
    </row>
    <row r="1044" spans="1:11" x14ac:dyDescent="0.25">
      <c r="A1044" t="s">
        <v>3665</v>
      </c>
      <c r="B1044" t="s">
        <v>3666</v>
      </c>
      <c r="C1044" t="s">
        <v>1276</v>
      </c>
      <c r="D1044" t="s">
        <v>3667</v>
      </c>
      <c r="E1044" t="s">
        <v>14</v>
      </c>
      <c r="F1044" t="s">
        <v>15</v>
      </c>
      <c r="G1044">
        <v>28217</v>
      </c>
      <c r="H1044" t="s">
        <v>16</v>
      </c>
      <c r="I1044">
        <v>9</v>
      </c>
      <c r="J1044">
        <v>1</v>
      </c>
      <c r="K1044" t="s">
        <v>8935</v>
      </c>
    </row>
    <row r="1045" spans="1:11" x14ac:dyDescent="0.25">
      <c r="A1045" t="s">
        <v>3668</v>
      </c>
      <c r="B1045" t="s">
        <v>3669</v>
      </c>
      <c r="C1045" t="s">
        <v>622</v>
      </c>
      <c r="D1045" t="s">
        <v>3670</v>
      </c>
      <c r="E1045" t="s">
        <v>14</v>
      </c>
      <c r="F1045" t="s">
        <v>15</v>
      </c>
      <c r="G1045">
        <v>28215</v>
      </c>
      <c r="H1045" t="s">
        <v>48</v>
      </c>
      <c r="I1045">
        <v>7</v>
      </c>
      <c r="J1045">
        <v>1</v>
      </c>
      <c r="K1045" t="s">
        <v>8935</v>
      </c>
    </row>
    <row r="1046" spans="1:11" x14ac:dyDescent="0.25">
      <c r="A1046" t="s">
        <v>3671</v>
      </c>
      <c r="B1046" t="s">
        <v>3672</v>
      </c>
      <c r="C1046" t="s">
        <v>3673</v>
      </c>
      <c r="D1046" t="s">
        <v>3674</v>
      </c>
      <c r="E1046" t="s">
        <v>14</v>
      </c>
      <c r="F1046" t="s">
        <v>15</v>
      </c>
      <c r="G1046">
        <v>28226</v>
      </c>
      <c r="H1046" t="s">
        <v>16</v>
      </c>
      <c r="I1046">
        <v>48</v>
      </c>
      <c r="J1046">
        <v>1</v>
      </c>
      <c r="K1046" t="s">
        <v>8931</v>
      </c>
    </row>
    <row r="1047" spans="1:11" x14ac:dyDescent="0.25">
      <c r="A1047" t="s">
        <v>3675</v>
      </c>
      <c r="B1047" t="s">
        <v>3676</v>
      </c>
      <c r="C1047" t="s">
        <v>3677</v>
      </c>
      <c r="D1047" t="s">
        <v>3678</v>
      </c>
      <c r="E1047" t="s">
        <v>14</v>
      </c>
      <c r="F1047" t="s">
        <v>15</v>
      </c>
      <c r="G1047">
        <v>28208</v>
      </c>
      <c r="H1047" t="s">
        <v>21</v>
      </c>
      <c r="I1047">
        <v>10</v>
      </c>
      <c r="J1047">
        <v>1</v>
      </c>
      <c r="K1047" t="s">
        <v>8921</v>
      </c>
    </row>
    <row r="1048" spans="1:11" x14ac:dyDescent="0.25">
      <c r="A1048" t="s">
        <v>3679</v>
      </c>
      <c r="B1048" t="s">
        <v>3680</v>
      </c>
      <c r="C1048" t="s">
        <v>2397</v>
      </c>
      <c r="D1048" t="s">
        <v>3681</v>
      </c>
      <c r="E1048" t="s">
        <v>14</v>
      </c>
      <c r="F1048" t="s">
        <v>15</v>
      </c>
      <c r="G1048">
        <v>28210</v>
      </c>
      <c r="H1048" t="s">
        <v>26</v>
      </c>
      <c r="I1048">
        <v>211</v>
      </c>
      <c r="J1048">
        <v>1</v>
      </c>
      <c r="K1048" t="s">
        <v>8926</v>
      </c>
    </row>
    <row r="1049" spans="1:11" x14ac:dyDescent="0.25">
      <c r="A1049" t="s">
        <v>3682</v>
      </c>
      <c r="B1049" t="s">
        <v>3683</v>
      </c>
      <c r="C1049" t="s">
        <v>411</v>
      </c>
      <c r="D1049" t="s">
        <v>1523</v>
      </c>
      <c r="E1049" t="s">
        <v>14</v>
      </c>
      <c r="F1049" t="s">
        <v>15</v>
      </c>
      <c r="G1049">
        <v>28211</v>
      </c>
      <c r="H1049" t="s">
        <v>48</v>
      </c>
      <c r="I1049">
        <v>9</v>
      </c>
      <c r="J1049">
        <v>1</v>
      </c>
      <c r="K1049" t="s">
        <v>8935</v>
      </c>
    </row>
    <row r="1050" spans="1:11" x14ac:dyDescent="0.25">
      <c r="A1050" t="s">
        <v>3684</v>
      </c>
      <c r="B1050" t="s">
        <v>3685</v>
      </c>
      <c r="C1050" t="s">
        <v>3686</v>
      </c>
      <c r="D1050" t="s">
        <v>3687</v>
      </c>
      <c r="E1050" t="s">
        <v>14</v>
      </c>
      <c r="F1050" t="s">
        <v>15</v>
      </c>
      <c r="G1050">
        <v>28277</v>
      </c>
      <c r="H1050" t="s">
        <v>39</v>
      </c>
      <c r="I1050">
        <v>6</v>
      </c>
      <c r="J1050">
        <v>0</v>
      </c>
      <c r="K1050" t="s">
        <v>8935</v>
      </c>
    </row>
    <row r="1051" spans="1:11" x14ac:dyDescent="0.25">
      <c r="A1051" t="s">
        <v>3688</v>
      </c>
      <c r="B1051" t="s">
        <v>556</v>
      </c>
      <c r="C1051" t="s">
        <v>3689</v>
      </c>
      <c r="D1051" t="s">
        <v>3690</v>
      </c>
      <c r="E1051" t="s">
        <v>14</v>
      </c>
      <c r="F1051" t="s">
        <v>15</v>
      </c>
      <c r="G1051">
        <v>28277</v>
      </c>
      <c r="H1051" t="s">
        <v>48</v>
      </c>
      <c r="I1051">
        <v>4</v>
      </c>
      <c r="J1051">
        <v>0</v>
      </c>
      <c r="K1051" t="s">
        <v>8935</v>
      </c>
    </row>
    <row r="1052" spans="1:11" x14ac:dyDescent="0.25">
      <c r="A1052" t="s">
        <v>3691</v>
      </c>
      <c r="B1052" t="s">
        <v>3692</v>
      </c>
      <c r="C1052" t="s">
        <v>3693</v>
      </c>
      <c r="D1052" t="s">
        <v>3694</v>
      </c>
      <c r="E1052" t="s">
        <v>14</v>
      </c>
      <c r="F1052" t="s">
        <v>15</v>
      </c>
      <c r="G1052">
        <v>28204</v>
      </c>
      <c r="H1052" t="s">
        <v>39</v>
      </c>
      <c r="I1052">
        <v>377</v>
      </c>
      <c r="J1052">
        <v>1</v>
      </c>
      <c r="K1052" t="s">
        <v>8921</v>
      </c>
    </row>
    <row r="1053" spans="1:11" x14ac:dyDescent="0.25">
      <c r="A1053" t="s">
        <v>3695</v>
      </c>
      <c r="B1053" t="s">
        <v>3696</v>
      </c>
      <c r="C1053" t="s">
        <v>3697</v>
      </c>
      <c r="D1053" t="s">
        <v>3698</v>
      </c>
      <c r="E1053" t="s">
        <v>14</v>
      </c>
      <c r="F1053" t="s">
        <v>15</v>
      </c>
      <c r="G1053">
        <v>28203</v>
      </c>
      <c r="H1053" t="s">
        <v>39</v>
      </c>
      <c r="I1053">
        <v>284</v>
      </c>
      <c r="J1053">
        <v>0</v>
      </c>
      <c r="K1053" t="s">
        <v>8935</v>
      </c>
    </row>
    <row r="1054" spans="1:11" x14ac:dyDescent="0.25">
      <c r="A1054" t="s">
        <v>3699</v>
      </c>
      <c r="B1054" t="s">
        <v>3700</v>
      </c>
      <c r="C1054" t="s">
        <v>1683</v>
      </c>
      <c r="D1054" t="s">
        <v>3701</v>
      </c>
      <c r="E1054" t="s">
        <v>14</v>
      </c>
      <c r="F1054" t="s">
        <v>15</v>
      </c>
      <c r="G1054">
        <v>28227</v>
      </c>
      <c r="H1054" t="s">
        <v>265</v>
      </c>
      <c r="I1054">
        <v>3</v>
      </c>
      <c r="J1054">
        <v>0</v>
      </c>
      <c r="K1054" t="s">
        <v>8935</v>
      </c>
    </row>
    <row r="1055" spans="1:11" x14ac:dyDescent="0.25">
      <c r="A1055" t="s">
        <v>3702</v>
      </c>
      <c r="B1055" t="s">
        <v>2209</v>
      </c>
      <c r="C1055" t="s">
        <v>3703</v>
      </c>
      <c r="D1055" t="s">
        <v>3704</v>
      </c>
      <c r="E1055" t="s">
        <v>14</v>
      </c>
      <c r="F1055" t="s">
        <v>15</v>
      </c>
      <c r="G1055">
        <v>28213</v>
      </c>
      <c r="H1055" t="s">
        <v>26</v>
      </c>
      <c r="I1055">
        <v>50</v>
      </c>
      <c r="J1055">
        <v>1</v>
      </c>
      <c r="K1055" t="s">
        <v>8926</v>
      </c>
    </row>
    <row r="1056" spans="1:11" x14ac:dyDescent="0.25">
      <c r="A1056" t="s">
        <v>3705</v>
      </c>
      <c r="B1056" t="s">
        <v>3706</v>
      </c>
      <c r="C1056" t="s">
        <v>3707</v>
      </c>
      <c r="D1056" t="s">
        <v>3593</v>
      </c>
      <c r="E1056" t="s">
        <v>14</v>
      </c>
      <c r="F1056" t="s">
        <v>15</v>
      </c>
      <c r="G1056">
        <v>28210</v>
      </c>
      <c r="H1056" t="s">
        <v>146</v>
      </c>
      <c r="I1056">
        <v>17</v>
      </c>
      <c r="J1056">
        <v>1</v>
      </c>
      <c r="K1056" t="s">
        <v>8931</v>
      </c>
    </row>
    <row r="1057" spans="1:11" x14ac:dyDescent="0.25">
      <c r="A1057" t="s">
        <v>3708</v>
      </c>
      <c r="B1057" t="s">
        <v>332</v>
      </c>
      <c r="C1057" t="s">
        <v>2035</v>
      </c>
      <c r="D1057" t="s">
        <v>3709</v>
      </c>
      <c r="E1057" t="s">
        <v>14</v>
      </c>
      <c r="F1057" t="s">
        <v>15</v>
      </c>
      <c r="G1057">
        <v>28277</v>
      </c>
      <c r="H1057" t="s">
        <v>48</v>
      </c>
      <c r="I1057">
        <v>15</v>
      </c>
      <c r="J1057">
        <v>1</v>
      </c>
      <c r="K1057" t="s">
        <v>8935</v>
      </c>
    </row>
    <row r="1058" spans="1:11" x14ac:dyDescent="0.25">
      <c r="A1058" t="s">
        <v>3710</v>
      </c>
      <c r="B1058" t="s">
        <v>3711</v>
      </c>
      <c r="C1058" t="s">
        <v>3712</v>
      </c>
      <c r="D1058" t="s">
        <v>3713</v>
      </c>
      <c r="E1058" t="s">
        <v>14</v>
      </c>
      <c r="F1058" t="s">
        <v>15</v>
      </c>
      <c r="G1058">
        <v>28202</v>
      </c>
      <c r="H1058" t="s">
        <v>21</v>
      </c>
      <c r="I1058">
        <v>16</v>
      </c>
      <c r="J1058">
        <v>0</v>
      </c>
      <c r="K1058" t="s">
        <v>8935</v>
      </c>
    </row>
    <row r="1059" spans="1:11" x14ac:dyDescent="0.25">
      <c r="A1059" t="s">
        <v>3714</v>
      </c>
      <c r="B1059" t="s">
        <v>3715</v>
      </c>
      <c r="C1059" t="s">
        <v>3716</v>
      </c>
      <c r="D1059" t="s">
        <v>3717</v>
      </c>
      <c r="E1059" t="s">
        <v>14</v>
      </c>
      <c r="F1059" t="s">
        <v>15</v>
      </c>
      <c r="G1059">
        <v>28262</v>
      </c>
      <c r="H1059" t="s">
        <v>16</v>
      </c>
      <c r="I1059">
        <v>36</v>
      </c>
      <c r="J1059">
        <v>1</v>
      </c>
      <c r="K1059" t="s">
        <v>8921</v>
      </c>
    </row>
    <row r="1060" spans="1:11" x14ac:dyDescent="0.25">
      <c r="A1060" t="s">
        <v>3718</v>
      </c>
      <c r="B1060" t="s">
        <v>1909</v>
      </c>
      <c r="C1060" t="s">
        <v>3719</v>
      </c>
      <c r="D1060" t="s">
        <v>3720</v>
      </c>
      <c r="E1060" t="s">
        <v>14</v>
      </c>
      <c r="F1060" t="s">
        <v>15</v>
      </c>
      <c r="G1060">
        <v>28203</v>
      </c>
      <c r="H1060" t="s">
        <v>16</v>
      </c>
      <c r="I1060">
        <v>298</v>
      </c>
      <c r="J1060">
        <v>1</v>
      </c>
      <c r="K1060" t="s">
        <v>8921</v>
      </c>
    </row>
    <row r="1061" spans="1:11" x14ac:dyDescent="0.25">
      <c r="A1061" t="s">
        <v>3721</v>
      </c>
      <c r="B1061" t="s">
        <v>3722</v>
      </c>
      <c r="C1061" t="s">
        <v>3723</v>
      </c>
      <c r="D1061" t="s">
        <v>3724</v>
      </c>
      <c r="E1061" t="s">
        <v>14</v>
      </c>
      <c r="F1061" t="s">
        <v>15</v>
      </c>
      <c r="G1061">
        <v>28205</v>
      </c>
      <c r="H1061" t="s">
        <v>26</v>
      </c>
      <c r="I1061">
        <v>7</v>
      </c>
      <c r="J1061">
        <v>1</v>
      </c>
      <c r="K1061" t="s">
        <v>8925</v>
      </c>
    </row>
    <row r="1062" spans="1:11" x14ac:dyDescent="0.25">
      <c r="A1062" t="s">
        <v>3725</v>
      </c>
      <c r="B1062" t="s">
        <v>3726</v>
      </c>
      <c r="C1062" t="s">
        <v>3727</v>
      </c>
      <c r="D1062" t="s">
        <v>3728</v>
      </c>
      <c r="E1062" t="s">
        <v>14</v>
      </c>
      <c r="F1062" t="s">
        <v>15</v>
      </c>
      <c r="G1062">
        <v>28269</v>
      </c>
      <c r="H1062" t="s">
        <v>21</v>
      </c>
      <c r="I1062">
        <v>12</v>
      </c>
      <c r="J1062">
        <v>0</v>
      </c>
      <c r="K1062" t="s">
        <v>8935</v>
      </c>
    </row>
    <row r="1063" spans="1:11" x14ac:dyDescent="0.25">
      <c r="A1063" t="s">
        <v>3729</v>
      </c>
      <c r="B1063" t="s">
        <v>3730</v>
      </c>
      <c r="C1063" t="s">
        <v>3731</v>
      </c>
      <c r="D1063" t="s">
        <v>1919</v>
      </c>
      <c r="E1063" t="s">
        <v>14</v>
      </c>
      <c r="F1063" t="s">
        <v>15</v>
      </c>
      <c r="G1063">
        <v>28217</v>
      </c>
      <c r="H1063" t="s">
        <v>39</v>
      </c>
      <c r="I1063">
        <v>486</v>
      </c>
      <c r="J1063">
        <v>1</v>
      </c>
      <c r="K1063" t="s">
        <v>8923</v>
      </c>
    </row>
    <row r="1064" spans="1:11" x14ac:dyDescent="0.25">
      <c r="A1064" t="s">
        <v>3732</v>
      </c>
      <c r="B1064" t="s">
        <v>3733</v>
      </c>
      <c r="C1064" t="s">
        <v>3734</v>
      </c>
      <c r="D1064" t="s">
        <v>3735</v>
      </c>
      <c r="E1064" t="s">
        <v>14</v>
      </c>
      <c r="F1064" t="s">
        <v>15</v>
      </c>
      <c r="G1064">
        <v>28216</v>
      </c>
      <c r="H1064" t="s">
        <v>21</v>
      </c>
      <c r="I1064">
        <v>10</v>
      </c>
      <c r="J1064">
        <v>1</v>
      </c>
      <c r="K1064" t="s">
        <v>8926</v>
      </c>
    </row>
    <row r="1065" spans="1:11" x14ac:dyDescent="0.25">
      <c r="A1065" t="s">
        <v>3736</v>
      </c>
      <c r="B1065" t="s">
        <v>3737</v>
      </c>
      <c r="C1065" t="s">
        <v>3738</v>
      </c>
      <c r="D1065" t="s">
        <v>3739</v>
      </c>
      <c r="E1065" t="s">
        <v>14</v>
      </c>
      <c r="F1065" t="s">
        <v>15</v>
      </c>
      <c r="G1065">
        <v>28202</v>
      </c>
      <c r="H1065" t="s">
        <v>21</v>
      </c>
      <c r="I1065">
        <v>22</v>
      </c>
      <c r="J1065">
        <v>1</v>
      </c>
      <c r="K1065" t="s">
        <v>8935</v>
      </c>
    </row>
    <row r="1066" spans="1:11" x14ac:dyDescent="0.25">
      <c r="A1066" t="s">
        <v>3740</v>
      </c>
      <c r="B1066" t="s">
        <v>3741</v>
      </c>
      <c r="C1066" t="s">
        <v>3742</v>
      </c>
      <c r="D1066" t="s">
        <v>1655</v>
      </c>
      <c r="E1066" t="s">
        <v>14</v>
      </c>
      <c r="F1066" t="s">
        <v>15</v>
      </c>
      <c r="G1066">
        <v>28273</v>
      </c>
      <c r="H1066" t="s">
        <v>16</v>
      </c>
      <c r="I1066">
        <v>20</v>
      </c>
      <c r="J1066">
        <v>0</v>
      </c>
      <c r="K1066" t="s">
        <v>8935</v>
      </c>
    </row>
    <row r="1067" spans="1:11" x14ac:dyDescent="0.25">
      <c r="A1067" t="s">
        <v>3743</v>
      </c>
      <c r="B1067" t="s">
        <v>3744</v>
      </c>
      <c r="C1067" t="s">
        <v>3745</v>
      </c>
      <c r="D1067" t="s">
        <v>162</v>
      </c>
      <c r="E1067" t="s">
        <v>14</v>
      </c>
      <c r="F1067" t="s">
        <v>15</v>
      </c>
      <c r="G1067">
        <v>28203</v>
      </c>
      <c r="H1067" t="s">
        <v>146</v>
      </c>
      <c r="I1067">
        <v>4</v>
      </c>
      <c r="J1067">
        <v>1</v>
      </c>
      <c r="K1067" t="s">
        <v>8935</v>
      </c>
    </row>
    <row r="1068" spans="1:11" x14ac:dyDescent="0.25">
      <c r="A1068" t="s">
        <v>3746</v>
      </c>
      <c r="B1068" t="s">
        <v>3747</v>
      </c>
      <c r="C1068" t="s">
        <v>3748</v>
      </c>
      <c r="D1068" t="s">
        <v>944</v>
      </c>
      <c r="E1068" t="s">
        <v>14</v>
      </c>
      <c r="F1068" t="s">
        <v>15</v>
      </c>
      <c r="G1068">
        <v>28208</v>
      </c>
      <c r="H1068" t="s">
        <v>101</v>
      </c>
      <c r="I1068">
        <v>17</v>
      </c>
      <c r="J1068">
        <v>1</v>
      </c>
      <c r="K1068" t="s">
        <v>8935</v>
      </c>
    </row>
    <row r="1069" spans="1:11" x14ac:dyDescent="0.25">
      <c r="A1069" t="s">
        <v>3749</v>
      </c>
      <c r="B1069" t="s">
        <v>3750</v>
      </c>
      <c r="C1069" t="s">
        <v>3751</v>
      </c>
      <c r="D1069" t="s">
        <v>3752</v>
      </c>
      <c r="E1069" t="s">
        <v>14</v>
      </c>
      <c r="F1069" t="s">
        <v>15</v>
      </c>
      <c r="G1069">
        <v>28203</v>
      </c>
      <c r="H1069" t="s">
        <v>26</v>
      </c>
      <c r="I1069">
        <v>29</v>
      </c>
      <c r="J1069">
        <v>0</v>
      </c>
      <c r="K1069" t="s">
        <v>8935</v>
      </c>
    </row>
    <row r="1070" spans="1:11" x14ac:dyDescent="0.25">
      <c r="A1070" t="s">
        <v>3753</v>
      </c>
      <c r="B1070" t="s">
        <v>3754</v>
      </c>
      <c r="C1070" t="s">
        <v>1200</v>
      </c>
      <c r="D1070" t="s">
        <v>3755</v>
      </c>
      <c r="E1070" t="s">
        <v>14</v>
      </c>
      <c r="F1070" t="s">
        <v>15</v>
      </c>
      <c r="G1070">
        <v>28269</v>
      </c>
      <c r="H1070" t="s">
        <v>16</v>
      </c>
      <c r="I1070">
        <v>30</v>
      </c>
      <c r="J1070">
        <v>1</v>
      </c>
      <c r="K1070" t="s">
        <v>8935</v>
      </c>
    </row>
    <row r="1071" spans="1:11" x14ac:dyDescent="0.25">
      <c r="A1071" t="s">
        <v>3756</v>
      </c>
      <c r="B1071" t="s">
        <v>3757</v>
      </c>
      <c r="C1071" t="s">
        <v>3758</v>
      </c>
      <c r="D1071" t="s">
        <v>3759</v>
      </c>
      <c r="E1071" t="s">
        <v>14</v>
      </c>
      <c r="F1071" t="s">
        <v>15</v>
      </c>
      <c r="G1071">
        <v>28202</v>
      </c>
      <c r="H1071" t="s">
        <v>21</v>
      </c>
      <c r="I1071">
        <v>97</v>
      </c>
      <c r="J1071">
        <v>1</v>
      </c>
      <c r="K1071" t="s">
        <v>8921</v>
      </c>
    </row>
    <row r="1072" spans="1:11" x14ac:dyDescent="0.25">
      <c r="A1072" t="s">
        <v>3760</v>
      </c>
      <c r="B1072" t="s">
        <v>3761</v>
      </c>
      <c r="C1072" t="s">
        <v>1094</v>
      </c>
      <c r="D1072" t="s">
        <v>3762</v>
      </c>
      <c r="E1072" t="s">
        <v>14</v>
      </c>
      <c r="F1072" t="s">
        <v>15</v>
      </c>
      <c r="G1072">
        <v>28262</v>
      </c>
      <c r="H1072" t="s">
        <v>26</v>
      </c>
      <c r="I1072">
        <v>29</v>
      </c>
      <c r="J1072">
        <v>1</v>
      </c>
      <c r="K1072" t="s">
        <v>8925</v>
      </c>
    </row>
    <row r="1073" spans="1:11" x14ac:dyDescent="0.25">
      <c r="A1073" t="s">
        <v>3763</v>
      </c>
      <c r="B1073" t="s">
        <v>3764</v>
      </c>
      <c r="C1073" t="s">
        <v>3765</v>
      </c>
      <c r="D1073" t="s">
        <v>3766</v>
      </c>
      <c r="E1073" t="s">
        <v>14</v>
      </c>
      <c r="F1073" t="s">
        <v>15</v>
      </c>
      <c r="G1073">
        <v>28269</v>
      </c>
      <c r="H1073" t="s">
        <v>39</v>
      </c>
      <c r="I1073">
        <v>42</v>
      </c>
      <c r="J1073">
        <v>0</v>
      </c>
      <c r="K1073" t="s">
        <v>8929</v>
      </c>
    </row>
    <row r="1074" spans="1:11" x14ac:dyDescent="0.25">
      <c r="A1074" t="s">
        <v>3767</v>
      </c>
      <c r="B1074" t="s">
        <v>3768</v>
      </c>
      <c r="C1074" t="s">
        <v>3769</v>
      </c>
      <c r="D1074" t="s">
        <v>3770</v>
      </c>
      <c r="E1074" t="s">
        <v>14</v>
      </c>
      <c r="F1074" t="s">
        <v>15</v>
      </c>
      <c r="G1074">
        <v>28203</v>
      </c>
      <c r="H1074" t="s">
        <v>16</v>
      </c>
      <c r="I1074">
        <v>101</v>
      </c>
      <c r="J1074">
        <v>1</v>
      </c>
      <c r="K1074" t="s">
        <v>8926</v>
      </c>
    </row>
    <row r="1075" spans="1:11" x14ac:dyDescent="0.25">
      <c r="A1075" t="s">
        <v>3771</v>
      </c>
      <c r="B1075" t="s">
        <v>3772</v>
      </c>
      <c r="C1075" t="s">
        <v>3773</v>
      </c>
      <c r="D1075" t="s">
        <v>1549</v>
      </c>
      <c r="E1075" t="s">
        <v>14</v>
      </c>
      <c r="F1075" t="s">
        <v>15</v>
      </c>
      <c r="G1075">
        <v>28203</v>
      </c>
      <c r="H1075" t="s">
        <v>39</v>
      </c>
      <c r="I1075">
        <v>3</v>
      </c>
      <c r="J1075">
        <v>0</v>
      </c>
      <c r="K1075" t="s">
        <v>8935</v>
      </c>
    </row>
    <row r="1076" spans="1:11" x14ac:dyDescent="0.25">
      <c r="A1076" t="s">
        <v>3774</v>
      </c>
      <c r="B1076" t="s">
        <v>316</v>
      </c>
      <c r="C1076" t="s">
        <v>3775</v>
      </c>
      <c r="D1076" t="s">
        <v>3776</v>
      </c>
      <c r="E1076" t="s">
        <v>14</v>
      </c>
      <c r="F1076" t="s">
        <v>15</v>
      </c>
      <c r="G1076">
        <v>28273</v>
      </c>
      <c r="H1076" t="s">
        <v>21</v>
      </c>
      <c r="I1076">
        <v>5</v>
      </c>
      <c r="J1076">
        <v>0</v>
      </c>
      <c r="K1076" t="s">
        <v>8935</v>
      </c>
    </row>
    <row r="1077" spans="1:11" x14ac:dyDescent="0.25">
      <c r="A1077" t="s">
        <v>3777</v>
      </c>
      <c r="B1077" t="s">
        <v>3778</v>
      </c>
      <c r="C1077" t="s">
        <v>3779</v>
      </c>
      <c r="D1077" t="s">
        <v>3780</v>
      </c>
      <c r="E1077" t="s">
        <v>14</v>
      </c>
      <c r="F1077" t="s">
        <v>15</v>
      </c>
      <c r="G1077">
        <v>28209</v>
      </c>
      <c r="H1077" t="s">
        <v>26</v>
      </c>
      <c r="I1077">
        <v>45</v>
      </c>
      <c r="J1077">
        <v>1</v>
      </c>
      <c r="K1077" t="s">
        <v>8935</v>
      </c>
    </row>
    <row r="1078" spans="1:11" x14ac:dyDescent="0.25">
      <c r="A1078" t="s">
        <v>3781</v>
      </c>
      <c r="B1078" t="s">
        <v>3782</v>
      </c>
      <c r="C1078" t="s">
        <v>3783</v>
      </c>
      <c r="D1078" t="s">
        <v>3784</v>
      </c>
      <c r="E1078" t="s">
        <v>14</v>
      </c>
      <c r="F1078" t="s">
        <v>15</v>
      </c>
      <c r="H1078" t="s">
        <v>39</v>
      </c>
      <c r="I1078">
        <v>3</v>
      </c>
      <c r="J1078">
        <v>1</v>
      </c>
      <c r="K1078" t="s">
        <v>8935</v>
      </c>
    </row>
    <row r="1079" spans="1:11" x14ac:dyDescent="0.25">
      <c r="A1079" t="s">
        <v>3785</v>
      </c>
      <c r="B1079" t="s">
        <v>2213</v>
      </c>
      <c r="C1079" t="s">
        <v>3786</v>
      </c>
      <c r="D1079" t="s">
        <v>3787</v>
      </c>
      <c r="E1079" t="s">
        <v>14</v>
      </c>
      <c r="F1079" t="s">
        <v>15</v>
      </c>
      <c r="G1079">
        <v>28227</v>
      </c>
      <c r="H1079" t="s">
        <v>26</v>
      </c>
      <c r="I1079">
        <v>6</v>
      </c>
      <c r="J1079">
        <v>0</v>
      </c>
      <c r="K1079" t="s">
        <v>8935</v>
      </c>
    </row>
    <row r="1080" spans="1:11" x14ac:dyDescent="0.25">
      <c r="A1080" t="s">
        <v>3788</v>
      </c>
      <c r="B1080" t="s">
        <v>3789</v>
      </c>
      <c r="C1080" t="s">
        <v>3790</v>
      </c>
      <c r="D1080" t="s">
        <v>3791</v>
      </c>
      <c r="E1080" t="s">
        <v>14</v>
      </c>
      <c r="F1080" t="s">
        <v>15</v>
      </c>
      <c r="G1080">
        <v>28202</v>
      </c>
      <c r="H1080" t="s">
        <v>21</v>
      </c>
      <c r="I1080">
        <v>298</v>
      </c>
      <c r="J1080">
        <v>1</v>
      </c>
      <c r="K1080" t="s">
        <v>8937</v>
      </c>
    </row>
    <row r="1081" spans="1:11" x14ac:dyDescent="0.25">
      <c r="A1081" t="s">
        <v>3792</v>
      </c>
      <c r="B1081" t="s">
        <v>3793</v>
      </c>
      <c r="C1081" t="s">
        <v>3794</v>
      </c>
      <c r="D1081" t="s">
        <v>3795</v>
      </c>
      <c r="E1081" t="s">
        <v>14</v>
      </c>
      <c r="F1081" t="s">
        <v>15</v>
      </c>
      <c r="G1081">
        <v>28202</v>
      </c>
      <c r="H1081" t="s">
        <v>26</v>
      </c>
      <c r="I1081">
        <v>16</v>
      </c>
      <c r="J1081">
        <v>0</v>
      </c>
      <c r="K1081" t="s">
        <v>8935</v>
      </c>
    </row>
    <row r="1082" spans="1:11" x14ac:dyDescent="0.25">
      <c r="A1082" t="s">
        <v>3796</v>
      </c>
      <c r="B1082" t="s">
        <v>3797</v>
      </c>
      <c r="C1082" t="s">
        <v>3798</v>
      </c>
      <c r="D1082" t="s">
        <v>3799</v>
      </c>
      <c r="E1082" t="s">
        <v>14</v>
      </c>
      <c r="F1082" t="s">
        <v>15</v>
      </c>
      <c r="G1082">
        <v>28269</v>
      </c>
      <c r="H1082" t="s">
        <v>21</v>
      </c>
      <c r="I1082">
        <v>32</v>
      </c>
      <c r="J1082">
        <v>1</v>
      </c>
      <c r="K1082" t="s">
        <v>8935</v>
      </c>
    </row>
    <row r="1083" spans="1:11" x14ac:dyDescent="0.25">
      <c r="A1083" t="s">
        <v>3800</v>
      </c>
      <c r="B1083" t="s">
        <v>3801</v>
      </c>
      <c r="C1083" t="s">
        <v>3802</v>
      </c>
      <c r="D1083" t="s">
        <v>3803</v>
      </c>
      <c r="E1083" t="s">
        <v>14</v>
      </c>
      <c r="F1083" t="s">
        <v>15</v>
      </c>
      <c r="G1083">
        <v>28211</v>
      </c>
      <c r="H1083" t="s">
        <v>16</v>
      </c>
      <c r="I1083">
        <v>57</v>
      </c>
      <c r="J1083">
        <v>1</v>
      </c>
      <c r="K1083" t="s">
        <v>8935</v>
      </c>
    </row>
    <row r="1084" spans="1:11" x14ac:dyDescent="0.25">
      <c r="A1084" t="s">
        <v>3804</v>
      </c>
      <c r="B1084" t="s">
        <v>254</v>
      </c>
      <c r="C1084" t="s">
        <v>622</v>
      </c>
      <c r="D1084" t="s">
        <v>3805</v>
      </c>
      <c r="E1084" t="s">
        <v>14</v>
      </c>
      <c r="F1084" t="s">
        <v>15</v>
      </c>
      <c r="G1084">
        <v>28269</v>
      </c>
      <c r="H1084" t="s">
        <v>265</v>
      </c>
      <c r="I1084">
        <v>7</v>
      </c>
      <c r="J1084">
        <v>1</v>
      </c>
      <c r="K1084" t="s">
        <v>8935</v>
      </c>
    </row>
    <row r="1085" spans="1:11" x14ac:dyDescent="0.25">
      <c r="A1085" t="s">
        <v>3806</v>
      </c>
      <c r="B1085" t="s">
        <v>3807</v>
      </c>
      <c r="C1085" t="s">
        <v>3808</v>
      </c>
      <c r="D1085" t="s">
        <v>3809</v>
      </c>
      <c r="E1085" t="s">
        <v>14</v>
      </c>
      <c r="F1085" t="s">
        <v>15</v>
      </c>
      <c r="G1085">
        <v>28210</v>
      </c>
      <c r="H1085" t="s">
        <v>16</v>
      </c>
      <c r="I1085">
        <v>156</v>
      </c>
      <c r="J1085">
        <v>1</v>
      </c>
      <c r="K1085" t="s">
        <v>8935</v>
      </c>
    </row>
    <row r="1086" spans="1:11" x14ac:dyDescent="0.25">
      <c r="A1086" t="s">
        <v>3810</v>
      </c>
      <c r="B1086" t="s">
        <v>3811</v>
      </c>
      <c r="C1086" t="s">
        <v>193</v>
      </c>
      <c r="D1086" t="s">
        <v>3812</v>
      </c>
      <c r="E1086" t="s">
        <v>14</v>
      </c>
      <c r="F1086" t="s">
        <v>15</v>
      </c>
      <c r="G1086">
        <v>28269</v>
      </c>
      <c r="H1086" t="s">
        <v>195</v>
      </c>
      <c r="I1086">
        <v>24</v>
      </c>
      <c r="J1086">
        <v>1</v>
      </c>
      <c r="K1086" t="s">
        <v>8935</v>
      </c>
    </row>
    <row r="1087" spans="1:11" x14ac:dyDescent="0.25">
      <c r="A1087" t="s">
        <v>3813</v>
      </c>
      <c r="B1087" t="s">
        <v>3814</v>
      </c>
      <c r="C1087" t="s">
        <v>3815</v>
      </c>
      <c r="D1087" t="s">
        <v>3816</v>
      </c>
      <c r="E1087" t="s">
        <v>14</v>
      </c>
      <c r="F1087" t="s">
        <v>15</v>
      </c>
      <c r="G1087">
        <v>28204</v>
      </c>
      <c r="H1087" t="s">
        <v>21</v>
      </c>
      <c r="I1087">
        <v>33</v>
      </c>
      <c r="J1087">
        <v>1</v>
      </c>
      <c r="K1087" t="s">
        <v>8935</v>
      </c>
    </row>
    <row r="1088" spans="1:11" x14ac:dyDescent="0.25">
      <c r="A1088" t="s">
        <v>3817</v>
      </c>
      <c r="B1088" t="s">
        <v>2469</v>
      </c>
      <c r="C1088" t="s">
        <v>364</v>
      </c>
      <c r="D1088" t="s">
        <v>3818</v>
      </c>
      <c r="E1088" t="s">
        <v>14</v>
      </c>
      <c r="F1088" t="s">
        <v>15</v>
      </c>
      <c r="G1088">
        <v>28215</v>
      </c>
      <c r="H1088" t="s">
        <v>48</v>
      </c>
      <c r="I1088">
        <v>6</v>
      </c>
      <c r="J1088">
        <v>1</v>
      </c>
      <c r="K1088" t="s">
        <v>8935</v>
      </c>
    </row>
    <row r="1089" spans="1:11" x14ac:dyDescent="0.25">
      <c r="A1089" t="s">
        <v>3819</v>
      </c>
      <c r="B1089" t="s">
        <v>86</v>
      </c>
      <c r="C1089" t="s">
        <v>3820</v>
      </c>
      <c r="D1089" t="s">
        <v>3821</v>
      </c>
      <c r="E1089" t="s">
        <v>14</v>
      </c>
      <c r="F1089" t="s">
        <v>15</v>
      </c>
      <c r="G1089">
        <v>28202</v>
      </c>
      <c r="H1089" t="s">
        <v>26</v>
      </c>
      <c r="I1089">
        <v>59</v>
      </c>
      <c r="J1089">
        <v>0</v>
      </c>
      <c r="K1089" t="s">
        <v>8935</v>
      </c>
    </row>
    <row r="1090" spans="1:11" x14ac:dyDescent="0.25">
      <c r="A1090" t="s">
        <v>3822</v>
      </c>
      <c r="B1090" t="s">
        <v>3823</v>
      </c>
      <c r="C1090" t="s">
        <v>3824</v>
      </c>
      <c r="D1090" t="s">
        <v>2273</v>
      </c>
      <c r="E1090" t="s">
        <v>14</v>
      </c>
      <c r="F1090" t="s">
        <v>15</v>
      </c>
      <c r="G1090">
        <v>28270</v>
      </c>
      <c r="H1090" t="s">
        <v>16</v>
      </c>
      <c r="I1090">
        <v>80</v>
      </c>
      <c r="J1090">
        <v>1</v>
      </c>
      <c r="K1090" t="s">
        <v>8936</v>
      </c>
    </row>
    <row r="1091" spans="1:11" x14ac:dyDescent="0.25">
      <c r="A1091" t="s">
        <v>3825</v>
      </c>
      <c r="B1091" t="s">
        <v>228</v>
      </c>
      <c r="C1091" t="s">
        <v>3826</v>
      </c>
      <c r="D1091" t="s">
        <v>3827</v>
      </c>
      <c r="E1091" t="s">
        <v>14</v>
      </c>
      <c r="F1091" t="s">
        <v>15</v>
      </c>
      <c r="G1091">
        <v>28277</v>
      </c>
      <c r="H1091" t="s">
        <v>21</v>
      </c>
      <c r="I1091">
        <v>3</v>
      </c>
      <c r="J1091">
        <v>0</v>
      </c>
      <c r="K1091" t="s">
        <v>8935</v>
      </c>
    </row>
    <row r="1092" spans="1:11" x14ac:dyDescent="0.25">
      <c r="A1092" t="e">
        <f>-pL4Id5cuz2yC2UKi2Yq9A</f>
        <v>#NAME?</v>
      </c>
      <c r="B1092" t="s">
        <v>312</v>
      </c>
      <c r="C1092" t="s">
        <v>3828</v>
      </c>
      <c r="D1092" t="s">
        <v>3829</v>
      </c>
      <c r="E1092" t="s">
        <v>14</v>
      </c>
      <c r="F1092" t="s">
        <v>15</v>
      </c>
      <c r="G1092">
        <v>28205</v>
      </c>
      <c r="H1092" t="s">
        <v>16</v>
      </c>
      <c r="I1092">
        <v>101</v>
      </c>
      <c r="J1092">
        <v>1</v>
      </c>
      <c r="K1092" t="s">
        <v>8925</v>
      </c>
    </row>
    <row r="1093" spans="1:11" x14ac:dyDescent="0.25">
      <c r="A1093" t="s">
        <v>3830</v>
      </c>
      <c r="B1093" t="s">
        <v>3831</v>
      </c>
      <c r="C1093" t="s">
        <v>2544</v>
      </c>
      <c r="D1093" t="s">
        <v>3832</v>
      </c>
      <c r="E1093" t="s">
        <v>14</v>
      </c>
      <c r="F1093" t="s">
        <v>15</v>
      </c>
      <c r="G1093">
        <v>28210</v>
      </c>
      <c r="H1093" t="s">
        <v>26</v>
      </c>
      <c r="I1093">
        <v>26</v>
      </c>
      <c r="J1093">
        <v>1</v>
      </c>
      <c r="K1093" t="s">
        <v>8937</v>
      </c>
    </row>
    <row r="1094" spans="1:11" x14ac:dyDescent="0.25">
      <c r="A1094" t="s">
        <v>3833</v>
      </c>
      <c r="B1094" t="s">
        <v>2213</v>
      </c>
      <c r="C1094" t="s">
        <v>3834</v>
      </c>
      <c r="D1094" t="s">
        <v>2904</v>
      </c>
      <c r="E1094" t="s">
        <v>14</v>
      </c>
      <c r="F1094" t="s">
        <v>15</v>
      </c>
      <c r="G1094">
        <v>28202</v>
      </c>
      <c r="H1094" t="s">
        <v>21</v>
      </c>
      <c r="I1094">
        <v>43</v>
      </c>
      <c r="J1094">
        <v>0</v>
      </c>
      <c r="K1094" t="s">
        <v>8935</v>
      </c>
    </row>
    <row r="1095" spans="1:11" x14ac:dyDescent="0.25">
      <c r="A1095" t="s">
        <v>3835</v>
      </c>
      <c r="B1095" t="s">
        <v>3836</v>
      </c>
      <c r="C1095" t="s">
        <v>3837</v>
      </c>
      <c r="D1095" t="s">
        <v>3838</v>
      </c>
      <c r="E1095" t="s">
        <v>14</v>
      </c>
      <c r="F1095" t="s">
        <v>15</v>
      </c>
      <c r="G1095">
        <v>28216</v>
      </c>
      <c r="H1095" t="s">
        <v>48</v>
      </c>
      <c r="I1095">
        <v>106</v>
      </c>
      <c r="J1095">
        <v>1</v>
      </c>
      <c r="K1095" t="s">
        <v>8935</v>
      </c>
    </row>
    <row r="1096" spans="1:11" x14ac:dyDescent="0.25">
      <c r="A1096" t="s">
        <v>3839</v>
      </c>
      <c r="B1096" t="s">
        <v>176</v>
      </c>
      <c r="C1096" t="s">
        <v>3840</v>
      </c>
      <c r="D1096" t="s">
        <v>3841</v>
      </c>
      <c r="E1096" t="s">
        <v>14</v>
      </c>
      <c r="F1096" t="s">
        <v>15</v>
      </c>
      <c r="G1096">
        <v>28209</v>
      </c>
      <c r="H1096" t="s">
        <v>16</v>
      </c>
      <c r="I1096">
        <v>109</v>
      </c>
      <c r="J1096">
        <v>1</v>
      </c>
      <c r="K1096" t="s">
        <v>8935</v>
      </c>
    </row>
    <row r="1097" spans="1:11" x14ac:dyDescent="0.25">
      <c r="A1097" t="s">
        <v>3842</v>
      </c>
      <c r="B1097" t="s">
        <v>3843</v>
      </c>
      <c r="C1097" t="s">
        <v>3844</v>
      </c>
      <c r="D1097" t="s">
        <v>3845</v>
      </c>
      <c r="E1097" t="s">
        <v>14</v>
      </c>
      <c r="F1097" t="s">
        <v>15</v>
      </c>
      <c r="G1097">
        <v>28202</v>
      </c>
      <c r="H1097" t="s">
        <v>26</v>
      </c>
      <c r="I1097">
        <v>119</v>
      </c>
      <c r="J1097">
        <v>1</v>
      </c>
      <c r="K1097" t="s">
        <v>8935</v>
      </c>
    </row>
    <row r="1098" spans="1:11" x14ac:dyDescent="0.25">
      <c r="A1098" t="s">
        <v>3846</v>
      </c>
      <c r="B1098" t="s">
        <v>3847</v>
      </c>
      <c r="C1098" t="s">
        <v>3848</v>
      </c>
      <c r="D1098" t="s">
        <v>1523</v>
      </c>
      <c r="E1098" t="s">
        <v>14</v>
      </c>
      <c r="F1098" t="s">
        <v>15</v>
      </c>
      <c r="G1098">
        <v>28211</v>
      </c>
      <c r="H1098" t="s">
        <v>39</v>
      </c>
      <c r="I1098">
        <v>24</v>
      </c>
      <c r="J1098">
        <v>1</v>
      </c>
      <c r="K1098" t="s">
        <v>8935</v>
      </c>
    </row>
    <row r="1099" spans="1:11" x14ac:dyDescent="0.25">
      <c r="A1099" t="s">
        <v>3849</v>
      </c>
      <c r="B1099" t="s">
        <v>691</v>
      </c>
      <c r="C1099" t="s">
        <v>3850</v>
      </c>
      <c r="D1099" t="s">
        <v>3851</v>
      </c>
      <c r="E1099" t="s">
        <v>14</v>
      </c>
      <c r="F1099" t="s">
        <v>15</v>
      </c>
      <c r="G1099">
        <v>28262</v>
      </c>
      <c r="H1099" t="s">
        <v>26</v>
      </c>
      <c r="I1099">
        <v>14</v>
      </c>
      <c r="J1099">
        <v>0</v>
      </c>
      <c r="K1099" t="s">
        <v>8935</v>
      </c>
    </row>
    <row r="1100" spans="1:11" x14ac:dyDescent="0.25">
      <c r="A1100" t="s">
        <v>3852</v>
      </c>
      <c r="B1100" t="s">
        <v>3853</v>
      </c>
      <c r="C1100" t="s">
        <v>3854</v>
      </c>
      <c r="D1100" t="s">
        <v>3855</v>
      </c>
      <c r="E1100" t="s">
        <v>14</v>
      </c>
      <c r="F1100" t="s">
        <v>15</v>
      </c>
      <c r="G1100">
        <v>28202</v>
      </c>
      <c r="H1100" t="s">
        <v>16</v>
      </c>
      <c r="I1100">
        <v>224</v>
      </c>
      <c r="J1100">
        <v>1</v>
      </c>
      <c r="K1100" t="s">
        <v>8935</v>
      </c>
    </row>
    <row r="1101" spans="1:11" x14ac:dyDescent="0.25">
      <c r="A1101" t="s">
        <v>3856</v>
      </c>
      <c r="B1101" t="s">
        <v>3857</v>
      </c>
      <c r="C1101" t="s">
        <v>3858</v>
      </c>
      <c r="D1101" t="s">
        <v>396</v>
      </c>
      <c r="E1101" t="s">
        <v>14</v>
      </c>
      <c r="F1101" t="s">
        <v>15</v>
      </c>
      <c r="G1101">
        <v>28205</v>
      </c>
      <c r="H1101" t="s">
        <v>26</v>
      </c>
      <c r="I1101">
        <v>57</v>
      </c>
      <c r="J1101">
        <v>0</v>
      </c>
      <c r="K1101" t="s">
        <v>8936</v>
      </c>
    </row>
    <row r="1102" spans="1:11" x14ac:dyDescent="0.25">
      <c r="A1102" t="s">
        <v>3859</v>
      </c>
      <c r="B1102" t="s">
        <v>172</v>
      </c>
      <c r="C1102" t="s">
        <v>3860</v>
      </c>
      <c r="D1102" t="s">
        <v>480</v>
      </c>
      <c r="E1102" t="s">
        <v>14</v>
      </c>
      <c r="F1102" t="s">
        <v>15</v>
      </c>
      <c r="G1102">
        <v>28205</v>
      </c>
      <c r="H1102" t="s">
        <v>16</v>
      </c>
      <c r="I1102">
        <v>6</v>
      </c>
      <c r="J1102">
        <v>0</v>
      </c>
      <c r="K1102" t="s">
        <v>8927</v>
      </c>
    </row>
    <row r="1103" spans="1:11" x14ac:dyDescent="0.25">
      <c r="A1103" t="s">
        <v>3861</v>
      </c>
      <c r="B1103" t="s">
        <v>3862</v>
      </c>
      <c r="C1103" t="s">
        <v>221</v>
      </c>
      <c r="D1103" t="s">
        <v>3863</v>
      </c>
      <c r="E1103" t="s">
        <v>14</v>
      </c>
      <c r="F1103" t="s">
        <v>15</v>
      </c>
      <c r="G1103">
        <v>28277</v>
      </c>
      <c r="H1103" t="s">
        <v>101</v>
      </c>
      <c r="I1103">
        <v>8</v>
      </c>
      <c r="J1103">
        <v>1</v>
      </c>
      <c r="K1103" t="s">
        <v>8935</v>
      </c>
    </row>
    <row r="1104" spans="1:11" x14ac:dyDescent="0.25">
      <c r="A1104" t="s">
        <v>3864</v>
      </c>
      <c r="B1104" t="s">
        <v>718</v>
      </c>
      <c r="C1104" t="s">
        <v>3865</v>
      </c>
      <c r="D1104" t="s">
        <v>3866</v>
      </c>
      <c r="E1104" t="s">
        <v>14</v>
      </c>
      <c r="F1104" t="s">
        <v>15</v>
      </c>
      <c r="G1104">
        <v>28204</v>
      </c>
      <c r="H1104" t="s">
        <v>16</v>
      </c>
      <c r="I1104">
        <v>10</v>
      </c>
      <c r="J1104">
        <v>0</v>
      </c>
      <c r="K1104" t="s">
        <v>8935</v>
      </c>
    </row>
    <row r="1105" spans="1:11" x14ac:dyDescent="0.25">
      <c r="A1105" t="s">
        <v>3867</v>
      </c>
      <c r="B1105" t="s">
        <v>3868</v>
      </c>
      <c r="C1105" t="s">
        <v>3537</v>
      </c>
      <c r="D1105" t="s">
        <v>3589</v>
      </c>
      <c r="E1105" t="s">
        <v>14</v>
      </c>
      <c r="F1105" t="s">
        <v>15</v>
      </c>
      <c r="G1105">
        <v>28273</v>
      </c>
      <c r="H1105" t="s">
        <v>26</v>
      </c>
      <c r="I1105">
        <v>4</v>
      </c>
      <c r="J1105">
        <v>1</v>
      </c>
      <c r="K1105" t="s">
        <v>8926</v>
      </c>
    </row>
    <row r="1106" spans="1:11" x14ac:dyDescent="0.25">
      <c r="A1106" t="s">
        <v>3869</v>
      </c>
      <c r="B1106" t="s">
        <v>3870</v>
      </c>
      <c r="C1106" t="s">
        <v>3871</v>
      </c>
      <c r="D1106" t="s">
        <v>3872</v>
      </c>
      <c r="E1106" t="s">
        <v>14</v>
      </c>
      <c r="F1106" t="s">
        <v>15</v>
      </c>
      <c r="G1106">
        <v>28216</v>
      </c>
      <c r="H1106" t="s">
        <v>21</v>
      </c>
      <c r="I1106">
        <v>77</v>
      </c>
      <c r="J1106">
        <v>0</v>
      </c>
      <c r="K1106" t="s">
        <v>8921</v>
      </c>
    </row>
    <row r="1107" spans="1:11" x14ac:dyDescent="0.25">
      <c r="A1107" t="s">
        <v>3873</v>
      </c>
      <c r="B1107" t="s">
        <v>3874</v>
      </c>
      <c r="C1107" t="s">
        <v>1590</v>
      </c>
      <c r="D1107" t="s">
        <v>3875</v>
      </c>
      <c r="E1107" t="s">
        <v>14</v>
      </c>
      <c r="F1107" t="s">
        <v>15</v>
      </c>
      <c r="G1107">
        <v>28216</v>
      </c>
      <c r="H1107" t="s">
        <v>16</v>
      </c>
      <c r="I1107">
        <v>196</v>
      </c>
      <c r="J1107">
        <v>1</v>
      </c>
      <c r="K1107" t="s">
        <v>8935</v>
      </c>
    </row>
    <row r="1108" spans="1:11" x14ac:dyDescent="0.25">
      <c r="A1108" t="s">
        <v>3876</v>
      </c>
      <c r="B1108" t="s">
        <v>279</v>
      </c>
      <c r="C1108" t="s">
        <v>3877</v>
      </c>
      <c r="D1108" t="s">
        <v>3878</v>
      </c>
      <c r="E1108" t="s">
        <v>14</v>
      </c>
      <c r="F1108" t="s">
        <v>15</v>
      </c>
      <c r="G1108">
        <v>28210</v>
      </c>
      <c r="H1108" t="s">
        <v>48</v>
      </c>
      <c r="I1108">
        <v>49</v>
      </c>
      <c r="J1108">
        <v>1</v>
      </c>
      <c r="K1108" t="s">
        <v>8926</v>
      </c>
    </row>
    <row r="1109" spans="1:11" x14ac:dyDescent="0.25">
      <c r="A1109" t="s">
        <v>3879</v>
      </c>
      <c r="B1109" t="s">
        <v>279</v>
      </c>
      <c r="C1109" t="s">
        <v>3880</v>
      </c>
      <c r="D1109" t="s">
        <v>3881</v>
      </c>
      <c r="E1109" t="s">
        <v>14</v>
      </c>
      <c r="F1109" t="s">
        <v>15</v>
      </c>
      <c r="G1109">
        <v>28204</v>
      </c>
      <c r="H1109" t="s">
        <v>21</v>
      </c>
      <c r="I1109">
        <v>85</v>
      </c>
      <c r="J1109">
        <v>1</v>
      </c>
      <c r="K1109" t="s">
        <v>8926</v>
      </c>
    </row>
    <row r="1110" spans="1:11" x14ac:dyDescent="0.25">
      <c r="A1110" t="s">
        <v>3882</v>
      </c>
      <c r="B1110" t="s">
        <v>3883</v>
      </c>
      <c r="C1110" t="s">
        <v>3884</v>
      </c>
      <c r="D1110" t="s">
        <v>3885</v>
      </c>
      <c r="E1110" t="s">
        <v>14</v>
      </c>
      <c r="F1110" t="s">
        <v>15</v>
      </c>
      <c r="G1110">
        <v>28211</v>
      </c>
      <c r="H1110" t="s">
        <v>21</v>
      </c>
      <c r="I1110">
        <v>7</v>
      </c>
      <c r="J1110">
        <v>1</v>
      </c>
      <c r="K1110" t="s">
        <v>8920</v>
      </c>
    </row>
    <row r="1111" spans="1:11" x14ac:dyDescent="0.25">
      <c r="A1111" t="s">
        <v>3886</v>
      </c>
      <c r="B1111" t="s">
        <v>3887</v>
      </c>
      <c r="C1111" t="s">
        <v>3888</v>
      </c>
      <c r="D1111" t="s">
        <v>3889</v>
      </c>
      <c r="E1111" t="s">
        <v>14</v>
      </c>
      <c r="F1111" t="s">
        <v>15</v>
      </c>
      <c r="G1111">
        <v>28217</v>
      </c>
      <c r="H1111" t="s">
        <v>21</v>
      </c>
      <c r="I1111">
        <v>14</v>
      </c>
      <c r="J1111">
        <v>1</v>
      </c>
      <c r="K1111" t="s">
        <v>8925</v>
      </c>
    </row>
    <row r="1112" spans="1:11" x14ac:dyDescent="0.25">
      <c r="A1112" t="s">
        <v>3890</v>
      </c>
      <c r="B1112" t="s">
        <v>3891</v>
      </c>
      <c r="C1112" t="s">
        <v>3892</v>
      </c>
      <c r="D1112" t="s">
        <v>3893</v>
      </c>
      <c r="E1112" t="s">
        <v>14</v>
      </c>
      <c r="F1112" t="s">
        <v>15</v>
      </c>
      <c r="G1112">
        <v>28211</v>
      </c>
      <c r="H1112" t="s">
        <v>21</v>
      </c>
      <c r="I1112">
        <v>124</v>
      </c>
      <c r="J1112">
        <v>1</v>
      </c>
      <c r="K1112" t="s">
        <v>8930</v>
      </c>
    </row>
    <row r="1113" spans="1:11" x14ac:dyDescent="0.25">
      <c r="A1113" t="s">
        <v>3894</v>
      </c>
      <c r="B1113" t="s">
        <v>3895</v>
      </c>
      <c r="C1113" t="s">
        <v>46</v>
      </c>
      <c r="D1113" t="s">
        <v>3896</v>
      </c>
      <c r="E1113" t="s">
        <v>14</v>
      </c>
      <c r="F1113" t="s">
        <v>15</v>
      </c>
      <c r="G1113">
        <v>28273</v>
      </c>
      <c r="H1113" t="s">
        <v>48</v>
      </c>
      <c r="I1113">
        <v>63</v>
      </c>
      <c r="J1113">
        <v>1</v>
      </c>
      <c r="K1113" t="s">
        <v>8935</v>
      </c>
    </row>
    <row r="1114" spans="1:11" x14ac:dyDescent="0.25">
      <c r="A1114" t="s">
        <v>3897</v>
      </c>
      <c r="B1114" t="s">
        <v>3898</v>
      </c>
      <c r="C1114" t="s">
        <v>3899</v>
      </c>
      <c r="D1114" t="s">
        <v>3900</v>
      </c>
      <c r="E1114" t="s">
        <v>14</v>
      </c>
      <c r="F1114" t="s">
        <v>15</v>
      </c>
      <c r="G1114">
        <v>28277</v>
      </c>
      <c r="H1114" t="s">
        <v>21</v>
      </c>
      <c r="I1114">
        <v>37</v>
      </c>
      <c r="J1114">
        <v>0</v>
      </c>
      <c r="K1114" t="s">
        <v>8935</v>
      </c>
    </row>
    <row r="1115" spans="1:11" x14ac:dyDescent="0.25">
      <c r="A1115" t="s">
        <v>3901</v>
      </c>
      <c r="B1115" t="s">
        <v>3902</v>
      </c>
      <c r="C1115" t="s">
        <v>2279</v>
      </c>
      <c r="D1115" t="s">
        <v>3903</v>
      </c>
      <c r="E1115" t="s">
        <v>14</v>
      </c>
      <c r="F1115" t="s">
        <v>15</v>
      </c>
      <c r="G1115">
        <v>28203</v>
      </c>
      <c r="H1115" t="s">
        <v>21</v>
      </c>
      <c r="I1115">
        <v>316</v>
      </c>
      <c r="J1115">
        <v>1</v>
      </c>
      <c r="K1115" t="s">
        <v>8935</v>
      </c>
    </row>
    <row r="1116" spans="1:11" x14ac:dyDescent="0.25">
      <c r="A1116" t="s">
        <v>3904</v>
      </c>
      <c r="B1116" t="s">
        <v>967</v>
      </c>
      <c r="C1116" t="s">
        <v>87</v>
      </c>
      <c r="D1116" t="s">
        <v>3905</v>
      </c>
      <c r="E1116" t="s">
        <v>14</v>
      </c>
      <c r="F1116" t="s">
        <v>15</v>
      </c>
      <c r="G1116">
        <v>28217</v>
      </c>
      <c r="H1116" t="s">
        <v>195</v>
      </c>
      <c r="I1116">
        <v>6</v>
      </c>
      <c r="J1116">
        <v>1</v>
      </c>
      <c r="K1116" t="s">
        <v>8935</v>
      </c>
    </row>
    <row r="1117" spans="1:11" x14ac:dyDescent="0.25">
      <c r="A1117" t="s">
        <v>3906</v>
      </c>
      <c r="B1117" t="s">
        <v>3907</v>
      </c>
      <c r="C1117" t="s">
        <v>2242</v>
      </c>
      <c r="D1117" t="s">
        <v>3908</v>
      </c>
      <c r="E1117" t="s">
        <v>14</v>
      </c>
      <c r="F1117" t="s">
        <v>15</v>
      </c>
      <c r="G1117">
        <v>28273</v>
      </c>
      <c r="H1117" t="s">
        <v>21</v>
      </c>
      <c r="I1117">
        <v>59</v>
      </c>
      <c r="J1117">
        <v>1</v>
      </c>
      <c r="K1117" t="s">
        <v>8935</v>
      </c>
    </row>
    <row r="1118" spans="1:11" x14ac:dyDescent="0.25">
      <c r="A1118" t="s">
        <v>3909</v>
      </c>
      <c r="B1118" t="s">
        <v>3910</v>
      </c>
      <c r="C1118" t="s">
        <v>3911</v>
      </c>
      <c r="D1118" t="s">
        <v>3912</v>
      </c>
      <c r="E1118" t="s">
        <v>14</v>
      </c>
      <c r="F1118" t="s">
        <v>15</v>
      </c>
      <c r="G1118">
        <v>28208</v>
      </c>
      <c r="H1118" t="s">
        <v>21</v>
      </c>
      <c r="I1118">
        <v>20</v>
      </c>
      <c r="J1118">
        <v>1</v>
      </c>
      <c r="K1118" t="s">
        <v>8922</v>
      </c>
    </row>
    <row r="1119" spans="1:11" x14ac:dyDescent="0.25">
      <c r="A1119" t="s">
        <v>3913</v>
      </c>
      <c r="B1119" t="s">
        <v>3914</v>
      </c>
      <c r="C1119" t="s">
        <v>3915</v>
      </c>
      <c r="D1119" t="s">
        <v>3366</v>
      </c>
      <c r="E1119" t="s">
        <v>14</v>
      </c>
      <c r="F1119" t="s">
        <v>15</v>
      </c>
      <c r="G1119">
        <v>28212</v>
      </c>
      <c r="H1119" t="s">
        <v>195</v>
      </c>
      <c r="I1119">
        <v>3</v>
      </c>
      <c r="J1119">
        <v>1</v>
      </c>
      <c r="K1119" t="s">
        <v>8935</v>
      </c>
    </row>
    <row r="1120" spans="1:11" x14ac:dyDescent="0.25">
      <c r="A1120" t="s">
        <v>3916</v>
      </c>
      <c r="B1120" t="s">
        <v>3917</v>
      </c>
      <c r="C1120" t="s">
        <v>1617</v>
      </c>
      <c r="D1120" t="s">
        <v>3918</v>
      </c>
      <c r="E1120" t="s">
        <v>14</v>
      </c>
      <c r="F1120" t="s">
        <v>15</v>
      </c>
      <c r="G1120">
        <v>28277</v>
      </c>
      <c r="H1120" t="s">
        <v>26</v>
      </c>
      <c r="I1120">
        <v>39</v>
      </c>
      <c r="J1120">
        <v>1</v>
      </c>
      <c r="K1120" t="s">
        <v>8923</v>
      </c>
    </row>
    <row r="1121" spans="1:11" x14ac:dyDescent="0.25">
      <c r="A1121" t="s">
        <v>3919</v>
      </c>
      <c r="B1121" t="s">
        <v>3920</v>
      </c>
      <c r="C1121" t="s">
        <v>3921</v>
      </c>
      <c r="D1121" t="s">
        <v>3922</v>
      </c>
      <c r="E1121" t="s">
        <v>14</v>
      </c>
      <c r="F1121" t="s">
        <v>15</v>
      </c>
      <c r="G1121">
        <v>28205</v>
      </c>
      <c r="H1121" t="s">
        <v>146</v>
      </c>
      <c r="I1121">
        <v>25</v>
      </c>
      <c r="J1121">
        <v>1</v>
      </c>
      <c r="K1121" t="s">
        <v>8932</v>
      </c>
    </row>
    <row r="1122" spans="1:11" x14ac:dyDescent="0.25">
      <c r="A1122" t="s">
        <v>3923</v>
      </c>
      <c r="B1122" t="s">
        <v>3924</v>
      </c>
      <c r="C1122" t="s">
        <v>3925</v>
      </c>
      <c r="D1122" t="s">
        <v>3386</v>
      </c>
      <c r="E1122" t="s">
        <v>14</v>
      </c>
      <c r="F1122" t="s">
        <v>15</v>
      </c>
      <c r="G1122">
        <v>28203</v>
      </c>
      <c r="H1122" t="s">
        <v>39</v>
      </c>
      <c r="I1122">
        <v>88</v>
      </c>
      <c r="J1122">
        <v>0</v>
      </c>
      <c r="K1122" t="s">
        <v>8937</v>
      </c>
    </row>
    <row r="1123" spans="1:11" x14ac:dyDescent="0.25">
      <c r="A1123" t="s">
        <v>3926</v>
      </c>
      <c r="B1123" t="s">
        <v>2821</v>
      </c>
      <c r="C1123" t="s">
        <v>364</v>
      </c>
      <c r="D1123" t="s">
        <v>3927</v>
      </c>
      <c r="E1123" t="s">
        <v>14</v>
      </c>
      <c r="F1123" t="s">
        <v>15</v>
      </c>
      <c r="G1123">
        <v>28217</v>
      </c>
      <c r="H1123" t="s">
        <v>48</v>
      </c>
      <c r="I1123">
        <v>14</v>
      </c>
      <c r="J1123">
        <v>1</v>
      </c>
      <c r="K1123" t="s">
        <v>8935</v>
      </c>
    </row>
    <row r="1124" spans="1:11" x14ac:dyDescent="0.25">
      <c r="A1124" t="s">
        <v>3928</v>
      </c>
      <c r="B1124" t="s">
        <v>3929</v>
      </c>
      <c r="C1124" t="s">
        <v>3930</v>
      </c>
      <c r="D1124" t="s">
        <v>1284</v>
      </c>
      <c r="E1124" t="s">
        <v>14</v>
      </c>
      <c r="F1124" t="s">
        <v>15</v>
      </c>
      <c r="G1124">
        <v>28202</v>
      </c>
      <c r="H1124" t="s">
        <v>39</v>
      </c>
      <c r="I1124">
        <v>5</v>
      </c>
      <c r="J1124">
        <v>1</v>
      </c>
      <c r="K1124" t="s">
        <v>8935</v>
      </c>
    </row>
    <row r="1125" spans="1:11" x14ac:dyDescent="0.25">
      <c r="A1125" t="s">
        <v>3931</v>
      </c>
      <c r="B1125" t="s">
        <v>967</v>
      </c>
      <c r="C1125" t="s">
        <v>3932</v>
      </c>
      <c r="D1125" t="s">
        <v>3933</v>
      </c>
      <c r="E1125" t="s">
        <v>14</v>
      </c>
      <c r="F1125" t="s">
        <v>15</v>
      </c>
      <c r="G1125">
        <v>28205</v>
      </c>
      <c r="H1125" t="s">
        <v>16</v>
      </c>
      <c r="I1125">
        <v>81</v>
      </c>
      <c r="J1125">
        <v>1</v>
      </c>
      <c r="K1125" t="s">
        <v>8935</v>
      </c>
    </row>
    <row r="1126" spans="1:11" x14ac:dyDescent="0.25">
      <c r="A1126" t="s">
        <v>3934</v>
      </c>
      <c r="B1126" t="s">
        <v>3935</v>
      </c>
      <c r="C1126" t="s">
        <v>3936</v>
      </c>
      <c r="D1126" t="s">
        <v>3937</v>
      </c>
      <c r="E1126" t="s">
        <v>14</v>
      </c>
      <c r="F1126" t="s">
        <v>15</v>
      </c>
      <c r="G1126">
        <v>28277</v>
      </c>
      <c r="H1126" t="s">
        <v>21</v>
      </c>
      <c r="I1126">
        <v>14</v>
      </c>
      <c r="J1126">
        <v>0</v>
      </c>
      <c r="K1126" t="s">
        <v>8935</v>
      </c>
    </row>
    <row r="1127" spans="1:11" x14ac:dyDescent="0.25">
      <c r="A1127" t="s">
        <v>3938</v>
      </c>
      <c r="B1127" t="s">
        <v>3939</v>
      </c>
      <c r="C1127" t="s">
        <v>3940</v>
      </c>
      <c r="D1127" t="s">
        <v>3941</v>
      </c>
      <c r="E1127" t="s">
        <v>14</v>
      </c>
      <c r="F1127" t="s">
        <v>15</v>
      </c>
      <c r="G1127">
        <v>28277</v>
      </c>
      <c r="H1127" t="s">
        <v>21</v>
      </c>
      <c r="I1127">
        <v>93</v>
      </c>
      <c r="J1127">
        <v>1</v>
      </c>
      <c r="K1127" t="s">
        <v>8935</v>
      </c>
    </row>
    <row r="1128" spans="1:11" x14ac:dyDescent="0.25">
      <c r="A1128" t="s">
        <v>3942</v>
      </c>
      <c r="B1128" t="s">
        <v>3943</v>
      </c>
      <c r="C1128" t="s">
        <v>3944</v>
      </c>
      <c r="D1128" t="s">
        <v>3945</v>
      </c>
      <c r="E1128" t="s">
        <v>14</v>
      </c>
      <c r="F1128" t="s">
        <v>15</v>
      </c>
      <c r="G1128">
        <v>28209</v>
      </c>
      <c r="H1128" t="s">
        <v>21</v>
      </c>
      <c r="I1128">
        <v>245</v>
      </c>
      <c r="J1128">
        <v>1</v>
      </c>
      <c r="K1128" t="s">
        <v>8935</v>
      </c>
    </row>
    <row r="1129" spans="1:11" x14ac:dyDescent="0.25">
      <c r="A1129" t="s">
        <v>3946</v>
      </c>
      <c r="B1129" t="s">
        <v>3947</v>
      </c>
      <c r="C1129" t="s">
        <v>3948</v>
      </c>
      <c r="D1129" t="s">
        <v>3949</v>
      </c>
      <c r="E1129" t="s">
        <v>14</v>
      </c>
      <c r="F1129" t="s">
        <v>15</v>
      </c>
      <c r="G1129">
        <v>28217</v>
      </c>
      <c r="H1129" t="s">
        <v>39</v>
      </c>
      <c r="I1129">
        <v>7</v>
      </c>
      <c r="J1129">
        <v>1</v>
      </c>
      <c r="K1129" t="s">
        <v>8925</v>
      </c>
    </row>
    <row r="1130" spans="1:11" x14ac:dyDescent="0.25">
      <c r="A1130" t="s">
        <v>3950</v>
      </c>
      <c r="B1130" t="s">
        <v>3951</v>
      </c>
      <c r="C1130" t="s">
        <v>3952</v>
      </c>
      <c r="D1130" t="s">
        <v>3953</v>
      </c>
      <c r="E1130" t="s">
        <v>14</v>
      </c>
      <c r="F1130" t="s">
        <v>15</v>
      </c>
      <c r="G1130">
        <v>28277</v>
      </c>
      <c r="H1130" t="s">
        <v>16</v>
      </c>
      <c r="I1130">
        <v>26</v>
      </c>
      <c r="J1130">
        <v>1</v>
      </c>
      <c r="K1130" t="s">
        <v>8933</v>
      </c>
    </row>
    <row r="1131" spans="1:11" x14ac:dyDescent="0.25">
      <c r="A1131" t="s">
        <v>3954</v>
      </c>
      <c r="B1131" t="s">
        <v>3737</v>
      </c>
      <c r="C1131" t="s">
        <v>333</v>
      </c>
      <c r="D1131" t="s">
        <v>3955</v>
      </c>
      <c r="E1131" t="s">
        <v>14</v>
      </c>
      <c r="F1131" t="s">
        <v>15</v>
      </c>
      <c r="G1131">
        <v>28203</v>
      </c>
      <c r="H1131" t="s">
        <v>21</v>
      </c>
      <c r="I1131">
        <v>24</v>
      </c>
      <c r="J1131">
        <v>0</v>
      </c>
      <c r="K1131" t="s">
        <v>8935</v>
      </c>
    </row>
    <row r="1132" spans="1:11" x14ac:dyDescent="0.25">
      <c r="A1132" t="s">
        <v>3956</v>
      </c>
      <c r="B1132" t="s">
        <v>139</v>
      </c>
      <c r="C1132" t="s">
        <v>3957</v>
      </c>
      <c r="D1132" t="s">
        <v>1264</v>
      </c>
      <c r="E1132" t="s">
        <v>14</v>
      </c>
      <c r="F1132" t="s">
        <v>15</v>
      </c>
      <c r="G1132">
        <v>28277</v>
      </c>
      <c r="H1132" t="s">
        <v>21</v>
      </c>
      <c r="I1132">
        <v>48</v>
      </c>
      <c r="J1132">
        <v>1</v>
      </c>
      <c r="K1132" t="s">
        <v>8926</v>
      </c>
    </row>
    <row r="1133" spans="1:11" x14ac:dyDescent="0.25">
      <c r="A1133" t="s">
        <v>3958</v>
      </c>
      <c r="B1133" t="s">
        <v>3959</v>
      </c>
      <c r="C1133" t="s">
        <v>3960</v>
      </c>
      <c r="D1133" t="s">
        <v>3961</v>
      </c>
      <c r="E1133" t="s">
        <v>14</v>
      </c>
      <c r="F1133" t="s">
        <v>15</v>
      </c>
      <c r="G1133">
        <v>28205</v>
      </c>
      <c r="H1133" t="s">
        <v>16</v>
      </c>
      <c r="I1133">
        <v>429</v>
      </c>
      <c r="J1133">
        <v>1</v>
      </c>
      <c r="K1133" t="s">
        <v>8936</v>
      </c>
    </row>
    <row r="1134" spans="1:11" x14ac:dyDescent="0.25">
      <c r="A1134" t="s">
        <v>3962</v>
      </c>
      <c r="B1134" t="s">
        <v>3963</v>
      </c>
      <c r="C1134" t="s">
        <v>622</v>
      </c>
      <c r="D1134" t="s">
        <v>3964</v>
      </c>
      <c r="E1134" t="s">
        <v>14</v>
      </c>
      <c r="F1134" t="s">
        <v>15</v>
      </c>
      <c r="G1134">
        <v>28269</v>
      </c>
      <c r="H1134" t="s">
        <v>195</v>
      </c>
      <c r="I1134">
        <v>34</v>
      </c>
      <c r="J1134">
        <v>1</v>
      </c>
      <c r="K1134" t="s">
        <v>8935</v>
      </c>
    </row>
    <row r="1135" spans="1:11" x14ac:dyDescent="0.25">
      <c r="A1135" t="s">
        <v>3965</v>
      </c>
      <c r="B1135" t="s">
        <v>3966</v>
      </c>
      <c r="C1135" t="s">
        <v>3967</v>
      </c>
      <c r="D1135" t="s">
        <v>3968</v>
      </c>
      <c r="E1135" t="s">
        <v>14</v>
      </c>
      <c r="F1135" t="s">
        <v>15</v>
      </c>
      <c r="G1135">
        <v>28273</v>
      </c>
      <c r="H1135" t="s">
        <v>26</v>
      </c>
      <c r="I1135">
        <v>56</v>
      </c>
      <c r="J1135">
        <v>1</v>
      </c>
      <c r="K1135" t="s">
        <v>8935</v>
      </c>
    </row>
    <row r="1136" spans="1:11" x14ac:dyDescent="0.25">
      <c r="A1136" t="s">
        <v>3969</v>
      </c>
      <c r="B1136" t="s">
        <v>556</v>
      </c>
      <c r="C1136" t="s">
        <v>3970</v>
      </c>
      <c r="D1136" t="s">
        <v>3971</v>
      </c>
      <c r="E1136" t="s">
        <v>14</v>
      </c>
      <c r="F1136" t="s">
        <v>15</v>
      </c>
      <c r="G1136">
        <v>28206</v>
      </c>
      <c r="H1136" t="s">
        <v>146</v>
      </c>
      <c r="I1136">
        <v>4</v>
      </c>
      <c r="J1136">
        <v>1</v>
      </c>
      <c r="K1136" t="s">
        <v>8935</v>
      </c>
    </row>
    <row r="1137" spans="1:11" x14ac:dyDescent="0.25">
      <c r="A1137" t="e">
        <f>-GWI_4FktOD7fwHW1DgZCA</f>
        <v>#NAME?</v>
      </c>
      <c r="B1137" t="s">
        <v>3972</v>
      </c>
      <c r="C1137" t="s">
        <v>3973</v>
      </c>
      <c r="D1137" t="s">
        <v>3974</v>
      </c>
      <c r="E1137" t="s">
        <v>14</v>
      </c>
      <c r="F1137" t="s">
        <v>15</v>
      </c>
      <c r="G1137">
        <v>28202</v>
      </c>
      <c r="H1137" t="s">
        <v>48</v>
      </c>
      <c r="I1137">
        <v>94</v>
      </c>
      <c r="J1137">
        <v>1</v>
      </c>
      <c r="K1137" t="s">
        <v>8935</v>
      </c>
    </row>
    <row r="1138" spans="1:11" x14ac:dyDescent="0.25">
      <c r="A1138" t="s">
        <v>3975</v>
      </c>
      <c r="B1138" t="s">
        <v>3976</v>
      </c>
      <c r="C1138" t="s">
        <v>546</v>
      </c>
      <c r="D1138" t="s">
        <v>3977</v>
      </c>
      <c r="E1138" t="s">
        <v>14</v>
      </c>
      <c r="F1138" t="s">
        <v>15</v>
      </c>
      <c r="G1138">
        <v>28226</v>
      </c>
      <c r="H1138" t="s">
        <v>21</v>
      </c>
      <c r="I1138">
        <v>70</v>
      </c>
      <c r="J1138">
        <v>1</v>
      </c>
      <c r="K1138" t="s">
        <v>8921</v>
      </c>
    </row>
    <row r="1139" spans="1:11" x14ac:dyDescent="0.25">
      <c r="A1139" t="s">
        <v>3978</v>
      </c>
      <c r="B1139" t="s">
        <v>312</v>
      </c>
      <c r="C1139" t="s">
        <v>3979</v>
      </c>
      <c r="D1139" t="s">
        <v>3980</v>
      </c>
      <c r="E1139" t="s">
        <v>14</v>
      </c>
      <c r="F1139" t="s">
        <v>15</v>
      </c>
      <c r="G1139">
        <v>28212</v>
      </c>
      <c r="H1139" t="s">
        <v>16</v>
      </c>
      <c r="I1139">
        <v>14</v>
      </c>
      <c r="J1139">
        <v>0</v>
      </c>
      <c r="K1139" t="s">
        <v>8925</v>
      </c>
    </row>
    <row r="1140" spans="1:11" x14ac:dyDescent="0.25">
      <c r="A1140" t="s">
        <v>3981</v>
      </c>
      <c r="B1140" t="s">
        <v>3982</v>
      </c>
      <c r="C1140" t="s">
        <v>3983</v>
      </c>
      <c r="D1140" t="s">
        <v>3984</v>
      </c>
      <c r="E1140" t="s">
        <v>14</v>
      </c>
      <c r="F1140" t="s">
        <v>15</v>
      </c>
      <c r="G1140">
        <v>28226</v>
      </c>
      <c r="H1140" t="s">
        <v>21</v>
      </c>
      <c r="I1140">
        <v>133</v>
      </c>
      <c r="J1140">
        <v>1</v>
      </c>
      <c r="K1140" t="s">
        <v>8935</v>
      </c>
    </row>
    <row r="1141" spans="1:11" x14ac:dyDescent="0.25">
      <c r="A1141" t="s">
        <v>3985</v>
      </c>
      <c r="B1141" t="s">
        <v>3986</v>
      </c>
      <c r="C1141" t="s">
        <v>3987</v>
      </c>
      <c r="D1141" t="s">
        <v>3988</v>
      </c>
      <c r="E1141" t="s">
        <v>14</v>
      </c>
      <c r="F1141" t="s">
        <v>15</v>
      </c>
      <c r="G1141">
        <v>28203</v>
      </c>
      <c r="H1141" t="s">
        <v>39</v>
      </c>
      <c r="I1141">
        <v>71</v>
      </c>
      <c r="J1141">
        <v>0</v>
      </c>
      <c r="K1141" t="s">
        <v>8935</v>
      </c>
    </row>
    <row r="1142" spans="1:11" x14ac:dyDescent="0.25">
      <c r="A1142" t="s">
        <v>3989</v>
      </c>
      <c r="B1142" t="s">
        <v>556</v>
      </c>
      <c r="C1142" t="s">
        <v>3990</v>
      </c>
      <c r="D1142" t="s">
        <v>2717</v>
      </c>
      <c r="E1142" t="s">
        <v>14</v>
      </c>
      <c r="F1142" t="s">
        <v>15</v>
      </c>
      <c r="G1142">
        <v>28211</v>
      </c>
      <c r="H1142" t="s">
        <v>101</v>
      </c>
      <c r="I1142">
        <v>4</v>
      </c>
      <c r="J1142">
        <v>0</v>
      </c>
      <c r="K1142" t="s">
        <v>8935</v>
      </c>
    </row>
    <row r="1143" spans="1:11" x14ac:dyDescent="0.25">
      <c r="A1143" t="s">
        <v>3991</v>
      </c>
      <c r="B1143" t="s">
        <v>3992</v>
      </c>
      <c r="C1143" t="s">
        <v>3993</v>
      </c>
      <c r="D1143" t="s">
        <v>3994</v>
      </c>
      <c r="E1143" t="s">
        <v>14</v>
      </c>
      <c r="F1143" t="s">
        <v>15</v>
      </c>
      <c r="G1143">
        <v>28203</v>
      </c>
      <c r="H1143" t="s">
        <v>16</v>
      </c>
      <c r="I1143">
        <v>196</v>
      </c>
      <c r="J1143">
        <v>1</v>
      </c>
      <c r="K1143" t="s">
        <v>8936</v>
      </c>
    </row>
    <row r="1144" spans="1:11" x14ac:dyDescent="0.25">
      <c r="A1144" t="s">
        <v>3995</v>
      </c>
      <c r="B1144" t="s">
        <v>3996</v>
      </c>
      <c r="C1144" t="s">
        <v>1574</v>
      </c>
      <c r="D1144" t="s">
        <v>3997</v>
      </c>
      <c r="E1144" t="s">
        <v>14</v>
      </c>
      <c r="F1144" t="s">
        <v>15</v>
      </c>
      <c r="G1144">
        <v>28277</v>
      </c>
      <c r="H1144" t="s">
        <v>16</v>
      </c>
      <c r="I1144">
        <v>73</v>
      </c>
      <c r="J1144">
        <v>1</v>
      </c>
      <c r="K1144" t="s">
        <v>8935</v>
      </c>
    </row>
    <row r="1145" spans="1:11" x14ac:dyDescent="0.25">
      <c r="A1145" t="s">
        <v>3998</v>
      </c>
      <c r="B1145" t="s">
        <v>3999</v>
      </c>
      <c r="C1145" t="s">
        <v>4000</v>
      </c>
      <c r="D1145" t="s">
        <v>4001</v>
      </c>
      <c r="E1145" t="s">
        <v>14</v>
      </c>
      <c r="F1145" t="s">
        <v>15</v>
      </c>
      <c r="G1145">
        <v>28208</v>
      </c>
      <c r="H1145" t="s">
        <v>21</v>
      </c>
      <c r="I1145">
        <v>174</v>
      </c>
      <c r="J1145">
        <v>1</v>
      </c>
      <c r="K1145" t="s">
        <v>8920</v>
      </c>
    </row>
    <row r="1146" spans="1:11" x14ac:dyDescent="0.25">
      <c r="A1146" t="s">
        <v>4002</v>
      </c>
      <c r="B1146" t="s">
        <v>2757</v>
      </c>
      <c r="C1146" t="s">
        <v>364</v>
      </c>
      <c r="D1146" t="s">
        <v>4003</v>
      </c>
      <c r="E1146" t="s">
        <v>14</v>
      </c>
      <c r="F1146" t="s">
        <v>15</v>
      </c>
      <c r="G1146">
        <v>28213</v>
      </c>
      <c r="H1146" t="s">
        <v>21</v>
      </c>
      <c r="I1146">
        <v>4</v>
      </c>
      <c r="J1146">
        <v>1</v>
      </c>
      <c r="K1146" t="s">
        <v>8935</v>
      </c>
    </row>
    <row r="1147" spans="1:11" x14ac:dyDescent="0.25">
      <c r="A1147" t="s">
        <v>4004</v>
      </c>
      <c r="B1147" t="s">
        <v>4005</v>
      </c>
      <c r="C1147" t="s">
        <v>4006</v>
      </c>
      <c r="D1147" t="s">
        <v>4007</v>
      </c>
      <c r="E1147" t="s">
        <v>14</v>
      </c>
      <c r="F1147" t="s">
        <v>15</v>
      </c>
      <c r="G1147">
        <v>28203</v>
      </c>
      <c r="H1147" t="s">
        <v>39</v>
      </c>
      <c r="I1147">
        <v>6</v>
      </c>
      <c r="J1147">
        <v>1</v>
      </c>
      <c r="K1147" t="s">
        <v>8935</v>
      </c>
    </row>
    <row r="1148" spans="1:11" x14ac:dyDescent="0.25">
      <c r="A1148" t="s">
        <v>4008</v>
      </c>
      <c r="B1148" t="s">
        <v>4009</v>
      </c>
      <c r="C1148" t="s">
        <v>4010</v>
      </c>
      <c r="D1148" t="s">
        <v>4011</v>
      </c>
      <c r="E1148" t="s">
        <v>14</v>
      </c>
      <c r="F1148" t="s">
        <v>15</v>
      </c>
      <c r="G1148">
        <v>28202</v>
      </c>
      <c r="H1148" t="s">
        <v>26</v>
      </c>
      <c r="I1148">
        <v>23</v>
      </c>
      <c r="J1148">
        <v>1</v>
      </c>
      <c r="K1148" t="s">
        <v>8925</v>
      </c>
    </row>
    <row r="1149" spans="1:11" x14ac:dyDescent="0.25">
      <c r="A1149" t="s">
        <v>4012</v>
      </c>
      <c r="B1149" t="s">
        <v>4013</v>
      </c>
      <c r="C1149" t="s">
        <v>1330</v>
      </c>
      <c r="D1149" t="s">
        <v>4014</v>
      </c>
      <c r="E1149" t="s">
        <v>14</v>
      </c>
      <c r="F1149" t="s">
        <v>15</v>
      </c>
      <c r="G1149">
        <v>28262</v>
      </c>
      <c r="H1149" t="s">
        <v>39</v>
      </c>
      <c r="I1149">
        <v>166</v>
      </c>
      <c r="J1149">
        <v>1</v>
      </c>
      <c r="K1149" t="s">
        <v>8923</v>
      </c>
    </row>
    <row r="1150" spans="1:11" x14ac:dyDescent="0.25">
      <c r="A1150" t="s">
        <v>4015</v>
      </c>
      <c r="B1150" t="s">
        <v>4016</v>
      </c>
      <c r="C1150" t="s">
        <v>4017</v>
      </c>
      <c r="D1150" t="s">
        <v>4018</v>
      </c>
      <c r="E1150" t="s">
        <v>14</v>
      </c>
      <c r="F1150" t="s">
        <v>15</v>
      </c>
      <c r="G1150">
        <v>28277</v>
      </c>
      <c r="H1150" t="s">
        <v>39</v>
      </c>
      <c r="I1150">
        <v>67</v>
      </c>
      <c r="J1150">
        <v>1</v>
      </c>
      <c r="K1150" t="s">
        <v>8933</v>
      </c>
    </row>
    <row r="1151" spans="1:11" x14ac:dyDescent="0.25">
      <c r="A1151" t="s">
        <v>4019</v>
      </c>
      <c r="B1151" t="s">
        <v>4020</v>
      </c>
      <c r="C1151" t="s">
        <v>4021</v>
      </c>
      <c r="D1151" t="s">
        <v>4022</v>
      </c>
      <c r="E1151" t="s">
        <v>14</v>
      </c>
      <c r="F1151" t="s">
        <v>15</v>
      </c>
      <c r="G1151">
        <v>28226</v>
      </c>
      <c r="H1151" t="s">
        <v>39</v>
      </c>
      <c r="I1151">
        <v>87</v>
      </c>
      <c r="J1151">
        <v>0</v>
      </c>
      <c r="K1151" t="s">
        <v>8937</v>
      </c>
    </row>
    <row r="1152" spans="1:11" x14ac:dyDescent="0.25">
      <c r="A1152" t="s">
        <v>4023</v>
      </c>
      <c r="B1152" t="s">
        <v>4024</v>
      </c>
      <c r="C1152" t="s">
        <v>4025</v>
      </c>
      <c r="D1152" t="s">
        <v>4026</v>
      </c>
      <c r="E1152" t="s">
        <v>14</v>
      </c>
      <c r="F1152" t="s">
        <v>15</v>
      </c>
      <c r="G1152">
        <v>28277</v>
      </c>
      <c r="H1152" t="s">
        <v>21</v>
      </c>
      <c r="I1152">
        <v>34</v>
      </c>
      <c r="J1152">
        <v>1</v>
      </c>
      <c r="K1152" t="s">
        <v>8926</v>
      </c>
    </row>
    <row r="1153" spans="1:11" x14ac:dyDescent="0.25">
      <c r="A1153" t="s">
        <v>4027</v>
      </c>
      <c r="B1153" t="s">
        <v>4028</v>
      </c>
      <c r="C1153" t="s">
        <v>4029</v>
      </c>
      <c r="D1153" t="s">
        <v>3827</v>
      </c>
      <c r="E1153" t="s">
        <v>14</v>
      </c>
      <c r="F1153" t="s">
        <v>15</v>
      </c>
      <c r="G1153">
        <v>28277</v>
      </c>
      <c r="H1153" t="s">
        <v>16</v>
      </c>
      <c r="I1153">
        <v>144</v>
      </c>
      <c r="J1153">
        <v>1</v>
      </c>
      <c r="K1153" t="s">
        <v>8935</v>
      </c>
    </row>
    <row r="1154" spans="1:11" x14ac:dyDescent="0.25">
      <c r="A1154" t="s">
        <v>4030</v>
      </c>
      <c r="B1154" t="s">
        <v>312</v>
      </c>
      <c r="C1154" t="s">
        <v>4031</v>
      </c>
      <c r="D1154" t="s">
        <v>1501</v>
      </c>
      <c r="E1154" t="s">
        <v>14</v>
      </c>
      <c r="F1154" t="s">
        <v>15</v>
      </c>
      <c r="G1154">
        <v>28277</v>
      </c>
      <c r="H1154" t="s">
        <v>26</v>
      </c>
      <c r="I1154">
        <v>31</v>
      </c>
      <c r="J1154">
        <v>0</v>
      </c>
      <c r="K1154" t="s">
        <v>8925</v>
      </c>
    </row>
    <row r="1155" spans="1:11" x14ac:dyDescent="0.25">
      <c r="A1155" t="s">
        <v>4032</v>
      </c>
      <c r="B1155" t="s">
        <v>4033</v>
      </c>
      <c r="C1155" t="s">
        <v>59</v>
      </c>
      <c r="D1155" t="s">
        <v>4034</v>
      </c>
      <c r="E1155" t="s">
        <v>14</v>
      </c>
      <c r="F1155" t="s">
        <v>15</v>
      </c>
      <c r="G1155">
        <v>28215</v>
      </c>
      <c r="H1155" t="s">
        <v>48</v>
      </c>
      <c r="I1155">
        <v>5</v>
      </c>
      <c r="J1155">
        <v>1</v>
      </c>
      <c r="K1155" t="s">
        <v>8935</v>
      </c>
    </row>
    <row r="1156" spans="1:11" x14ac:dyDescent="0.25">
      <c r="A1156" t="s">
        <v>4035</v>
      </c>
      <c r="B1156" t="s">
        <v>1909</v>
      </c>
      <c r="C1156" t="s">
        <v>4036</v>
      </c>
      <c r="D1156" t="s">
        <v>4037</v>
      </c>
      <c r="E1156" t="s">
        <v>14</v>
      </c>
      <c r="F1156" t="s">
        <v>15</v>
      </c>
      <c r="G1156">
        <v>28277</v>
      </c>
      <c r="H1156" t="s">
        <v>16</v>
      </c>
      <c r="I1156">
        <v>271</v>
      </c>
      <c r="J1156">
        <v>1</v>
      </c>
      <c r="K1156" t="s">
        <v>8921</v>
      </c>
    </row>
    <row r="1157" spans="1:11" x14ac:dyDescent="0.25">
      <c r="A1157" t="s">
        <v>4038</v>
      </c>
      <c r="B1157" t="s">
        <v>4039</v>
      </c>
      <c r="C1157" t="s">
        <v>221</v>
      </c>
      <c r="D1157" t="s">
        <v>3863</v>
      </c>
      <c r="E1157" t="s">
        <v>14</v>
      </c>
      <c r="F1157" t="s">
        <v>15</v>
      </c>
      <c r="G1157">
        <v>28277</v>
      </c>
      <c r="H1157" t="s">
        <v>195</v>
      </c>
      <c r="I1157">
        <v>10</v>
      </c>
      <c r="J1157">
        <v>1</v>
      </c>
      <c r="K1157" t="s">
        <v>8935</v>
      </c>
    </row>
    <row r="1158" spans="1:11" x14ac:dyDescent="0.25">
      <c r="A1158" t="s">
        <v>4040</v>
      </c>
      <c r="B1158" t="s">
        <v>4041</v>
      </c>
      <c r="C1158" t="s">
        <v>2544</v>
      </c>
      <c r="D1158" t="s">
        <v>4042</v>
      </c>
      <c r="E1158" t="s">
        <v>14</v>
      </c>
      <c r="F1158" t="s">
        <v>15</v>
      </c>
      <c r="G1158">
        <v>28203</v>
      </c>
      <c r="H1158" t="s">
        <v>26</v>
      </c>
      <c r="I1158">
        <v>47</v>
      </c>
      <c r="J1158">
        <v>1</v>
      </c>
      <c r="K1158" t="s">
        <v>8925</v>
      </c>
    </row>
    <row r="1159" spans="1:11" x14ac:dyDescent="0.25">
      <c r="A1159" t="s">
        <v>4043</v>
      </c>
      <c r="B1159" t="s">
        <v>4044</v>
      </c>
      <c r="C1159" t="s">
        <v>4045</v>
      </c>
      <c r="D1159" t="s">
        <v>4046</v>
      </c>
      <c r="E1159" t="s">
        <v>14</v>
      </c>
      <c r="F1159" t="s">
        <v>15</v>
      </c>
      <c r="G1159">
        <v>28203</v>
      </c>
      <c r="H1159" t="s">
        <v>16</v>
      </c>
      <c r="I1159">
        <v>301</v>
      </c>
      <c r="J1159">
        <v>1</v>
      </c>
      <c r="K1159" t="s">
        <v>8935</v>
      </c>
    </row>
    <row r="1160" spans="1:11" x14ac:dyDescent="0.25">
      <c r="A1160" t="s">
        <v>4047</v>
      </c>
      <c r="B1160" t="s">
        <v>4048</v>
      </c>
      <c r="C1160" t="s">
        <v>1135</v>
      </c>
      <c r="D1160" t="s">
        <v>2328</v>
      </c>
      <c r="E1160" t="s">
        <v>14</v>
      </c>
      <c r="F1160" t="s">
        <v>15</v>
      </c>
      <c r="G1160">
        <v>28211</v>
      </c>
      <c r="H1160" t="s">
        <v>26</v>
      </c>
      <c r="I1160">
        <v>36</v>
      </c>
      <c r="J1160">
        <v>1</v>
      </c>
      <c r="K1160" t="s">
        <v>8935</v>
      </c>
    </row>
    <row r="1161" spans="1:11" x14ac:dyDescent="0.25">
      <c r="A1161" t="s">
        <v>4049</v>
      </c>
      <c r="B1161" t="s">
        <v>4050</v>
      </c>
      <c r="C1161" t="s">
        <v>4051</v>
      </c>
      <c r="E1161" t="s">
        <v>14</v>
      </c>
      <c r="F1161" t="s">
        <v>15</v>
      </c>
      <c r="G1161">
        <v>28202</v>
      </c>
      <c r="H1161" t="s">
        <v>16</v>
      </c>
      <c r="I1161">
        <v>54</v>
      </c>
      <c r="J1161">
        <v>1</v>
      </c>
      <c r="K1161" t="s">
        <v>8935</v>
      </c>
    </row>
    <row r="1162" spans="1:11" x14ac:dyDescent="0.25">
      <c r="A1162" t="s">
        <v>4052</v>
      </c>
      <c r="B1162" t="s">
        <v>379</v>
      </c>
      <c r="C1162" t="s">
        <v>4053</v>
      </c>
      <c r="D1162" t="s">
        <v>3739</v>
      </c>
      <c r="E1162" t="s">
        <v>14</v>
      </c>
      <c r="F1162" t="s">
        <v>15</v>
      </c>
      <c r="G1162">
        <v>28202</v>
      </c>
      <c r="H1162" t="s">
        <v>21</v>
      </c>
      <c r="I1162">
        <v>53</v>
      </c>
      <c r="J1162">
        <v>1</v>
      </c>
      <c r="K1162" t="s">
        <v>8930</v>
      </c>
    </row>
    <row r="1163" spans="1:11" x14ac:dyDescent="0.25">
      <c r="A1163" t="s">
        <v>4054</v>
      </c>
      <c r="B1163" t="s">
        <v>4055</v>
      </c>
      <c r="C1163" t="s">
        <v>4056</v>
      </c>
      <c r="D1163" t="s">
        <v>4057</v>
      </c>
      <c r="E1163" t="s">
        <v>14</v>
      </c>
      <c r="F1163" t="s">
        <v>15</v>
      </c>
      <c r="G1163">
        <v>28204</v>
      </c>
      <c r="H1163" t="s">
        <v>16</v>
      </c>
      <c r="I1163">
        <v>27</v>
      </c>
      <c r="J1163">
        <v>1</v>
      </c>
      <c r="K1163" t="s">
        <v>8935</v>
      </c>
    </row>
    <row r="1164" spans="1:11" x14ac:dyDescent="0.25">
      <c r="A1164" t="s">
        <v>4058</v>
      </c>
      <c r="B1164" t="s">
        <v>2469</v>
      </c>
      <c r="C1164" t="s">
        <v>364</v>
      </c>
      <c r="D1164" t="s">
        <v>4059</v>
      </c>
      <c r="E1164" t="s">
        <v>14</v>
      </c>
      <c r="F1164" t="s">
        <v>15</v>
      </c>
      <c r="G1164">
        <v>28208</v>
      </c>
      <c r="H1164" t="s">
        <v>101</v>
      </c>
      <c r="I1164">
        <v>7</v>
      </c>
      <c r="J1164">
        <v>1</v>
      </c>
      <c r="K1164" t="s">
        <v>8935</v>
      </c>
    </row>
    <row r="1165" spans="1:11" x14ac:dyDescent="0.25">
      <c r="A1165" t="s">
        <v>4060</v>
      </c>
      <c r="B1165" t="s">
        <v>4061</v>
      </c>
      <c r="C1165" t="s">
        <v>4062</v>
      </c>
      <c r="D1165" t="s">
        <v>1331</v>
      </c>
      <c r="E1165" t="s">
        <v>14</v>
      </c>
      <c r="F1165" t="s">
        <v>15</v>
      </c>
      <c r="G1165">
        <v>28209</v>
      </c>
      <c r="H1165" t="s">
        <v>101</v>
      </c>
      <c r="I1165">
        <v>57</v>
      </c>
      <c r="J1165">
        <v>0</v>
      </c>
      <c r="K1165" t="s">
        <v>8935</v>
      </c>
    </row>
    <row r="1166" spans="1:11" x14ac:dyDescent="0.25">
      <c r="A1166" t="s">
        <v>4063</v>
      </c>
      <c r="B1166" t="s">
        <v>4064</v>
      </c>
      <c r="C1166" t="s">
        <v>4065</v>
      </c>
      <c r="D1166" t="s">
        <v>565</v>
      </c>
      <c r="E1166" t="s">
        <v>14</v>
      </c>
      <c r="F1166" t="s">
        <v>15</v>
      </c>
      <c r="G1166">
        <v>28246</v>
      </c>
      <c r="H1166" t="s">
        <v>16</v>
      </c>
      <c r="I1166">
        <v>15</v>
      </c>
      <c r="J1166">
        <v>1</v>
      </c>
      <c r="K1166" t="s">
        <v>8922</v>
      </c>
    </row>
    <row r="1167" spans="1:11" x14ac:dyDescent="0.25">
      <c r="A1167" t="e">
        <f>-vP9rja8YzbRRTX5C1K3dQ</f>
        <v>#NAME?</v>
      </c>
      <c r="B1167" t="s">
        <v>474</v>
      </c>
      <c r="C1167" t="s">
        <v>4066</v>
      </c>
      <c r="D1167" t="s">
        <v>4067</v>
      </c>
      <c r="E1167" t="s">
        <v>14</v>
      </c>
      <c r="F1167" t="s">
        <v>15</v>
      </c>
      <c r="G1167">
        <v>28214</v>
      </c>
      <c r="H1167" t="s">
        <v>16</v>
      </c>
      <c r="I1167">
        <v>10</v>
      </c>
      <c r="J1167">
        <v>1</v>
      </c>
      <c r="K1167" t="s">
        <v>8925</v>
      </c>
    </row>
    <row r="1168" spans="1:11" x14ac:dyDescent="0.25">
      <c r="A1168" t="s">
        <v>4068</v>
      </c>
      <c r="B1168" t="s">
        <v>4069</v>
      </c>
      <c r="C1168" t="s">
        <v>4070</v>
      </c>
      <c r="D1168" t="s">
        <v>4071</v>
      </c>
      <c r="E1168" t="s">
        <v>14</v>
      </c>
      <c r="F1168" t="s">
        <v>15</v>
      </c>
      <c r="G1168">
        <v>28209</v>
      </c>
      <c r="H1168" t="s">
        <v>16</v>
      </c>
      <c r="I1168">
        <v>114</v>
      </c>
      <c r="J1168">
        <v>0</v>
      </c>
      <c r="K1168" t="s">
        <v>8935</v>
      </c>
    </row>
    <row r="1169" spans="1:11" x14ac:dyDescent="0.25">
      <c r="A1169" t="s">
        <v>4072</v>
      </c>
      <c r="B1169" t="s">
        <v>4073</v>
      </c>
      <c r="C1169" t="s">
        <v>4074</v>
      </c>
      <c r="D1169" t="s">
        <v>4075</v>
      </c>
      <c r="E1169" t="s">
        <v>14</v>
      </c>
      <c r="F1169" t="s">
        <v>15</v>
      </c>
      <c r="G1169">
        <v>28205</v>
      </c>
      <c r="H1169" t="s">
        <v>39</v>
      </c>
      <c r="I1169">
        <v>53</v>
      </c>
      <c r="J1169">
        <v>0</v>
      </c>
      <c r="K1169" t="s">
        <v>8929</v>
      </c>
    </row>
    <row r="1170" spans="1:11" x14ac:dyDescent="0.25">
      <c r="A1170" t="s">
        <v>4076</v>
      </c>
      <c r="B1170" t="s">
        <v>4077</v>
      </c>
      <c r="C1170" t="s">
        <v>272</v>
      </c>
      <c r="D1170" t="s">
        <v>4078</v>
      </c>
      <c r="E1170" t="s">
        <v>14</v>
      </c>
      <c r="F1170" t="s">
        <v>15</v>
      </c>
      <c r="G1170">
        <v>28273</v>
      </c>
      <c r="H1170" t="s">
        <v>26</v>
      </c>
      <c r="I1170">
        <v>79</v>
      </c>
      <c r="J1170">
        <v>1</v>
      </c>
      <c r="K1170" t="s">
        <v>8935</v>
      </c>
    </row>
    <row r="1171" spans="1:11" x14ac:dyDescent="0.25">
      <c r="A1171" t="s">
        <v>4079</v>
      </c>
      <c r="B1171" t="s">
        <v>4080</v>
      </c>
      <c r="C1171" t="s">
        <v>2847</v>
      </c>
      <c r="D1171" t="s">
        <v>4081</v>
      </c>
      <c r="E1171" t="s">
        <v>14</v>
      </c>
      <c r="F1171" t="s">
        <v>15</v>
      </c>
      <c r="G1171">
        <v>28210</v>
      </c>
      <c r="H1171" t="s">
        <v>26</v>
      </c>
      <c r="I1171">
        <v>47</v>
      </c>
      <c r="J1171">
        <v>1</v>
      </c>
      <c r="K1171" t="s">
        <v>8935</v>
      </c>
    </row>
    <row r="1172" spans="1:11" x14ac:dyDescent="0.25">
      <c r="A1172" t="s">
        <v>4082</v>
      </c>
      <c r="B1172" t="s">
        <v>4083</v>
      </c>
      <c r="C1172" t="s">
        <v>4084</v>
      </c>
      <c r="D1172" t="s">
        <v>4085</v>
      </c>
      <c r="E1172" t="s">
        <v>14</v>
      </c>
      <c r="F1172" t="s">
        <v>15</v>
      </c>
      <c r="G1172">
        <v>28227</v>
      </c>
      <c r="H1172" t="s">
        <v>16</v>
      </c>
      <c r="I1172">
        <v>117</v>
      </c>
      <c r="J1172">
        <v>1</v>
      </c>
      <c r="K1172" t="s">
        <v>8930</v>
      </c>
    </row>
    <row r="1173" spans="1:11" x14ac:dyDescent="0.25">
      <c r="A1173" t="s">
        <v>4086</v>
      </c>
      <c r="B1173" t="s">
        <v>4087</v>
      </c>
      <c r="C1173" t="s">
        <v>51</v>
      </c>
      <c r="D1173" t="s">
        <v>4088</v>
      </c>
      <c r="E1173" t="s">
        <v>14</v>
      </c>
      <c r="F1173" t="s">
        <v>15</v>
      </c>
      <c r="G1173">
        <v>28204</v>
      </c>
      <c r="H1173" t="s">
        <v>21</v>
      </c>
      <c r="I1173">
        <v>140</v>
      </c>
      <c r="J1173">
        <v>1</v>
      </c>
      <c r="K1173" t="s">
        <v>8935</v>
      </c>
    </row>
    <row r="1174" spans="1:11" x14ac:dyDescent="0.25">
      <c r="A1174" t="s">
        <v>4089</v>
      </c>
      <c r="B1174" t="s">
        <v>312</v>
      </c>
      <c r="C1174" t="s">
        <v>4090</v>
      </c>
      <c r="D1174" t="s">
        <v>972</v>
      </c>
      <c r="E1174" t="s">
        <v>14</v>
      </c>
      <c r="F1174" t="s">
        <v>15</v>
      </c>
      <c r="G1174">
        <v>28206</v>
      </c>
      <c r="H1174" t="s">
        <v>39</v>
      </c>
      <c r="I1174">
        <v>9</v>
      </c>
      <c r="J1174">
        <v>0</v>
      </c>
      <c r="K1174" t="s">
        <v>8925</v>
      </c>
    </row>
    <row r="1175" spans="1:11" x14ac:dyDescent="0.25">
      <c r="A1175" t="s">
        <v>4091</v>
      </c>
      <c r="B1175" t="s">
        <v>1236</v>
      </c>
      <c r="C1175" t="s">
        <v>2435</v>
      </c>
      <c r="D1175" t="s">
        <v>4092</v>
      </c>
      <c r="E1175" t="s">
        <v>14</v>
      </c>
      <c r="F1175" t="s">
        <v>15</v>
      </c>
      <c r="G1175">
        <v>28217</v>
      </c>
      <c r="H1175" t="s">
        <v>26</v>
      </c>
      <c r="I1175">
        <v>13</v>
      </c>
      <c r="J1175">
        <v>1</v>
      </c>
      <c r="K1175" t="s">
        <v>8931</v>
      </c>
    </row>
    <row r="1176" spans="1:11" x14ac:dyDescent="0.25">
      <c r="A1176" t="s">
        <v>4093</v>
      </c>
      <c r="B1176" t="s">
        <v>4094</v>
      </c>
      <c r="C1176" t="s">
        <v>4095</v>
      </c>
      <c r="D1176" t="s">
        <v>4096</v>
      </c>
      <c r="E1176" t="s">
        <v>14</v>
      </c>
      <c r="F1176" t="s">
        <v>15</v>
      </c>
      <c r="G1176">
        <v>28207</v>
      </c>
      <c r="H1176" t="s">
        <v>39</v>
      </c>
      <c r="I1176">
        <v>12</v>
      </c>
      <c r="J1176">
        <v>1</v>
      </c>
      <c r="K1176" t="s">
        <v>8921</v>
      </c>
    </row>
    <row r="1177" spans="1:11" x14ac:dyDescent="0.25">
      <c r="A1177" t="s">
        <v>4097</v>
      </c>
      <c r="B1177" t="s">
        <v>2337</v>
      </c>
      <c r="C1177" t="s">
        <v>4098</v>
      </c>
      <c r="D1177" t="s">
        <v>3480</v>
      </c>
      <c r="E1177" t="s">
        <v>14</v>
      </c>
      <c r="F1177" t="s">
        <v>15</v>
      </c>
      <c r="G1177">
        <v>28205</v>
      </c>
      <c r="H1177" t="s">
        <v>16</v>
      </c>
      <c r="I1177">
        <v>16</v>
      </c>
      <c r="J1177">
        <v>0</v>
      </c>
      <c r="K1177" t="s">
        <v>8927</v>
      </c>
    </row>
    <row r="1178" spans="1:11" x14ac:dyDescent="0.25">
      <c r="A1178" t="s">
        <v>4099</v>
      </c>
      <c r="B1178" t="s">
        <v>2559</v>
      </c>
      <c r="C1178" t="s">
        <v>221</v>
      </c>
      <c r="D1178" t="s">
        <v>4100</v>
      </c>
      <c r="E1178" t="s">
        <v>14</v>
      </c>
      <c r="F1178" t="s">
        <v>15</v>
      </c>
      <c r="G1178">
        <v>28269</v>
      </c>
      <c r="H1178" t="s">
        <v>195</v>
      </c>
      <c r="I1178">
        <v>11</v>
      </c>
      <c r="J1178">
        <v>1</v>
      </c>
      <c r="K1178" t="s">
        <v>8935</v>
      </c>
    </row>
    <row r="1179" spans="1:11" x14ac:dyDescent="0.25">
      <c r="A1179" t="s">
        <v>4101</v>
      </c>
      <c r="B1179" t="s">
        <v>4102</v>
      </c>
      <c r="C1179" t="s">
        <v>1302</v>
      </c>
      <c r="D1179" t="s">
        <v>4103</v>
      </c>
      <c r="E1179" t="s">
        <v>14</v>
      </c>
      <c r="F1179" t="s">
        <v>15</v>
      </c>
      <c r="G1179">
        <v>28210</v>
      </c>
      <c r="H1179" t="s">
        <v>21</v>
      </c>
      <c r="I1179">
        <v>167</v>
      </c>
      <c r="J1179">
        <v>1</v>
      </c>
      <c r="K1179" t="s">
        <v>8935</v>
      </c>
    </row>
    <row r="1180" spans="1:11" x14ac:dyDescent="0.25">
      <c r="A1180" t="s">
        <v>4104</v>
      </c>
      <c r="B1180" t="s">
        <v>4105</v>
      </c>
      <c r="C1180" t="s">
        <v>4106</v>
      </c>
      <c r="D1180" t="s">
        <v>4107</v>
      </c>
      <c r="E1180" t="s">
        <v>14</v>
      </c>
      <c r="F1180" t="s">
        <v>15</v>
      </c>
      <c r="G1180">
        <v>28202</v>
      </c>
      <c r="H1180" t="s">
        <v>26</v>
      </c>
      <c r="I1180">
        <v>54</v>
      </c>
      <c r="J1180">
        <v>1</v>
      </c>
      <c r="K1180" t="s">
        <v>8935</v>
      </c>
    </row>
    <row r="1181" spans="1:11" x14ac:dyDescent="0.25">
      <c r="A1181" t="s">
        <v>4108</v>
      </c>
      <c r="B1181" t="s">
        <v>4109</v>
      </c>
      <c r="C1181" t="s">
        <v>4110</v>
      </c>
      <c r="D1181" t="s">
        <v>4111</v>
      </c>
      <c r="E1181" t="s">
        <v>14</v>
      </c>
      <c r="F1181" t="s">
        <v>15</v>
      </c>
      <c r="G1181">
        <v>28217</v>
      </c>
      <c r="H1181" t="s">
        <v>21</v>
      </c>
      <c r="I1181">
        <v>55</v>
      </c>
      <c r="J1181">
        <v>1</v>
      </c>
      <c r="K1181" t="s">
        <v>8935</v>
      </c>
    </row>
    <row r="1182" spans="1:11" x14ac:dyDescent="0.25">
      <c r="A1182" t="s">
        <v>4112</v>
      </c>
      <c r="B1182" t="s">
        <v>4113</v>
      </c>
      <c r="C1182" t="s">
        <v>4114</v>
      </c>
      <c r="D1182" t="s">
        <v>4115</v>
      </c>
      <c r="E1182" t="s">
        <v>14</v>
      </c>
      <c r="F1182" t="s">
        <v>15</v>
      </c>
      <c r="G1182">
        <v>28203</v>
      </c>
      <c r="H1182" t="s">
        <v>21</v>
      </c>
      <c r="I1182">
        <v>62</v>
      </c>
      <c r="J1182">
        <v>0</v>
      </c>
      <c r="K1182" t="s">
        <v>8935</v>
      </c>
    </row>
    <row r="1183" spans="1:11" x14ac:dyDescent="0.25">
      <c r="A1183" t="s">
        <v>4116</v>
      </c>
      <c r="B1183" t="s">
        <v>4117</v>
      </c>
      <c r="C1183" t="s">
        <v>193</v>
      </c>
      <c r="D1183" t="s">
        <v>4118</v>
      </c>
      <c r="E1183" t="s">
        <v>14</v>
      </c>
      <c r="F1183" t="s">
        <v>15</v>
      </c>
      <c r="G1183">
        <v>28210</v>
      </c>
      <c r="H1183" t="s">
        <v>101</v>
      </c>
      <c r="I1183">
        <v>43</v>
      </c>
      <c r="J1183">
        <v>1</v>
      </c>
      <c r="K1183" t="s">
        <v>8935</v>
      </c>
    </row>
    <row r="1184" spans="1:11" x14ac:dyDescent="0.25">
      <c r="A1184" t="s">
        <v>4119</v>
      </c>
      <c r="B1184" t="s">
        <v>4120</v>
      </c>
      <c r="C1184" t="s">
        <v>4121</v>
      </c>
      <c r="D1184" t="s">
        <v>4122</v>
      </c>
      <c r="E1184" t="s">
        <v>14</v>
      </c>
      <c r="F1184" t="s">
        <v>15</v>
      </c>
      <c r="G1184">
        <v>28214</v>
      </c>
      <c r="H1184" t="s">
        <v>48</v>
      </c>
      <c r="I1184">
        <v>13</v>
      </c>
      <c r="J1184">
        <v>1</v>
      </c>
      <c r="K1184" t="s">
        <v>8922</v>
      </c>
    </row>
    <row r="1185" spans="1:11" x14ac:dyDescent="0.25">
      <c r="A1185" t="s">
        <v>4123</v>
      </c>
      <c r="B1185" t="s">
        <v>4124</v>
      </c>
      <c r="C1185" t="s">
        <v>4125</v>
      </c>
      <c r="D1185" t="s">
        <v>4126</v>
      </c>
      <c r="E1185" t="s">
        <v>14</v>
      </c>
      <c r="F1185" t="s">
        <v>15</v>
      </c>
      <c r="G1185">
        <v>28273</v>
      </c>
      <c r="H1185" t="s">
        <v>26</v>
      </c>
      <c r="I1185">
        <v>106</v>
      </c>
      <c r="J1185">
        <v>0</v>
      </c>
      <c r="K1185" t="s">
        <v>8935</v>
      </c>
    </row>
    <row r="1186" spans="1:11" x14ac:dyDescent="0.25">
      <c r="A1186" t="s">
        <v>4127</v>
      </c>
      <c r="B1186" t="s">
        <v>4128</v>
      </c>
      <c r="C1186" t="s">
        <v>4129</v>
      </c>
      <c r="D1186" t="s">
        <v>4130</v>
      </c>
      <c r="E1186" t="s">
        <v>14</v>
      </c>
      <c r="F1186" t="s">
        <v>15</v>
      </c>
      <c r="G1186">
        <v>28212</v>
      </c>
      <c r="H1186" t="s">
        <v>16</v>
      </c>
      <c r="I1186">
        <v>26</v>
      </c>
      <c r="J1186">
        <v>1</v>
      </c>
      <c r="K1186" t="s">
        <v>8932</v>
      </c>
    </row>
    <row r="1187" spans="1:11" x14ac:dyDescent="0.25">
      <c r="A1187" t="s">
        <v>4131</v>
      </c>
      <c r="B1187" t="s">
        <v>4132</v>
      </c>
      <c r="C1187" t="s">
        <v>4133</v>
      </c>
      <c r="D1187" t="s">
        <v>4134</v>
      </c>
      <c r="E1187" t="s">
        <v>14</v>
      </c>
      <c r="F1187" t="s">
        <v>15</v>
      </c>
      <c r="G1187">
        <v>28303</v>
      </c>
      <c r="H1187" t="s">
        <v>39</v>
      </c>
      <c r="I1187">
        <v>7</v>
      </c>
      <c r="J1187">
        <v>1</v>
      </c>
      <c r="K1187" t="s">
        <v>8931</v>
      </c>
    </row>
    <row r="1188" spans="1:11" x14ac:dyDescent="0.25">
      <c r="A1188" t="s">
        <v>4135</v>
      </c>
      <c r="B1188" t="s">
        <v>4136</v>
      </c>
      <c r="C1188" t="s">
        <v>4137</v>
      </c>
      <c r="D1188" t="s">
        <v>4138</v>
      </c>
      <c r="E1188" t="s">
        <v>14</v>
      </c>
      <c r="F1188" t="s">
        <v>15</v>
      </c>
      <c r="G1188">
        <v>28204</v>
      </c>
      <c r="H1188" t="s">
        <v>39</v>
      </c>
      <c r="I1188">
        <v>60</v>
      </c>
      <c r="J1188">
        <v>1</v>
      </c>
      <c r="K1188" t="s">
        <v>8933</v>
      </c>
    </row>
    <row r="1189" spans="1:11" x14ac:dyDescent="0.25">
      <c r="A1189" t="s">
        <v>4139</v>
      </c>
      <c r="B1189" t="s">
        <v>4140</v>
      </c>
      <c r="C1189" t="s">
        <v>4141</v>
      </c>
      <c r="D1189" t="s">
        <v>1950</v>
      </c>
      <c r="E1189" t="s">
        <v>14</v>
      </c>
      <c r="F1189" t="s">
        <v>15</v>
      </c>
      <c r="G1189">
        <v>28227</v>
      </c>
      <c r="H1189" t="s">
        <v>26</v>
      </c>
      <c r="I1189">
        <v>13</v>
      </c>
      <c r="J1189">
        <v>0</v>
      </c>
      <c r="K1189" t="s">
        <v>8925</v>
      </c>
    </row>
    <row r="1190" spans="1:11" x14ac:dyDescent="0.25">
      <c r="A1190" t="s">
        <v>4142</v>
      </c>
      <c r="B1190" t="s">
        <v>4143</v>
      </c>
      <c r="C1190" t="s">
        <v>2664</v>
      </c>
      <c r="D1190" t="s">
        <v>4144</v>
      </c>
      <c r="E1190" t="s">
        <v>14</v>
      </c>
      <c r="F1190" t="s">
        <v>15</v>
      </c>
      <c r="G1190">
        <v>28280</v>
      </c>
      <c r="H1190" t="s">
        <v>21</v>
      </c>
      <c r="I1190">
        <v>46</v>
      </c>
      <c r="J1190">
        <v>1</v>
      </c>
      <c r="K1190" t="s">
        <v>8935</v>
      </c>
    </row>
    <row r="1191" spans="1:11" x14ac:dyDescent="0.25">
      <c r="A1191" t="s">
        <v>4145</v>
      </c>
      <c r="B1191" t="s">
        <v>1301</v>
      </c>
      <c r="C1191" t="s">
        <v>2611</v>
      </c>
      <c r="D1191" t="s">
        <v>4146</v>
      </c>
      <c r="E1191" t="s">
        <v>14</v>
      </c>
      <c r="F1191" t="s">
        <v>15</v>
      </c>
      <c r="G1191">
        <v>28217</v>
      </c>
      <c r="H1191" t="s">
        <v>21</v>
      </c>
      <c r="I1191">
        <v>3</v>
      </c>
      <c r="J1191">
        <v>0</v>
      </c>
      <c r="K1191" t="s">
        <v>8935</v>
      </c>
    </row>
    <row r="1192" spans="1:11" x14ac:dyDescent="0.25">
      <c r="A1192" t="s">
        <v>4147</v>
      </c>
      <c r="B1192" t="s">
        <v>4148</v>
      </c>
      <c r="C1192" t="s">
        <v>221</v>
      </c>
      <c r="D1192" t="s">
        <v>4149</v>
      </c>
      <c r="E1192" t="s">
        <v>14</v>
      </c>
      <c r="F1192" t="s">
        <v>15</v>
      </c>
      <c r="G1192">
        <v>28208</v>
      </c>
      <c r="H1192" t="s">
        <v>265</v>
      </c>
      <c r="I1192">
        <v>10</v>
      </c>
      <c r="J1192">
        <v>1</v>
      </c>
      <c r="K1192" t="s">
        <v>8935</v>
      </c>
    </row>
    <row r="1193" spans="1:11" x14ac:dyDescent="0.25">
      <c r="A1193" t="s">
        <v>4150</v>
      </c>
      <c r="B1193" t="s">
        <v>4151</v>
      </c>
      <c r="C1193" t="s">
        <v>4152</v>
      </c>
      <c r="D1193" t="s">
        <v>4153</v>
      </c>
      <c r="E1193" t="s">
        <v>14</v>
      </c>
      <c r="F1193" t="s">
        <v>15</v>
      </c>
      <c r="G1193">
        <v>28202</v>
      </c>
      <c r="H1193" t="s">
        <v>21</v>
      </c>
      <c r="I1193">
        <v>140</v>
      </c>
      <c r="J1193">
        <v>1</v>
      </c>
      <c r="K1193" t="s">
        <v>8936</v>
      </c>
    </row>
    <row r="1194" spans="1:11" x14ac:dyDescent="0.25">
      <c r="A1194" t="s">
        <v>4154</v>
      </c>
      <c r="B1194" t="s">
        <v>228</v>
      </c>
      <c r="C1194" t="s">
        <v>1842</v>
      </c>
      <c r="D1194" t="s">
        <v>4155</v>
      </c>
      <c r="E1194" t="s">
        <v>14</v>
      </c>
      <c r="F1194" t="s">
        <v>15</v>
      </c>
      <c r="G1194">
        <v>28202</v>
      </c>
      <c r="H1194" t="s">
        <v>26</v>
      </c>
      <c r="I1194">
        <v>124</v>
      </c>
      <c r="J1194">
        <v>1</v>
      </c>
      <c r="K1194" t="s">
        <v>8935</v>
      </c>
    </row>
    <row r="1195" spans="1:11" x14ac:dyDescent="0.25">
      <c r="A1195" t="s">
        <v>4156</v>
      </c>
      <c r="B1195" t="s">
        <v>4157</v>
      </c>
      <c r="C1195" t="s">
        <v>735</v>
      </c>
      <c r="D1195" t="s">
        <v>1523</v>
      </c>
      <c r="E1195" t="s">
        <v>14</v>
      </c>
      <c r="F1195" t="s">
        <v>15</v>
      </c>
      <c r="G1195">
        <v>28211</v>
      </c>
      <c r="H1195" t="s">
        <v>101</v>
      </c>
      <c r="I1195">
        <v>12</v>
      </c>
      <c r="J1195">
        <v>1</v>
      </c>
      <c r="K1195" t="s">
        <v>8935</v>
      </c>
    </row>
    <row r="1196" spans="1:11" x14ac:dyDescent="0.25">
      <c r="A1196" t="s">
        <v>4158</v>
      </c>
      <c r="B1196" t="s">
        <v>4159</v>
      </c>
      <c r="C1196" t="s">
        <v>4160</v>
      </c>
      <c r="D1196" t="s">
        <v>4161</v>
      </c>
      <c r="E1196" t="s">
        <v>14</v>
      </c>
      <c r="F1196" t="s">
        <v>15</v>
      </c>
      <c r="G1196">
        <v>28205</v>
      </c>
      <c r="H1196" t="s">
        <v>146</v>
      </c>
      <c r="I1196">
        <v>3</v>
      </c>
      <c r="J1196">
        <v>1</v>
      </c>
      <c r="K1196" t="s">
        <v>8925</v>
      </c>
    </row>
    <row r="1197" spans="1:11" x14ac:dyDescent="0.25">
      <c r="A1197" t="s">
        <v>4162</v>
      </c>
      <c r="B1197" t="s">
        <v>691</v>
      </c>
      <c r="C1197" t="s">
        <v>3105</v>
      </c>
      <c r="D1197" t="s">
        <v>805</v>
      </c>
      <c r="E1197" t="s">
        <v>14</v>
      </c>
      <c r="F1197" t="s">
        <v>15</v>
      </c>
      <c r="G1197">
        <v>28217</v>
      </c>
      <c r="H1197" t="s">
        <v>26</v>
      </c>
      <c r="I1197">
        <v>10</v>
      </c>
      <c r="J1197">
        <v>0</v>
      </c>
      <c r="K1197" t="s">
        <v>8935</v>
      </c>
    </row>
    <row r="1198" spans="1:11" x14ac:dyDescent="0.25">
      <c r="A1198" t="s">
        <v>4163</v>
      </c>
      <c r="B1198" t="s">
        <v>4164</v>
      </c>
      <c r="C1198" t="s">
        <v>221</v>
      </c>
      <c r="D1198" t="s">
        <v>4165</v>
      </c>
      <c r="E1198" t="s">
        <v>14</v>
      </c>
      <c r="F1198" t="s">
        <v>15</v>
      </c>
      <c r="G1198">
        <v>28277</v>
      </c>
      <c r="H1198" t="s">
        <v>101</v>
      </c>
      <c r="I1198">
        <v>25</v>
      </c>
      <c r="J1198">
        <v>1</v>
      </c>
      <c r="K1198" t="s">
        <v>8935</v>
      </c>
    </row>
    <row r="1199" spans="1:11" x14ac:dyDescent="0.25">
      <c r="A1199" t="s">
        <v>4166</v>
      </c>
      <c r="B1199" t="s">
        <v>4167</v>
      </c>
      <c r="C1199" t="s">
        <v>4168</v>
      </c>
      <c r="D1199" t="s">
        <v>4169</v>
      </c>
      <c r="E1199" t="s">
        <v>14</v>
      </c>
      <c r="F1199" t="s">
        <v>15</v>
      </c>
      <c r="G1199">
        <v>28209</v>
      </c>
      <c r="H1199" t="s">
        <v>16</v>
      </c>
      <c r="I1199">
        <v>4</v>
      </c>
      <c r="J1199">
        <v>0</v>
      </c>
      <c r="K1199" t="s">
        <v>8935</v>
      </c>
    </row>
    <row r="1200" spans="1:11" x14ac:dyDescent="0.25">
      <c r="A1200" t="s">
        <v>4170</v>
      </c>
      <c r="B1200" t="s">
        <v>379</v>
      </c>
      <c r="C1200" t="s">
        <v>4171</v>
      </c>
      <c r="D1200" t="s">
        <v>4172</v>
      </c>
      <c r="E1200" t="s">
        <v>14</v>
      </c>
      <c r="F1200" t="s">
        <v>15</v>
      </c>
      <c r="G1200">
        <v>28262</v>
      </c>
      <c r="H1200" t="s">
        <v>16</v>
      </c>
      <c r="I1200">
        <v>25</v>
      </c>
      <c r="J1200">
        <v>0</v>
      </c>
      <c r="K1200" t="s">
        <v>8930</v>
      </c>
    </row>
    <row r="1201" spans="1:11" x14ac:dyDescent="0.25">
      <c r="A1201" t="s">
        <v>4173</v>
      </c>
      <c r="B1201" t="s">
        <v>4174</v>
      </c>
      <c r="C1201" t="s">
        <v>3652</v>
      </c>
      <c r="D1201" t="s">
        <v>4175</v>
      </c>
      <c r="E1201" t="s">
        <v>14</v>
      </c>
      <c r="F1201" t="s">
        <v>15</v>
      </c>
      <c r="G1201">
        <v>28203</v>
      </c>
      <c r="H1201" t="s">
        <v>39</v>
      </c>
      <c r="I1201">
        <v>125</v>
      </c>
      <c r="J1201">
        <v>1</v>
      </c>
      <c r="K1201" t="s">
        <v>8921</v>
      </c>
    </row>
    <row r="1202" spans="1:11" x14ac:dyDescent="0.25">
      <c r="A1202" t="s">
        <v>4176</v>
      </c>
      <c r="B1202" t="s">
        <v>4177</v>
      </c>
      <c r="C1202" t="s">
        <v>4178</v>
      </c>
      <c r="D1202" t="s">
        <v>4096</v>
      </c>
      <c r="E1202" t="s">
        <v>14</v>
      </c>
      <c r="F1202" t="s">
        <v>15</v>
      </c>
      <c r="G1202">
        <v>28207</v>
      </c>
      <c r="H1202" t="s">
        <v>48</v>
      </c>
      <c r="I1202">
        <v>21</v>
      </c>
      <c r="J1202">
        <v>0</v>
      </c>
      <c r="K1202" t="s">
        <v>8921</v>
      </c>
    </row>
    <row r="1203" spans="1:11" x14ac:dyDescent="0.25">
      <c r="A1203" t="s">
        <v>4179</v>
      </c>
      <c r="B1203" t="s">
        <v>228</v>
      </c>
      <c r="C1203" t="s">
        <v>4180</v>
      </c>
      <c r="D1203" t="s">
        <v>4181</v>
      </c>
      <c r="E1203" t="s">
        <v>14</v>
      </c>
      <c r="F1203" t="s">
        <v>15</v>
      </c>
      <c r="G1203">
        <v>28277</v>
      </c>
      <c r="H1203" t="s">
        <v>48</v>
      </c>
      <c r="I1203">
        <v>21</v>
      </c>
      <c r="J1203">
        <v>0</v>
      </c>
      <c r="K1203" t="s">
        <v>8935</v>
      </c>
    </row>
    <row r="1204" spans="1:11" x14ac:dyDescent="0.25">
      <c r="A1204" t="s">
        <v>4182</v>
      </c>
      <c r="B1204" t="s">
        <v>2469</v>
      </c>
      <c r="C1204" t="s">
        <v>364</v>
      </c>
      <c r="D1204" t="s">
        <v>4183</v>
      </c>
      <c r="E1204" t="s">
        <v>14</v>
      </c>
      <c r="F1204" t="s">
        <v>15</v>
      </c>
      <c r="G1204">
        <v>28269</v>
      </c>
      <c r="H1204" t="s">
        <v>195</v>
      </c>
      <c r="I1204">
        <v>10</v>
      </c>
      <c r="J1204">
        <v>1</v>
      </c>
      <c r="K1204" t="s">
        <v>8935</v>
      </c>
    </row>
    <row r="1205" spans="1:11" x14ac:dyDescent="0.25">
      <c r="A1205" t="s">
        <v>4184</v>
      </c>
      <c r="B1205" t="s">
        <v>4185</v>
      </c>
      <c r="C1205" t="s">
        <v>149</v>
      </c>
      <c r="D1205" t="s">
        <v>4186</v>
      </c>
      <c r="E1205" t="s">
        <v>14</v>
      </c>
      <c r="F1205" t="s">
        <v>15</v>
      </c>
      <c r="G1205">
        <v>28262</v>
      </c>
      <c r="H1205" t="s">
        <v>146</v>
      </c>
      <c r="I1205">
        <v>8</v>
      </c>
      <c r="J1205">
        <v>1</v>
      </c>
      <c r="K1205" t="s">
        <v>8935</v>
      </c>
    </row>
    <row r="1206" spans="1:11" x14ac:dyDescent="0.25">
      <c r="A1206" t="s">
        <v>4187</v>
      </c>
      <c r="B1206" t="s">
        <v>4188</v>
      </c>
      <c r="C1206" t="s">
        <v>4189</v>
      </c>
      <c r="D1206" t="s">
        <v>4190</v>
      </c>
      <c r="E1206" t="s">
        <v>14</v>
      </c>
      <c r="F1206" t="s">
        <v>15</v>
      </c>
      <c r="G1206">
        <v>28269</v>
      </c>
      <c r="H1206" t="s">
        <v>26</v>
      </c>
      <c r="I1206">
        <v>9</v>
      </c>
      <c r="J1206">
        <v>1</v>
      </c>
      <c r="K1206" t="s">
        <v>8935</v>
      </c>
    </row>
    <row r="1207" spans="1:11" x14ac:dyDescent="0.25">
      <c r="A1207" t="s">
        <v>4191</v>
      </c>
      <c r="B1207" t="s">
        <v>4192</v>
      </c>
      <c r="C1207" t="s">
        <v>4193</v>
      </c>
      <c r="D1207" t="s">
        <v>4194</v>
      </c>
      <c r="E1207" t="s">
        <v>14</v>
      </c>
      <c r="F1207" t="s">
        <v>15</v>
      </c>
      <c r="G1207">
        <v>28202</v>
      </c>
      <c r="H1207" t="s">
        <v>26</v>
      </c>
      <c r="I1207">
        <v>39</v>
      </c>
      <c r="J1207">
        <v>1</v>
      </c>
      <c r="K1207" t="s">
        <v>8935</v>
      </c>
    </row>
    <row r="1208" spans="1:11" x14ac:dyDescent="0.25">
      <c r="A1208" t="s">
        <v>4195</v>
      </c>
      <c r="B1208" t="s">
        <v>4196</v>
      </c>
      <c r="C1208" t="s">
        <v>4197</v>
      </c>
      <c r="D1208" t="s">
        <v>4198</v>
      </c>
      <c r="E1208" t="s">
        <v>14</v>
      </c>
      <c r="F1208" t="s">
        <v>15</v>
      </c>
      <c r="G1208">
        <v>28202</v>
      </c>
      <c r="H1208" t="s">
        <v>48</v>
      </c>
      <c r="I1208">
        <v>7</v>
      </c>
      <c r="J1208">
        <v>0</v>
      </c>
      <c r="K1208" t="s">
        <v>8935</v>
      </c>
    </row>
    <row r="1209" spans="1:11" x14ac:dyDescent="0.25">
      <c r="A1209" t="s">
        <v>4199</v>
      </c>
      <c r="B1209" t="s">
        <v>4200</v>
      </c>
      <c r="C1209" t="s">
        <v>4201</v>
      </c>
      <c r="D1209" t="s">
        <v>4202</v>
      </c>
      <c r="E1209" t="s">
        <v>14</v>
      </c>
      <c r="F1209" t="s">
        <v>15</v>
      </c>
      <c r="G1209">
        <v>28209</v>
      </c>
      <c r="H1209" t="s">
        <v>48</v>
      </c>
      <c r="I1209">
        <v>19</v>
      </c>
      <c r="J1209">
        <v>0</v>
      </c>
      <c r="K1209" t="s">
        <v>8935</v>
      </c>
    </row>
    <row r="1210" spans="1:11" x14ac:dyDescent="0.25">
      <c r="A1210" t="s">
        <v>4203</v>
      </c>
      <c r="B1210" t="s">
        <v>1690</v>
      </c>
      <c r="C1210" t="s">
        <v>4204</v>
      </c>
      <c r="D1210" t="s">
        <v>893</v>
      </c>
      <c r="E1210" t="s">
        <v>14</v>
      </c>
      <c r="F1210" t="s">
        <v>15</v>
      </c>
      <c r="G1210">
        <v>28203</v>
      </c>
      <c r="H1210" t="s">
        <v>26</v>
      </c>
      <c r="I1210">
        <v>29</v>
      </c>
      <c r="J1210">
        <v>0</v>
      </c>
      <c r="K1210" t="s">
        <v>8921</v>
      </c>
    </row>
    <row r="1211" spans="1:11" x14ac:dyDescent="0.25">
      <c r="A1211" t="s">
        <v>4205</v>
      </c>
      <c r="B1211" t="s">
        <v>4206</v>
      </c>
      <c r="C1211" t="s">
        <v>4207</v>
      </c>
      <c r="D1211" t="s">
        <v>4208</v>
      </c>
      <c r="E1211" t="s">
        <v>14</v>
      </c>
      <c r="F1211" t="s">
        <v>15</v>
      </c>
      <c r="G1211">
        <v>28262</v>
      </c>
      <c r="H1211" t="s">
        <v>101</v>
      </c>
      <c r="I1211">
        <v>15</v>
      </c>
      <c r="J1211">
        <v>1</v>
      </c>
      <c r="K1211" t="s">
        <v>8926</v>
      </c>
    </row>
    <row r="1212" spans="1:11" x14ac:dyDescent="0.25">
      <c r="A1212" t="s">
        <v>4209</v>
      </c>
      <c r="B1212" t="s">
        <v>2469</v>
      </c>
      <c r="C1212" t="s">
        <v>4189</v>
      </c>
      <c r="D1212" t="s">
        <v>4210</v>
      </c>
      <c r="E1212" t="s">
        <v>14</v>
      </c>
      <c r="F1212" t="s">
        <v>15</v>
      </c>
      <c r="G1212">
        <v>28273</v>
      </c>
      <c r="H1212" t="s">
        <v>26</v>
      </c>
      <c r="I1212">
        <v>13</v>
      </c>
      <c r="J1212">
        <v>1</v>
      </c>
      <c r="K1212" t="s">
        <v>8935</v>
      </c>
    </row>
    <row r="1213" spans="1:11" x14ac:dyDescent="0.25">
      <c r="A1213" t="s">
        <v>4211</v>
      </c>
      <c r="B1213" t="s">
        <v>4212</v>
      </c>
      <c r="C1213" t="s">
        <v>4213</v>
      </c>
      <c r="D1213" t="s">
        <v>4214</v>
      </c>
      <c r="E1213" t="s">
        <v>14</v>
      </c>
      <c r="F1213" t="s">
        <v>15</v>
      </c>
      <c r="G1213">
        <v>28209</v>
      </c>
      <c r="H1213" t="s">
        <v>39</v>
      </c>
      <c r="I1213">
        <v>19</v>
      </c>
      <c r="J1213">
        <v>0</v>
      </c>
      <c r="K1213" t="s">
        <v>8935</v>
      </c>
    </row>
    <row r="1214" spans="1:11" x14ac:dyDescent="0.25">
      <c r="A1214" t="s">
        <v>4215</v>
      </c>
      <c r="B1214" t="s">
        <v>4216</v>
      </c>
      <c r="C1214" t="s">
        <v>2348</v>
      </c>
      <c r="D1214" t="s">
        <v>1886</v>
      </c>
      <c r="E1214" t="s">
        <v>14</v>
      </c>
      <c r="F1214" t="s">
        <v>15</v>
      </c>
      <c r="G1214">
        <v>28262</v>
      </c>
      <c r="H1214" t="s">
        <v>16</v>
      </c>
      <c r="I1214">
        <v>90</v>
      </c>
      <c r="J1214">
        <v>0</v>
      </c>
      <c r="K1214" t="s">
        <v>8935</v>
      </c>
    </row>
    <row r="1215" spans="1:11" x14ac:dyDescent="0.25">
      <c r="A1215" t="s">
        <v>4217</v>
      </c>
      <c r="B1215" t="s">
        <v>4218</v>
      </c>
      <c r="C1215" t="s">
        <v>4219</v>
      </c>
      <c r="D1215" t="s">
        <v>4181</v>
      </c>
      <c r="E1215" t="s">
        <v>14</v>
      </c>
      <c r="F1215" t="s">
        <v>15</v>
      </c>
      <c r="G1215">
        <v>28277</v>
      </c>
      <c r="H1215" t="s">
        <v>21</v>
      </c>
      <c r="I1215">
        <v>215</v>
      </c>
      <c r="J1215">
        <v>1</v>
      </c>
      <c r="K1215" t="s">
        <v>8935</v>
      </c>
    </row>
    <row r="1216" spans="1:11" x14ac:dyDescent="0.25">
      <c r="A1216" t="s">
        <v>4220</v>
      </c>
      <c r="B1216" t="s">
        <v>4221</v>
      </c>
      <c r="C1216" t="s">
        <v>4222</v>
      </c>
      <c r="D1216" t="s">
        <v>4223</v>
      </c>
      <c r="E1216" t="s">
        <v>14</v>
      </c>
      <c r="F1216" t="s">
        <v>15</v>
      </c>
      <c r="G1216">
        <v>28213</v>
      </c>
      <c r="H1216" t="s">
        <v>21</v>
      </c>
      <c r="I1216">
        <v>57</v>
      </c>
      <c r="J1216">
        <v>0</v>
      </c>
      <c r="K1216" t="s">
        <v>8923</v>
      </c>
    </row>
    <row r="1217" spans="1:11" x14ac:dyDescent="0.25">
      <c r="A1217" t="s">
        <v>4224</v>
      </c>
      <c r="B1217" t="s">
        <v>4225</v>
      </c>
      <c r="C1217" t="s">
        <v>4226</v>
      </c>
      <c r="D1217" t="s">
        <v>4227</v>
      </c>
      <c r="E1217" t="s">
        <v>14</v>
      </c>
      <c r="F1217" t="s">
        <v>15</v>
      </c>
      <c r="G1217">
        <v>28213</v>
      </c>
      <c r="H1217" t="s">
        <v>26</v>
      </c>
      <c r="I1217">
        <v>23</v>
      </c>
      <c r="J1217">
        <v>0</v>
      </c>
      <c r="K1217" t="s">
        <v>8935</v>
      </c>
    </row>
    <row r="1218" spans="1:11" x14ac:dyDescent="0.25">
      <c r="A1218" t="s">
        <v>4228</v>
      </c>
      <c r="B1218" t="s">
        <v>811</v>
      </c>
      <c r="C1218" t="s">
        <v>812</v>
      </c>
      <c r="D1218" t="s">
        <v>4229</v>
      </c>
      <c r="E1218" t="s">
        <v>14</v>
      </c>
      <c r="F1218" t="s">
        <v>15</v>
      </c>
      <c r="G1218">
        <v>28209</v>
      </c>
      <c r="H1218" t="s">
        <v>16</v>
      </c>
      <c r="I1218">
        <v>51</v>
      </c>
      <c r="J1218">
        <v>1</v>
      </c>
      <c r="K1218" t="s">
        <v>8925</v>
      </c>
    </row>
    <row r="1219" spans="1:11" x14ac:dyDescent="0.25">
      <c r="A1219" t="s">
        <v>4230</v>
      </c>
      <c r="B1219" t="s">
        <v>4231</v>
      </c>
      <c r="C1219" t="s">
        <v>4232</v>
      </c>
      <c r="D1219" t="s">
        <v>4233</v>
      </c>
      <c r="E1219" t="s">
        <v>14</v>
      </c>
      <c r="F1219" t="s">
        <v>15</v>
      </c>
      <c r="G1219">
        <v>28217</v>
      </c>
      <c r="H1219" t="s">
        <v>16</v>
      </c>
      <c r="I1219">
        <v>4</v>
      </c>
      <c r="J1219">
        <v>0</v>
      </c>
      <c r="K1219" t="s">
        <v>8931</v>
      </c>
    </row>
    <row r="1220" spans="1:11" x14ac:dyDescent="0.25">
      <c r="A1220" t="s">
        <v>4234</v>
      </c>
      <c r="B1220" t="s">
        <v>4235</v>
      </c>
      <c r="C1220" t="s">
        <v>51</v>
      </c>
      <c r="D1220" t="s">
        <v>4236</v>
      </c>
      <c r="E1220" t="s">
        <v>14</v>
      </c>
      <c r="F1220" t="s">
        <v>15</v>
      </c>
      <c r="G1220">
        <v>28262</v>
      </c>
      <c r="H1220" t="s">
        <v>48</v>
      </c>
      <c r="I1220">
        <v>95</v>
      </c>
      <c r="J1220">
        <v>1</v>
      </c>
      <c r="K1220" t="s">
        <v>8935</v>
      </c>
    </row>
    <row r="1221" spans="1:11" x14ac:dyDescent="0.25">
      <c r="A1221" t="s">
        <v>4237</v>
      </c>
      <c r="B1221" t="s">
        <v>4238</v>
      </c>
      <c r="C1221" t="s">
        <v>622</v>
      </c>
      <c r="D1221" t="s">
        <v>4239</v>
      </c>
      <c r="E1221" t="s">
        <v>14</v>
      </c>
      <c r="F1221" t="s">
        <v>15</v>
      </c>
      <c r="G1221">
        <v>28270</v>
      </c>
      <c r="H1221" t="s">
        <v>48</v>
      </c>
      <c r="I1221">
        <v>19</v>
      </c>
      <c r="J1221">
        <v>1</v>
      </c>
      <c r="K1221" t="s">
        <v>8935</v>
      </c>
    </row>
    <row r="1222" spans="1:11" x14ac:dyDescent="0.25">
      <c r="A1222" t="s">
        <v>4240</v>
      </c>
      <c r="B1222" t="s">
        <v>4241</v>
      </c>
      <c r="C1222" t="s">
        <v>4242</v>
      </c>
      <c r="D1222" t="s">
        <v>954</v>
      </c>
      <c r="E1222" t="s">
        <v>14</v>
      </c>
      <c r="F1222" t="s">
        <v>15</v>
      </c>
      <c r="G1222">
        <v>28202</v>
      </c>
      <c r="H1222" t="s">
        <v>21</v>
      </c>
      <c r="I1222">
        <v>61</v>
      </c>
      <c r="J1222">
        <v>0</v>
      </c>
      <c r="K1222" t="s">
        <v>8922</v>
      </c>
    </row>
    <row r="1223" spans="1:11" x14ac:dyDescent="0.25">
      <c r="A1223" t="s">
        <v>4243</v>
      </c>
      <c r="B1223" t="s">
        <v>4244</v>
      </c>
      <c r="C1223" t="s">
        <v>4245</v>
      </c>
      <c r="D1223" t="s">
        <v>4246</v>
      </c>
      <c r="E1223" t="s">
        <v>14</v>
      </c>
      <c r="F1223" t="s">
        <v>15</v>
      </c>
      <c r="G1223">
        <v>28273</v>
      </c>
      <c r="H1223" t="s">
        <v>16</v>
      </c>
      <c r="I1223">
        <v>37</v>
      </c>
      <c r="J1223">
        <v>1</v>
      </c>
      <c r="K1223" t="s">
        <v>8935</v>
      </c>
    </row>
    <row r="1224" spans="1:11" x14ac:dyDescent="0.25">
      <c r="A1224" t="s">
        <v>4247</v>
      </c>
      <c r="B1224" t="s">
        <v>4248</v>
      </c>
      <c r="C1224" t="s">
        <v>1683</v>
      </c>
      <c r="D1224" t="s">
        <v>4249</v>
      </c>
      <c r="E1224" t="s">
        <v>14</v>
      </c>
      <c r="F1224" t="s">
        <v>15</v>
      </c>
      <c r="G1224">
        <v>28208</v>
      </c>
      <c r="H1224" t="s">
        <v>26</v>
      </c>
      <c r="I1224">
        <v>15</v>
      </c>
      <c r="J1224">
        <v>0</v>
      </c>
      <c r="K1224" t="s">
        <v>8935</v>
      </c>
    </row>
    <row r="1225" spans="1:11" x14ac:dyDescent="0.25">
      <c r="A1225" t="s">
        <v>4250</v>
      </c>
      <c r="B1225" t="s">
        <v>139</v>
      </c>
      <c r="C1225" t="s">
        <v>4251</v>
      </c>
      <c r="D1225" t="s">
        <v>4252</v>
      </c>
      <c r="E1225" t="s">
        <v>14</v>
      </c>
      <c r="F1225" t="s">
        <v>15</v>
      </c>
      <c r="G1225">
        <v>28226</v>
      </c>
      <c r="H1225" t="s">
        <v>26</v>
      </c>
      <c r="I1225">
        <v>35</v>
      </c>
      <c r="J1225">
        <v>1</v>
      </c>
      <c r="K1225" t="s">
        <v>8926</v>
      </c>
    </row>
    <row r="1226" spans="1:11" x14ac:dyDescent="0.25">
      <c r="A1226" t="s">
        <v>4253</v>
      </c>
      <c r="B1226" t="s">
        <v>4254</v>
      </c>
      <c r="C1226" t="s">
        <v>4255</v>
      </c>
      <c r="D1226" t="s">
        <v>4256</v>
      </c>
      <c r="E1226" t="s">
        <v>14</v>
      </c>
      <c r="F1226" t="s">
        <v>15</v>
      </c>
      <c r="G1226">
        <v>28262</v>
      </c>
      <c r="H1226" t="s">
        <v>48</v>
      </c>
      <c r="I1226">
        <v>4</v>
      </c>
      <c r="J1226">
        <v>0</v>
      </c>
      <c r="K1226" t="s">
        <v>8935</v>
      </c>
    </row>
    <row r="1227" spans="1:11" x14ac:dyDescent="0.25">
      <c r="A1227" t="s">
        <v>4257</v>
      </c>
      <c r="B1227" t="s">
        <v>4258</v>
      </c>
      <c r="C1227" t="s">
        <v>4259</v>
      </c>
      <c r="D1227" t="s">
        <v>4260</v>
      </c>
      <c r="E1227" t="s">
        <v>14</v>
      </c>
      <c r="F1227" t="s">
        <v>15</v>
      </c>
      <c r="G1227">
        <v>28206</v>
      </c>
      <c r="H1227" t="s">
        <v>26</v>
      </c>
      <c r="I1227">
        <v>76</v>
      </c>
      <c r="J1227">
        <v>0</v>
      </c>
      <c r="K1227" t="s">
        <v>8921</v>
      </c>
    </row>
    <row r="1228" spans="1:11" x14ac:dyDescent="0.25">
      <c r="A1228" t="s">
        <v>4261</v>
      </c>
      <c r="B1228" t="s">
        <v>4262</v>
      </c>
      <c r="C1228" t="s">
        <v>4263</v>
      </c>
      <c r="D1228" t="s">
        <v>4264</v>
      </c>
      <c r="E1228" t="s">
        <v>14</v>
      </c>
      <c r="F1228" t="s">
        <v>15</v>
      </c>
      <c r="G1228">
        <v>28210</v>
      </c>
      <c r="H1228" t="s">
        <v>26</v>
      </c>
      <c r="I1228">
        <v>11</v>
      </c>
      <c r="J1228">
        <v>1</v>
      </c>
      <c r="K1228" t="s">
        <v>8935</v>
      </c>
    </row>
    <row r="1229" spans="1:11" x14ac:dyDescent="0.25">
      <c r="A1229" t="s">
        <v>4265</v>
      </c>
      <c r="B1229" t="s">
        <v>4266</v>
      </c>
      <c r="C1229" t="s">
        <v>4267</v>
      </c>
      <c r="D1229" t="s">
        <v>4268</v>
      </c>
      <c r="E1229" t="s">
        <v>14</v>
      </c>
      <c r="F1229" t="s">
        <v>15</v>
      </c>
      <c r="G1229">
        <v>28269</v>
      </c>
      <c r="H1229" t="s">
        <v>26</v>
      </c>
      <c r="I1229">
        <v>45</v>
      </c>
      <c r="J1229">
        <v>1</v>
      </c>
      <c r="K1229" t="s">
        <v>8935</v>
      </c>
    </row>
    <row r="1230" spans="1:11" x14ac:dyDescent="0.25">
      <c r="A1230" t="s">
        <v>4269</v>
      </c>
      <c r="B1230" t="s">
        <v>316</v>
      </c>
      <c r="C1230" t="s">
        <v>4270</v>
      </c>
      <c r="D1230" t="s">
        <v>4271</v>
      </c>
      <c r="E1230" t="s">
        <v>14</v>
      </c>
      <c r="F1230" t="s">
        <v>15</v>
      </c>
      <c r="G1230">
        <v>28269</v>
      </c>
      <c r="H1230" t="s">
        <v>39</v>
      </c>
      <c r="I1230">
        <v>161</v>
      </c>
      <c r="J1230">
        <v>1</v>
      </c>
      <c r="K1230" t="s">
        <v>8935</v>
      </c>
    </row>
    <row r="1231" spans="1:11" x14ac:dyDescent="0.25">
      <c r="A1231" t="s">
        <v>4272</v>
      </c>
      <c r="B1231" t="s">
        <v>4273</v>
      </c>
      <c r="C1231" t="s">
        <v>4274</v>
      </c>
      <c r="D1231" t="s">
        <v>4275</v>
      </c>
      <c r="E1231" t="s">
        <v>14</v>
      </c>
      <c r="F1231" t="s">
        <v>15</v>
      </c>
      <c r="G1231">
        <v>28262</v>
      </c>
      <c r="H1231" t="s">
        <v>16</v>
      </c>
      <c r="I1231">
        <v>152</v>
      </c>
      <c r="J1231">
        <v>1</v>
      </c>
      <c r="K1231" t="s">
        <v>8921</v>
      </c>
    </row>
    <row r="1232" spans="1:11" x14ac:dyDescent="0.25">
      <c r="A1232" t="s">
        <v>4276</v>
      </c>
      <c r="B1232" t="s">
        <v>4277</v>
      </c>
      <c r="C1232" t="s">
        <v>4278</v>
      </c>
      <c r="D1232" t="s">
        <v>4279</v>
      </c>
      <c r="E1232" t="s">
        <v>14</v>
      </c>
      <c r="F1232" t="s">
        <v>15</v>
      </c>
      <c r="G1232">
        <v>28203</v>
      </c>
      <c r="H1232" t="s">
        <v>21</v>
      </c>
      <c r="I1232">
        <v>53</v>
      </c>
      <c r="J1232">
        <v>1</v>
      </c>
      <c r="K1232" t="s">
        <v>8935</v>
      </c>
    </row>
    <row r="1233" spans="1:11" x14ac:dyDescent="0.25">
      <c r="A1233" t="s">
        <v>4280</v>
      </c>
      <c r="B1233" t="s">
        <v>4281</v>
      </c>
      <c r="C1233" t="s">
        <v>4282</v>
      </c>
      <c r="D1233" t="s">
        <v>4283</v>
      </c>
      <c r="E1233" t="s">
        <v>14</v>
      </c>
      <c r="F1233" t="s">
        <v>15</v>
      </c>
      <c r="G1233">
        <v>28206</v>
      </c>
      <c r="H1233" t="s">
        <v>39</v>
      </c>
      <c r="I1233">
        <v>30</v>
      </c>
      <c r="J1233">
        <v>1</v>
      </c>
      <c r="K1233" t="s">
        <v>8935</v>
      </c>
    </row>
    <row r="1234" spans="1:11" x14ac:dyDescent="0.25">
      <c r="A1234" t="s">
        <v>4284</v>
      </c>
      <c r="B1234" t="s">
        <v>4285</v>
      </c>
      <c r="C1234" t="s">
        <v>4286</v>
      </c>
      <c r="D1234" t="s">
        <v>4287</v>
      </c>
      <c r="E1234" t="s">
        <v>14</v>
      </c>
      <c r="F1234" t="s">
        <v>15</v>
      </c>
      <c r="G1234">
        <v>28202</v>
      </c>
      <c r="H1234" t="s">
        <v>146</v>
      </c>
      <c r="I1234">
        <v>4</v>
      </c>
      <c r="J1234">
        <v>1</v>
      </c>
      <c r="K1234" t="s">
        <v>8933</v>
      </c>
    </row>
    <row r="1235" spans="1:11" x14ac:dyDescent="0.25">
      <c r="A1235" t="s">
        <v>4288</v>
      </c>
      <c r="B1235" t="s">
        <v>4289</v>
      </c>
      <c r="C1235" t="s">
        <v>1608</v>
      </c>
      <c r="D1235" t="s">
        <v>4290</v>
      </c>
      <c r="E1235" t="s">
        <v>14</v>
      </c>
      <c r="F1235" t="s">
        <v>15</v>
      </c>
      <c r="G1235">
        <v>28217</v>
      </c>
      <c r="H1235" t="s">
        <v>195</v>
      </c>
      <c r="I1235">
        <v>50</v>
      </c>
      <c r="J1235">
        <v>1</v>
      </c>
      <c r="K1235" t="s">
        <v>8921</v>
      </c>
    </row>
    <row r="1236" spans="1:11" x14ac:dyDescent="0.25">
      <c r="A1236" t="s">
        <v>4291</v>
      </c>
      <c r="B1236" t="s">
        <v>4292</v>
      </c>
      <c r="C1236" t="s">
        <v>4293</v>
      </c>
      <c r="D1236" t="s">
        <v>4294</v>
      </c>
      <c r="E1236" t="s">
        <v>14</v>
      </c>
      <c r="F1236" t="s">
        <v>15</v>
      </c>
      <c r="G1236">
        <v>28209</v>
      </c>
      <c r="H1236" t="s">
        <v>39</v>
      </c>
      <c r="I1236">
        <v>104</v>
      </c>
      <c r="J1236">
        <v>1</v>
      </c>
      <c r="K1236" t="s">
        <v>8935</v>
      </c>
    </row>
    <row r="1237" spans="1:11" x14ac:dyDescent="0.25">
      <c r="A1237" t="s">
        <v>4295</v>
      </c>
      <c r="B1237" t="s">
        <v>4296</v>
      </c>
      <c r="C1237" t="s">
        <v>4297</v>
      </c>
      <c r="D1237" t="s">
        <v>4298</v>
      </c>
      <c r="E1237" t="s">
        <v>14</v>
      </c>
      <c r="F1237" t="s">
        <v>15</v>
      </c>
      <c r="G1237">
        <v>28277</v>
      </c>
      <c r="H1237" t="s">
        <v>21</v>
      </c>
      <c r="I1237">
        <v>188</v>
      </c>
      <c r="J1237">
        <v>1</v>
      </c>
      <c r="K1237" t="s">
        <v>8935</v>
      </c>
    </row>
    <row r="1238" spans="1:11" x14ac:dyDescent="0.25">
      <c r="A1238" t="s">
        <v>4299</v>
      </c>
      <c r="B1238" t="s">
        <v>4300</v>
      </c>
      <c r="C1238" t="s">
        <v>4301</v>
      </c>
      <c r="D1238" t="s">
        <v>4302</v>
      </c>
      <c r="E1238" t="s">
        <v>14</v>
      </c>
      <c r="F1238" t="s">
        <v>15</v>
      </c>
      <c r="G1238">
        <v>28213</v>
      </c>
      <c r="H1238" t="s">
        <v>39</v>
      </c>
      <c r="I1238">
        <v>16</v>
      </c>
      <c r="J1238">
        <v>1</v>
      </c>
      <c r="K1238" t="s">
        <v>8935</v>
      </c>
    </row>
    <row r="1239" spans="1:11" x14ac:dyDescent="0.25">
      <c r="A1239" t="s">
        <v>4303</v>
      </c>
      <c r="B1239" t="s">
        <v>58</v>
      </c>
      <c r="C1239" t="s">
        <v>4304</v>
      </c>
      <c r="D1239" t="s">
        <v>4305</v>
      </c>
      <c r="E1239" t="s">
        <v>14</v>
      </c>
      <c r="F1239" t="s">
        <v>15</v>
      </c>
      <c r="G1239">
        <v>28209</v>
      </c>
      <c r="H1239" t="s">
        <v>21</v>
      </c>
      <c r="I1239">
        <v>7</v>
      </c>
      <c r="J1239">
        <v>1</v>
      </c>
      <c r="K1239" t="s">
        <v>8935</v>
      </c>
    </row>
    <row r="1240" spans="1:11" x14ac:dyDescent="0.25">
      <c r="A1240" t="s">
        <v>4306</v>
      </c>
      <c r="B1240" t="s">
        <v>4307</v>
      </c>
      <c r="C1240" t="s">
        <v>4308</v>
      </c>
      <c r="D1240" t="s">
        <v>4309</v>
      </c>
      <c r="E1240" t="s">
        <v>14</v>
      </c>
      <c r="F1240" t="s">
        <v>15</v>
      </c>
      <c r="G1240">
        <v>28204</v>
      </c>
      <c r="H1240" t="s">
        <v>21</v>
      </c>
      <c r="I1240">
        <v>49</v>
      </c>
      <c r="J1240">
        <v>1</v>
      </c>
      <c r="K1240" t="s">
        <v>8935</v>
      </c>
    </row>
    <row r="1241" spans="1:11" x14ac:dyDescent="0.25">
      <c r="A1241" t="s">
        <v>4310</v>
      </c>
      <c r="B1241" t="s">
        <v>4311</v>
      </c>
      <c r="C1241" t="s">
        <v>4312</v>
      </c>
      <c r="D1241" t="s">
        <v>4313</v>
      </c>
      <c r="E1241" t="s">
        <v>14</v>
      </c>
      <c r="F1241" t="s">
        <v>15</v>
      </c>
      <c r="G1241">
        <v>28202</v>
      </c>
      <c r="H1241" t="s">
        <v>39</v>
      </c>
      <c r="I1241">
        <v>22</v>
      </c>
      <c r="J1241">
        <v>1</v>
      </c>
      <c r="K1241" t="s">
        <v>8935</v>
      </c>
    </row>
    <row r="1242" spans="1:11" x14ac:dyDescent="0.25">
      <c r="A1242" t="s">
        <v>4314</v>
      </c>
      <c r="B1242" t="s">
        <v>4315</v>
      </c>
      <c r="C1242" t="s">
        <v>4316</v>
      </c>
      <c r="D1242" t="s">
        <v>4317</v>
      </c>
      <c r="E1242" t="s">
        <v>14</v>
      </c>
      <c r="F1242" t="s">
        <v>15</v>
      </c>
      <c r="G1242">
        <v>28202</v>
      </c>
      <c r="H1242" t="s">
        <v>16</v>
      </c>
      <c r="I1242">
        <v>121</v>
      </c>
      <c r="J1242">
        <v>1</v>
      </c>
      <c r="K1242" t="s">
        <v>8920</v>
      </c>
    </row>
    <row r="1243" spans="1:11" x14ac:dyDescent="0.25">
      <c r="A1243" t="s">
        <v>4318</v>
      </c>
      <c r="B1243" t="s">
        <v>4319</v>
      </c>
      <c r="C1243" t="s">
        <v>4320</v>
      </c>
      <c r="D1243" t="s">
        <v>4321</v>
      </c>
      <c r="E1243" t="s">
        <v>14</v>
      </c>
      <c r="F1243" t="s">
        <v>15</v>
      </c>
      <c r="G1243">
        <v>28210</v>
      </c>
      <c r="H1243" t="s">
        <v>21</v>
      </c>
      <c r="I1243">
        <v>10</v>
      </c>
      <c r="J1243">
        <v>1</v>
      </c>
      <c r="K1243" t="s">
        <v>8935</v>
      </c>
    </row>
    <row r="1244" spans="1:11" x14ac:dyDescent="0.25">
      <c r="A1244" t="s">
        <v>4322</v>
      </c>
      <c r="B1244" t="s">
        <v>1188</v>
      </c>
      <c r="C1244" t="s">
        <v>4323</v>
      </c>
      <c r="D1244" t="s">
        <v>84</v>
      </c>
      <c r="E1244" t="s">
        <v>14</v>
      </c>
      <c r="F1244" t="s">
        <v>15</v>
      </c>
      <c r="G1244">
        <v>28208</v>
      </c>
      <c r="H1244" t="s">
        <v>48</v>
      </c>
      <c r="I1244">
        <v>122</v>
      </c>
      <c r="J1244">
        <v>1</v>
      </c>
      <c r="K1244" t="s">
        <v>8935</v>
      </c>
    </row>
    <row r="1245" spans="1:11" x14ac:dyDescent="0.25">
      <c r="A1245" t="s">
        <v>4324</v>
      </c>
      <c r="B1245" t="s">
        <v>3517</v>
      </c>
      <c r="C1245" t="s">
        <v>4325</v>
      </c>
      <c r="D1245" t="s">
        <v>4326</v>
      </c>
      <c r="E1245" t="s">
        <v>14</v>
      </c>
      <c r="F1245" t="s">
        <v>15</v>
      </c>
      <c r="G1245">
        <v>28202</v>
      </c>
      <c r="H1245" t="s">
        <v>39</v>
      </c>
      <c r="I1245">
        <v>219</v>
      </c>
      <c r="J1245">
        <v>1</v>
      </c>
      <c r="K1245" t="s">
        <v>8923</v>
      </c>
    </row>
    <row r="1246" spans="1:11" x14ac:dyDescent="0.25">
      <c r="A1246" t="s">
        <v>4327</v>
      </c>
      <c r="B1246" t="s">
        <v>90</v>
      </c>
      <c r="C1246" t="s">
        <v>4328</v>
      </c>
      <c r="D1246" t="s">
        <v>4329</v>
      </c>
      <c r="E1246" t="s">
        <v>14</v>
      </c>
      <c r="F1246" t="s">
        <v>15</v>
      </c>
      <c r="G1246">
        <v>28203</v>
      </c>
      <c r="H1246" t="s">
        <v>26</v>
      </c>
      <c r="I1246">
        <v>64</v>
      </c>
      <c r="J1246">
        <v>1</v>
      </c>
      <c r="K1246" t="s">
        <v>8935</v>
      </c>
    </row>
    <row r="1247" spans="1:11" x14ac:dyDescent="0.25">
      <c r="A1247" t="s">
        <v>4330</v>
      </c>
      <c r="B1247" t="s">
        <v>4331</v>
      </c>
      <c r="C1247" t="s">
        <v>4332</v>
      </c>
      <c r="D1247" t="s">
        <v>4333</v>
      </c>
      <c r="E1247" t="s">
        <v>14</v>
      </c>
      <c r="F1247" t="s">
        <v>15</v>
      </c>
      <c r="G1247">
        <v>28205</v>
      </c>
      <c r="H1247" t="s">
        <v>39</v>
      </c>
      <c r="I1247">
        <v>64</v>
      </c>
      <c r="J1247">
        <v>1</v>
      </c>
      <c r="K1247" t="s">
        <v>8935</v>
      </c>
    </row>
    <row r="1248" spans="1:11" x14ac:dyDescent="0.25">
      <c r="A1248" t="s">
        <v>4334</v>
      </c>
      <c r="B1248" t="s">
        <v>4335</v>
      </c>
      <c r="C1248" t="s">
        <v>4336</v>
      </c>
      <c r="D1248" t="s">
        <v>4337</v>
      </c>
      <c r="E1248" t="s">
        <v>14</v>
      </c>
      <c r="F1248" t="s">
        <v>15</v>
      </c>
      <c r="G1248">
        <v>28227</v>
      </c>
      <c r="H1248" t="s">
        <v>16</v>
      </c>
      <c r="I1248">
        <v>49</v>
      </c>
      <c r="J1248">
        <v>1</v>
      </c>
      <c r="K1248" t="s">
        <v>8929</v>
      </c>
    </row>
    <row r="1249" spans="1:11" x14ac:dyDescent="0.25">
      <c r="A1249" t="s">
        <v>4338</v>
      </c>
      <c r="B1249" t="s">
        <v>556</v>
      </c>
      <c r="C1249" t="s">
        <v>4339</v>
      </c>
      <c r="D1249" t="s">
        <v>4340</v>
      </c>
      <c r="E1249" t="s">
        <v>14</v>
      </c>
      <c r="F1249" t="s">
        <v>15</v>
      </c>
      <c r="G1249">
        <v>28227</v>
      </c>
      <c r="H1249" t="s">
        <v>26</v>
      </c>
      <c r="I1249">
        <v>60</v>
      </c>
      <c r="J1249">
        <v>1</v>
      </c>
      <c r="K1249" t="s">
        <v>8935</v>
      </c>
    </row>
    <row r="1250" spans="1:11" x14ac:dyDescent="0.25">
      <c r="A1250" t="s">
        <v>4341</v>
      </c>
      <c r="B1250" t="s">
        <v>2469</v>
      </c>
      <c r="C1250" t="s">
        <v>364</v>
      </c>
      <c r="D1250" t="s">
        <v>4342</v>
      </c>
      <c r="E1250" t="s">
        <v>14</v>
      </c>
      <c r="F1250" t="s">
        <v>15</v>
      </c>
      <c r="G1250">
        <v>28273</v>
      </c>
      <c r="H1250" t="s">
        <v>101</v>
      </c>
      <c r="I1250">
        <v>4</v>
      </c>
      <c r="J1250">
        <v>1</v>
      </c>
      <c r="K1250" t="s">
        <v>8935</v>
      </c>
    </row>
    <row r="1251" spans="1:11" x14ac:dyDescent="0.25">
      <c r="A1251" t="s">
        <v>4343</v>
      </c>
      <c r="B1251" t="s">
        <v>4344</v>
      </c>
      <c r="C1251" t="s">
        <v>2847</v>
      </c>
      <c r="D1251" t="s">
        <v>4345</v>
      </c>
      <c r="E1251" t="s">
        <v>14</v>
      </c>
      <c r="F1251" t="s">
        <v>15</v>
      </c>
      <c r="G1251">
        <v>28277</v>
      </c>
      <c r="H1251" t="s">
        <v>16</v>
      </c>
      <c r="I1251">
        <v>79</v>
      </c>
      <c r="J1251">
        <v>1</v>
      </c>
      <c r="K1251" t="s">
        <v>8935</v>
      </c>
    </row>
    <row r="1252" spans="1:11" x14ac:dyDescent="0.25">
      <c r="A1252" t="s">
        <v>4346</v>
      </c>
      <c r="B1252" t="s">
        <v>4347</v>
      </c>
      <c r="C1252" t="s">
        <v>4348</v>
      </c>
      <c r="D1252" t="s">
        <v>4349</v>
      </c>
      <c r="E1252" t="s">
        <v>14</v>
      </c>
      <c r="F1252" t="s">
        <v>15</v>
      </c>
      <c r="G1252">
        <v>28262</v>
      </c>
      <c r="H1252" t="s">
        <v>21</v>
      </c>
      <c r="I1252">
        <v>95</v>
      </c>
      <c r="J1252">
        <v>1</v>
      </c>
      <c r="K1252" t="s">
        <v>8935</v>
      </c>
    </row>
    <row r="1253" spans="1:11" x14ac:dyDescent="0.25">
      <c r="A1253" t="s">
        <v>4350</v>
      </c>
      <c r="B1253" t="s">
        <v>2337</v>
      </c>
      <c r="C1253" t="s">
        <v>4351</v>
      </c>
      <c r="D1253" t="s">
        <v>4352</v>
      </c>
      <c r="E1253" t="s">
        <v>14</v>
      </c>
      <c r="F1253" t="s">
        <v>15</v>
      </c>
      <c r="G1253">
        <v>28227</v>
      </c>
      <c r="H1253" t="s">
        <v>21</v>
      </c>
      <c r="I1253">
        <v>115</v>
      </c>
      <c r="J1253">
        <v>1</v>
      </c>
      <c r="K1253" t="s">
        <v>8927</v>
      </c>
    </row>
    <row r="1254" spans="1:11" x14ac:dyDescent="0.25">
      <c r="A1254" t="s">
        <v>4353</v>
      </c>
      <c r="B1254" t="s">
        <v>176</v>
      </c>
      <c r="C1254" t="s">
        <v>4354</v>
      </c>
      <c r="D1254" t="s">
        <v>3984</v>
      </c>
      <c r="E1254" t="s">
        <v>14</v>
      </c>
      <c r="F1254" t="s">
        <v>15</v>
      </c>
      <c r="G1254">
        <v>28226</v>
      </c>
      <c r="H1254" t="s">
        <v>21</v>
      </c>
      <c r="I1254">
        <v>11</v>
      </c>
      <c r="J1254">
        <v>0</v>
      </c>
      <c r="K1254" t="s">
        <v>8935</v>
      </c>
    </row>
    <row r="1255" spans="1:11" x14ac:dyDescent="0.25">
      <c r="A1255" t="s">
        <v>4355</v>
      </c>
      <c r="B1255" t="s">
        <v>139</v>
      </c>
      <c r="C1255" t="s">
        <v>4356</v>
      </c>
      <c r="D1255" t="s">
        <v>4357</v>
      </c>
      <c r="E1255" t="s">
        <v>14</v>
      </c>
      <c r="F1255" t="s">
        <v>15</v>
      </c>
      <c r="G1255">
        <v>28270</v>
      </c>
      <c r="H1255" t="s">
        <v>39</v>
      </c>
      <c r="I1255">
        <v>3</v>
      </c>
      <c r="J1255">
        <v>0</v>
      </c>
      <c r="K1255" t="s">
        <v>8926</v>
      </c>
    </row>
    <row r="1256" spans="1:11" x14ac:dyDescent="0.25">
      <c r="A1256" t="s">
        <v>4358</v>
      </c>
      <c r="B1256" t="s">
        <v>4359</v>
      </c>
      <c r="C1256" t="s">
        <v>4360</v>
      </c>
      <c r="D1256" t="s">
        <v>4361</v>
      </c>
      <c r="E1256" t="s">
        <v>14</v>
      </c>
      <c r="F1256" t="s">
        <v>15</v>
      </c>
      <c r="G1256">
        <v>28211</v>
      </c>
      <c r="H1256" t="s">
        <v>39</v>
      </c>
      <c r="I1256">
        <v>6</v>
      </c>
      <c r="J1256">
        <v>0</v>
      </c>
      <c r="K1256" t="s">
        <v>8935</v>
      </c>
    </row>
    <row r="1257" spans="1:11" x14ac:dyDescent="0.25">
      <c r="A1257" t="s">
        <v>4362</v>
      </c>
      <c r="B1257" t="s">
        <v>4363</v>
      </c>
      <c r="C1257" t="s">
        <v>4364</v>
      </c>
      <c r="D1257" t="s">
        <v>137</v>
      </c>
      <c r="E1257" t="s">
        <v>14</v>
      </c>
      <c r="F1257" t="s">
        <v>15</v>
      </c>
      <c r="G1257">
        <v>28202</v>
      </c>
      <c r="H1257" t="s">
        <v>16</v>
      </c>
      <c r="I1257">
        <v>15</v>
      </c>
      <c r="J1257">
        <v>1</v>
      </c>
      <c r="K1257" t="s">
        <v>8921</v>
      </c>
    </row>
    <row r="1258" spans="1:11" x14ac:dyDescent="0.25">
      <c r="A1258" t="s">
        <v>4365</v>
      </c>
      <c r="B1258" t="s">
        <v>4366</v>
      </c>
      <c r="C1258" t="s">
        <v>2723</v>
      </c>
      <c r="D1258" t="s">
        <v>4367</v>
      </c>
      <c r="E1258" t="s">
        <v>14</v>
      </c>
      <c r="F1258" t="s">
        <v>15</v>
      </c>
      <c r="G1258">
        <v>28270</v>
      </c>
      <c r="H1258" t="s">
        <v>48</v>
      </c>
      <c r="I1258">
        <v>47</v>
      </c>
      <c r="J1258">
        <v>1</v>
      </c>
      <c r="K1258" t="s">
        <v>8935</v>
      </c>
    </row>
    <row r="1259" spans="1:11" x14ac:dyDescent="0.25">
      <c r="A1259" t="s">
        <v>4368</v>
      </c>
      <c r="B1259" t="s">
        <v>4369</v>
      </c>
      <c r="C1259" t="s">
        <v>263</v>
      </c>
      <c r="D1259" t="s">
        <v>4370</v>
      </c>
      <c r="E1259" t="s">
        <v>14</v>
      </c>
      <c r="F1259" t="s">
        <v>15</v>
      </c>
      <c r="G1259">
        <v>28212</v>
      </c>
      <c r="H1259" t="s">
        <v>101</v>
      </c>
      <c r="I1259">
        <v>6</v>
      </c>
      <c r="J1259">
        <v>1</v>
      </c>
      <c r="K1259" t="s">
        <v>8935</v>
      </c>
    </row>
    <row r="1260" spans="1:11" x14ac:dyDescent="0.25">
      <c r="A1260" t="s">
        <v>4371</v>
      </c>
      <c r="B1260" t="s">
        <v>4372</v>
      </c>
      <c r="C1260" t="s">
        <v>467</v>
      </c>
      <c r="D1260" t="s">
        <v>4373</v>
      </c>
      <c r="E1260" t="s">
        <v>14</v>
      </c>
      <c r="F1260" t="s">
        <v>15</v>
      </c>
      <c r="G1260">
        <v>28208</v>
      </c>
      <c r="H1260" t="s">
        <v>21</v>
      </c>
      <c r="I1260">
        <v>40</v>
      </c>
      <c r="J1260">
        <v>1</v>
      </c>
      <c r="K1260" t="s">
        <v>8935</v>
      </c>
    </row>
    <row r="1261" spans="1:11" x14ac:dyDescent="0.25">
      <c r="A1261" t="s">
        <v>4374</v>
      </c>
      <c r="B1261" t="s">
        <v>4375</v>
      </c>
      <c r="C1261" t="s">
        <v>4376</v>
      </c>
      <c r="D1261" t="s">
        <v>4377</v>
      </c>
      <c r="E1261" t="s">
        <v>14</v>
      </c>
      <c r="F1261" t="s">
        <v>15</v>
      </c>
      <c r="G1261">
        <v>28262</v>
      </c>
      <c r="H1261" t="s">
        <v>26</v>
      </c>
      <c r="I1261">
        <v>71</v>
      </c>
      <c r="J1261">
        <v>1</v>
      </c>
      <c r="K1261" t="s">
        <v>8935</v>
      </c>
    </row>
    <row r="1262" spans="1:11" x14ac:dyDescent="0.25">
      <c r="A1262" t="s">
        <v>4378</v>
      </c>
      <c r="B1262" t="s">
        <v>4379</v>
      </c>
      <c r="C1262" t="s">
        <v>4380</v>
      </c>
      <c r="D1262" t="s">
        <v>4381</v>
      </c>
      <c r="E1262" t="s">
        <v>14</v>
      </c>
      <c r="F1262" t="s">
        <v>15</v>
      </c>
      <c r="G1262">
        <v>28273</v>
      </c>
      <c r="H1262" t="s">
        <v>21</v>
      </c>
      <c r="I1262">
        <v>41</v>
      </c>
      <c r="J1262">
        <v>0</v>
      </c>
      <c r="K1262" t="s">
        <v>8927</v>
      </c>
    </row>
    <row r="1263" spans="1:11" x14ac:dyDescent="0.25">
      <c r="A1263" t="s">
        <v>4382</v>
      </c>
      <c r="B1263" t="s">
        <v>4383</v>
      </c>
      <c r="C1263" t="s">
        <v>3573</v>
      </c>
      <c r="D1263" t="s">
        <v>4384</v>
      </c>
      <c r="E1263" t="s">
        <v>14</v>
      </c>
      <c r="F1263" t="s">
        <v>15</v>
      </c>
      <c r="G1263">
        <v>28262</v>
      </c>
      <c r="H1263" t="s">
        <v>101</v>
      </c>
      <c r="I1263">
        <v>121</v>
      </c>
      <c r="J1263">
        <v>1</v>
      </c>
      <c r="K1263" t="s">
        <v>8921</v>
      </c>
    </row>
    <row r="1264" spans="1:11" x14ac:dyDescent="0.25">
      <c r="A1264" t="s">
        <v>4385</v>
      </c>
      <c r="B1264" t="s">
        <v>4386</v>
      </c>
      <c r="C1264" t="s">
        <v>4387</v>
      </c>
      <c r="D1264" t="s">
        <v>4388</v>
      </c>
      <c r="E1264" t="s">
        <v>14</v>
      </c>
      <c r="F1264" t="s">
        <v>15</v>
      </c>
      <c r="G1264">
        <v>28273</v>
      </c>
      <c r="H1264" t="s">
        <v>16</v>
      </c>
      <c r="I1264">
        <v>132</v>
      </c>
      <c r="J1264">
        <v>1</v>
      </c>
      <c r="K1264" t="s">
        <v>8925</v>
      </c>
    </row>
    <row r="1265" spans="1:11" x14ac:dyDescent="0.25">
      <c r="A1265" t="s">
        <v>4389</v>
      </c>
      <c r="B1265" t="s">
        <v>4390</v>
      </c>
      <c r="C1265" t="s">
        <v>4391</v>
      </c>
      <c r="D1265" t="s">
        <v>4392</v>
      </c>
      <c r="E1265" t="s">
        <v>14</v>
      </c>
      <c r="F1265" t="s">
        <v>15</v>
      </c>
      <c r="G1265">
        <v>28216</v>
      </c>
      <c r="H1265" t="s">
        <v>101</v>
      </c>
      <c r="I1265">
        <v>37</v>
      </c>
      <c r="J1265">
        <v>0</v>
      </c>
      <c r="K1265" t="s">
        <v>8935</v>
      </c>
    </row>
    <row r="1266" spans="1:11" x14ac:dyDescent="0.25">
      <c r="A1266" t="s">
        <v>4393</v>
      </c>
      <c r="B1266" t="s">
        <v>4394</v>
      </c>
      <c r="C1266" t="s">
        <v>4395</v>
      </c>
      <c r="D1266" t="s">
        <v>4396</v>
      </c>
      <c r="E1266" t="s">
        <v>14</v>
      </c>
      <c r="F1266" t="s">
        <v>15</v>
      </c>
      <c r="G1266">
        <v>28203</v>
      </c>
      <c r="H1266" t="s">
        <v>21</v>
      </c>
      <c r="I1266">
        <v>298</v>
      </c>
      <c r="J1266">
        <v>1</v>
      </c>
      <c r="K1266" t="s">
        <v>8935</v>
      </c>
    </row>
    <row r="1267" spans="1:11" x14ac:dyDescent="0.25">
      <c r="A1267" t="s">
        <v>4397</v>
      </c>
      <c r="B1267" t="s">
        <v>4398</v>
      </c>
      <c r="C1267" t="s">
        <v>4399</v>
      </c>
      <c r="D1267" t="s">
        <v>4400</v>
      </c>
      <c r="E1267" t="s">
        <v>14</v>
      </c>
      <c r="F1267" t="s">
        <v>15</v>
      </c>
      <c r="G1267">
        <v>28202</v>
      </c>
      <c r="H1267" t="s">
        <v>48</v>
      </c>
      <c r="I1267">
        <v>23</v>
      </c>
      <c r="J1267">
        <v>0</v>
      </c>
      <c r="K1267" t="s">
        <v>8935</v>
      </c>
    </row>
    <row r="1268" spans="1:11" x14ac:dyDescent="0.25">
      <c r="A1268" t="s">
        <v>4401</v>
      </c>
      <c r="B1268" t="s">
        <v>4402</v>
      </c>
      <c r="C1268" t="s">
        <v>4403</v>
      </c>
      <c r="D1268" t="s">
        <v>4404</v>
      </c>
      <c r="E1268" t="s">
        <v>14</v>
      </c>
      <c r="F1268" t="s">
        <v>15</v>
      </c>
      <c r="G1268">
        <v>28209</v>
      </c>
      <c r="H1268" t="s">
        <v>21</v>
      </c>
      <c r="I1268">
        <v>108</v>
      </c>
      <c r="J1268">
        <v>1</v>
      </c>
      <c r="K1268" t="s">
        <v>8935</v>
      </c>
    </row>
    <row r="1269" spans="1:11" x14ac:dyDescent="0.25">
      <c r="A1269" t="s">
        <v>4405</v>
      </c>
      <c r="B1269" t="s">
        <v>4406</v>
      </c>
      <c r="C1269" t="s">
        <v>4407</v>
      </c>
      <c r="D1269" t="s">
        <v>4408</v>
      </c>
      <c r="E1269" t="s">
        <v>14</v>
      </c>
      <c r="F1269" t="s">
        <v>15</v>
      </c>
      <c r="G1269">
        <v>28202</v>
      </c>
      <c r="H1269" t="s">
        <v>26</v>
      </c>
      <c r="I1269">
        <v>12</v>
      </c>
      <c r="J1269">
        <v>1</v>
      </c>
      <c r="K1269" t="s">
        <v>8935</v>
      </c>
    </row>
    <row r="1270" spans="1:11" x14ac:dyDescent="0.25">
      <c r="A1270" t="s">
        <v>4409</v>
      </c>
      <c r="B1270" t="s">
        <v>4410</v>
      </c>
      <c r="C1270" t="s">
        <v>4411</v>
      </c>
      <c r="D1270" t="s">
        <v>4412</v>
      </c>
      <c r="E1270" t="s">
        <v>14</v>
      </c>
      <c r="F1270" t="s">
        <v>15</v>
      </c>
      <c r="G1270">
        <v>28273</v>
      </c>
      <c r="H1270" t="s">
        <v>48</v>
      </c>
      <c r="I1270">
        <v>4</v>
      </c>
      <c r="J1270">
        <v>1</v>
      </c>
      <c r="K1270" t="s">
        <v>8920</v>
      </c>
    </row>
    <row r="1271" spans="1:11" x14ac:dyDescent="0.25">
      <c r="A1271" t="s">
        <v>4413</v>
      </c>
      <c r="B1271" t="s">
        <v>4414</v>
      </c>
      <c r="C1271" t="s">
        <v>4415</v>
      </c>
      <c r="D1271" t="s">
        <v>4416</v>
      </c>
      <c r="E1271" t="s">
        <v>14</v>
      </c>
      <c r="F1271" t="s">
        <v>15</v>
      </c>
      <c r="G1271">
        <v>28203</v>
      </c>
      <c r="H1271" t="s">
        <v>21</v>
      </c>
      <c r="I1271">
        <v>22</v>
      </c>
      <c r="J1271">
        <v>1</v>
      </c>
      <c r="K1271" t="s">
        <v>8935</v>
      </c>
    </row>
    <row r="1272" spans="1:11" x14ac:dyDescent="0.25">
      <c r="A1272" t="s">
        <v>4417</v>
      </c>
      <c r="B1272" t="s">
        <v>312</v>
      </c>
      <c r="C1272" t="s">
        <v>4418</v>
      </c>
      <c r="D1272" t="s">
        <v>4419</v>
      </c>
      <c r="E1272" t="s">
        <v>14</v>
      </c>
      <c r="F1272" t="s">
        <v>15</v>
      </c>
      <c r="G1272">
        <v>28204</v>
      </c>
      <c r="H1272" t="s">
        <v>21</v>
      </c>
      <c r="I1272">
        <v>3</v>
      </c>
      <c r="J1272">
        <v>0</v>
      </c>
      <c r="K1272" t="s">
        <v>8925</v>
      </c>
    </row>
    <row r="1273" spans="1:11" x14ac:dyDescent="0.25">
      <c r="A1273" t="s">
        <v>4420</v>
      </c>
      <c r="B1273" t="s">
        <v>4421</v>
      </c>
      <c r="C1273" t="s">
        <v>4422</v>
      </c>
      <c r="D1273" t="s">
        <v>4423</v>
      </c>
      <c r="E1273" t="s">
        <v>14</v>
      </c>
      <c r="F1273" t="s">
        <v>15</v>
      </c>
      <c r="G1273">
        <v>28202</v>
      </c>
      <c r="H1273" t="s">
        <v>39</v>
      </c>
      <c r="I1273">
        <v>13</v>
      </c>
      <c r="J1273">
        <v>0</v>
      </c>
      <c r="K1273" t="s">
        <v>8935</v>
      </c>
    </row>
    <row r="1274" spans="1:11" x14ac:dyDescent="0.25">
      <c r="A1274" t="s">
        <v>4424</v>
      </c>
      <c r="B1274" t="s">
        <v>967</v>
      </c>
      <c r="C1274" t="s">
        <v>4425</v>
      </c>
      <c r="D1274" t="s">
        <v>4426</v>
      </c>
      <c r="E1274" t="s">
        <v>14</v>
      </c>
      <c r="F1274" t="s">
        <v>15</v>
      </c>
      <c r="G1274">
        <v>28217</v>
      </c>
      <c r="H1274" t="s">
        <v>16</v>
      </c>
      <c r="I1274">
        <v>184</v>
      </c>
      <c r="J1274">
        <v>1</v>
      </c>
      <c r="K1274" t="s">
        <v>8935</v>
      </c>
    </row>
    <row r="1275" spans="1:11" x14ac:dyDescent="0.25">
      <c r="A1275" t="s">
        <v>4427</v>
      </c>
      <c r="B1275" t="s">
        <v>4428</v>
      </c>
      <c r="C1275" t="s">
        <v>4429</v>
      </c>
      <c r="D1275" t="s">
        <v>2798</v>
      </c>
      <c r="E1275" t="s">
        <v>14</v>
      </c>
      <c r="F1275" t="s">
        <v>15</v>
      </c>
      <c r="G1275">
        <v>28216</v>
      </c>
      <c r="H1275" t="s">
        <v>16</v>
      </c>
      <c r="I1275">
        <v>5</v>
      </c>
      <c r="J1275">
        <v>0</v>
      </c>
      <c r="K1275" t="s">
        <v>8935</v>
      </c>
    </row>
    <row r="1276" spans="1:11" x14ac:dyDescent="0.25">
      <c r="A1276" t="s">
        <v>4430</v>
      </c>
      <c r="B1276" t="s">
        <v>4431</v>
      </c>
      <c r="C1276" t="s">
        <v>4432</v>
      </c>
      <c r="D1276" t="s">
        <v>2239</v>
      </c>
      <c r="E1276" t="s">
        <v>14</v>
      </c>
      <c r="F1276" t="s">
        <v>15</v>
      </c>
      <c r="G1276">
        <v>28273</v>
      </c>
      <c r="H1276" t="s">
        <v>39</v>
      </c>
      <c r="I1276">
        <v>107</v>
      </c>
      <c r="J1276">
        <v>1</v>
      </c>
      <c r="K1276" t="s">
        <v>8927</v>
      </c>
    </row>
    <row r="1277" spans="1:11" x14ac:dyDescent="0.25">
      <c r="A1277" t="s">
        <v>4433</v>
      </c>
      <c r="B1277" t="s">
        <v>4434</v>
      </c>
      <c r="C1277" t="s">
        <v>4435</v>
      </c>
      <c r="D1277" t="s">
        <v>4436</v>
      </c>
      <c r="E1277" t="s">
        <v>14</v>
      </c>
      <c r="F1277" t="s">
        <v>15</v>
      </c>
      <c r="G1277">
        <v>28205</v>
      </c>
      <c r="H1277" t="s">
        <v>16</v>
      </c>
      <c r="I1277">
        <v>52</v>
      </c>
      <c r="J1277">
        <v>0</v>
      </c>
      <c r="K1277" t="s">
        <v>8935</v>
      </c>
    </row>
    <row r="1278" spans="1:11" x14ac:dyDescent="0.25">
      <c r="A1278" t="s">
        <v>4437</v>
      </c>
      <c r="B1278" t="s">
        <v>4438</v>
      </c>
      <c r="C1278" t="s">
        <v>4439</v>
      </c>
      <c r="D1278" t="s">
        <v>4440</v>
      </c>
      <c r="E1278" t="s">
        <v>14</v>
      </c>
      <c r="F1278" t="s">
        <v>15</v>
      </c>
      <c r="G1278">
        <v>28210</v>
      </c>
      <c r="H1278" t="s">
        <v>21</v>
      </c>
      <c r="I1278">
        <v>4</v>
      </c>
      <c r="J1278">
        <v>1</v>
      </c>
      <c r="K1278" t="s">
        <v>8923</v>
      </c>
    </row>
    <row r="1279" spans="1:11" x14ac:dyDescent="0.25">
      <c r="A1279" t="s">
        <v>4441</v>
      </c>
      <c r="B1279" t="s">
        <v>4442</v>
      </c>
      <c r="C1279" t="s">
        <v>4443</v>
      </c>
      <c r="D1279" t="s">
        <v>4444</v>
      </c>
      <c r="E1279" t="s">
        <v>14</v>
      </c>
      <c r="F1279" t="s">
        <v>15</v>
      </c>
      <c r="G1279">
        <v>28208</v>
      </c>
      <c r="H1279" t="s">
        <v>48</v>
      </c>
      <c r="I1279">
        <v>6</v>
      </c>
      <c r="J1279">
        <v>1</v>
      </c>
      <c r="K1279" t="s">
        <v>8935</v>
      </c>
    </row>
    <row r="1280" spans="1:11" x14ac:dyDescent="0.25">
      <c r="A1280" t="s">
        <v>4445</v>
      </c>
      <c r="B1280" t="s">
        <v>4446</v>
      </c>
      <c r="C1280" t="s">
        <v>4447</v>
      </c>
      <c r="D1280" t="s">
        <v>1729</v>
      </c>
      <c r="E1280" t="s">
        <v>14</v>
      </c>
      <c r="F1280" t="s">
        <v>15</v>
      </c>
      <c r="G1280">
        <v>28205</v>
      </c>
      <c r="H1280" t="s">
        <v>39</v>
      </c>
      <c r="I1280">
        <v>5</v>
      </c>
      <c r="J1280">
        <v>0</v>
      </c>
      <c r="K1280" t="s">
        <v>8925</v>
      </c>
    </row>
    <row r="1281" spans="1:11" x14ac:dyDescent="0.25">
      <c r="A1281" t="s">
        <v>4448</v>
      </c>
      <c r="B1281" t="s">
        <v>4449</v>
      </c>
      <c r="C1281" t="s">
        <v>4450</v>
      </c>
      <c r="D1281" t="s">
        <v>4451</v>
      </c>
      <c r="E1281" t="s">
        <v>14</v>
      </c>
      <c r="F1281" t="s">
        <v>15</v>
      </c>
      <c r="G1281">
        <v>28278</v>
      </c>
      <c r="H1281" t="s">
        <v>16</v>
      </c>
      <c r="I1281">
        <v>75</v>
      </c>
      <c r="J1281">
        <v>1</v>
      </c>
      <c r="K1281" t="s">
        <v>8921</v>
      </c>
    </row>
    <row r="1282" spans="1:11" x14ac:dyDescent="0.25">
      <c r="A1282" t="s">
        <v>4452</v>
      </c>
      <c r="B1282" t="s">
        <v>4453</v>
      </c>
      <c r="C1282" t="s">
        <v>4454</v>
      </c>
      <c r="D1282" t="s">
        <v>2943</v>
      </c>
      <c r="E1282" t="s">
        <v>14</v>
      </c>
      <c r="F1282" t="s">
        <v>15</v>
      </c>
      <c r="G1282">
        <v>28273</v>
      </c>
      <c r="H1282" t="s">
        <v>21</v>
      </c>
      <c r="I1282">
        <v>55</v>
      </c>
      <c r="J1282">
        <v>1</v>
      </c>
      <c r="K1282" t="s">
        <v>8935</v>
      </c>
    </row>
    <row r="1283" spans="1:11" x14ac:dyDescent="0.25">
      <c r="A1283" t="s">
        <v>4455</v>
      </c>
      <c r="B1283" t="s">
        <v>4456</v>
      </c>
      <c r="C1283" t="s">
        <v>622</v>
      </c>
      <c r="D1283" t="s">
        <v>4457</v>
      </c>
      <c r="E1283" t="s">
        <v>14</v>
      </c>
      <c r="F1283" t="s">
        <v>15</v>
      </c>
      <c r="G1283">
        <v>28205</v>
      </c>
      <c r="H1283" t="s">
        <v>26</v>
      </c>
      <c r="I1283">
        <v>17</v>
      </c>
      <c r="J1283">
        <v>1</v>
      </c>
      <c r="K1283" t="s">
        <v>8935</v>
      </c>
    </row>
    <row r="1284" spans="1:11" x14ac:dyDescent="0.25">
      <c r="A1284" t="s">
        <v>4458</v>
      </c>
      <c r="B1284" t="s">
        <v>4459</v>
      </c>
      <c r="C1284" t="s">
        <v>4460</v>
      </c>
      <c r="D1284" t="s">
        <v>4461</v>
      </c>
      <c r="E1284" t="s">
        <v>14</v>
      </c>
      <c r="F1284" t="s">
        <v>15</v>
      </c>
      <c r="G1284">
        <v>28273</v>
      </c>
      <c r="H1284" t="s">
        <v>39</v>
      </c>
      <c r="I1284">
        <v>11</v>
      </c>
      <c r="J1284">
        <v>1</v>
      </c>
      <c r="K1284" t="s">
        <v>8935</v>
      </c>
    </row>
    <row r="1285" spans="1:11" x14ac:dyDescent="0.25">
      <c r="A1285" t="s">
        <v>4462</v>
      </c>
      <c r="B1285" t="s">
        <v>4463</v>
      </c>
      <c r="C1285" t="s">
        <v>4464</v>
      </c>
      <c r="D1285" t="s">
        <v>472</v>
      </c>
      <c r="E1285" t="s">
        <v>14</v>
      </c>
      <c r="F1285" t="s">
        <v>15</v>
      </c>
      <c r="G1285">
        <v>28227</v>
      </c>
      <c r="H1285" t="s">
        <v>39</v>
      </c>
      <c r="I1285">
        <v>24</v>
      </c>
      <c r="J1285">
        <v>1</v>
      </c>
      <c r="K1285" t="s">
        <v>8930</v>
      </c>
    </row>
    <row r="1286" spans="1:11" x14ac:dyDescent="0.25">
      <c r="A1286" t="s">
        <v>4465</v>
      </c>
      <c r="B1286" t="s">
        <v>228</v>
      </c>
      <c r="C1286" t="s">
        <v>4466</v>
      </c>
      <c r="D1286" t="s">
        <v>4467</v>
      </c>
      <c r="E1286" t="s">
        <v>14</v>
      </c>
      <c r="F1286" t="s">
        <v>15</v>
      </c>
      <c r="G1286">
        <v>28217</v>
      </c>
      <c r="H1286" t="s">
        <v>48</v>
      </c>
      <c r="I1286">
        <v>8</v>
      </c>
      <c r="J1286">
        <v>1</v>
      </c>
      <c r="K1286" t="s">
        <v>8935</v>
      </c>
    </row>
    <row r="1287" spans="1:11" x14ac:dyDescent="0.25">
      <c r="A1287" t="s">
        <v>4468</v>
      </c>
      <c r="B1287" t="s">
        <v>4469</v>
      </c>
      <c r="C1287" t="s">
        <v>4470</v>
      </c>
      <c r="D1287" t="s">
        <v>4471</v>
      </c>
      <c r="E1287" t="s">
        <v>14</v>
      </c>
      <c r="F1287" t="s">
        <v>15</v>
      </c>
      <c r="G1287">
        <v>28204</v>
      </c>
      <c r="H1287" t="s">
        <v>16</v>
      </c>
      <c r="I1287">
        <v>488</v>
      </c>
      <c r="J1287">
        <v>1</v>
      </c>
      <c r="K1287" t="s">
        <v>8937</v>
      </c>
    </row>
    <row r="1288" spans="1:11" x14ac:dyDescent="0.25">
      <c r="A1288" t="s">
        <v>4472</v>
      </c>
      <c r="B1288" t="s">
        <v>4473</v>
      </c>
      <c r="C1288" t="s">
        <v>4474</v>
      </c>
      <c r="D1288" t="s">
        <v>4475</v>
      </c>
      <c r="E1288" t="s">
        <v>14</v>
      </c>
      <c r="F1288" t="s">
        <v>15</v>
      </c>
      <c r="G1288">
        <v>28277</v>
      </c>
      <c r="H1288" t="s">
        <v>21</v>
      </c>
      <c r="I1288">
        <v>365</v>
      </c>
      <c r="J1288">
        <v>1</v>
      </c>
      <c r="K1288" t="s">
        <v>8922</v>
      </c>
    </row>
    <row r="1289" spans="1:11" x14ac:dyDescent="0.25">
      <c r="A1289" t="s">
        <v>4476</v>
      </c>
      <c r="B1289" t="s">
        <v>4477</v>
      </c>
      <c r="C1289" t="s">
        <v>4478</v>
      </c>
      <c r="D1289" t="s">
        <v>334</v>
      </c>
      <c r="E1289" t="s">
        <v>14</v>
      </c>
      <c r="F1289" t="s">
        <v>15</v>
      </c>
      <c r="G1289">
        <v>28202</v>
      </c>
      <c r="H1289" t="s">
        <v>21</v>
      </c>
      <c r="I1289">
        <v>231</v>
      </c>
      <c r="J1289">
        <v>1</v>
      </c>
      <c r="K1289" t="s">
        <v>8935</v>
      </c>
    </row>
    <row r="1290" spans="1:11" x14ac:dyDescent="0.25">
      <c r="A1290" t="s">
        <v>4479</v>
      </c>
      <c r="B1290" t="s">
        <v>359</v>
      </c>
      <c r="C1290" t="s">
        <v>4480</v>
      </c>
      <c r="D1290" t="s">
        <v>4481</v>
      </c>
      <c r="E1290" t="s">
        <v>14</v>
      </c>
      <c r="F1290" t="s">
        <v>15</v>
      </c>
      <c r="G1290">
        <v>28211</v>
      </c>
      <c r="H1290" t="s">
        <v>16</v>
      </c>
      <c r="I1290">
        <v>71</v>
      </c>
      <c r="J1290">
        <v>0</v>
      </c>
      <c r="K1290" t="s">
        <v>8935</v>
      </c>
    </row>
    <row r="1291" spans="1:11" x14ac:dyDescent="0.25">
      <c r="A1291" t="s">
        <v>4482</v>
      </c>
      <c r="B1291" t="s">
        <v>442</v>
      </c>
      <c r="C1291" t="s">
        <v>4483</v>
      </c>
      <c r="D1291" t="s">
        <v>4484</v>
      </c>
      <c r="E1291" t="s">
        <v>14</v>
      </c>
      <c r="F1291" t="s">
        <v>15</v>
      </c>
      <c r="G1291">
        <v>28269</v>
      </c>
      <c r="H1291" t="s">
        <v>16</v>
      </c>
      <c r="I1291">
        <v>3</v>
      </c>
      <c r="J1291">
        <v>0</v>
      </c>
      <c r="K1291" t="s">
        <v>8935</v>
      </c>
    </row>
    <row r="1292" spans="1:11" x14ac:dyDescent="0.25">
      <c r="A1292" t="s">
        <v>4485</v>
      </c>
      <c r="B1292" t="s">
        <v>4486</v>
      </c>
      <c r="C1292" t="s">
        <v>221</v>
      </c>
      <c r="D1292" t="s">
        <v>4487</v>
      </c>
      <c r="E1292" t="s">
        <v>14</v>
      </c>
      <c r="F1292" t="s">
        <v>15</v>
      </c>
      <c r="G1292">
        <v>28212</v>
      </c>
      <c r="H1292" t="s">
        <v>26</v>
      </c>
      <c r="I1292">
        <v>4</v>
      </c>
      <c r="J1292">
        <v>1</v>
      </c>
      <c r="K1292" t="s">
        <v>8935</v>
      </c>
    </row>
    <row r="1293" spans="1:11" x14ac:dyDescent="0.25">
      <c r="A1293" t="s">
        <v>4488</v>
      </c>
      <c r="B1293" t="s">
        <v>4489</v>
      </c>
      <c r="C1293" t="s">
        <v>4490</v>
      </c>
      <c r="D1293" t="s">
        <v>4491</v>
      </c>
      <c r="E1293" t="s">
        <v>14</v>
      </c>
      <c r="F1293" t="s">
        <v>15</v>
      </c>
      <c r="G1293">
        <v>28270</v>
      </c>
      <c r="H1293" t="s">
        <v>39</v>
      </c>
      <c r="I1293">
        <v>15</v>
      </c>
      <c r="J1293">
        <v>1</v>
      </c>
      <c r="K1293" t="s">
        <v>8935</v>
      </c>
    </row>
    <row r="1294" spans="1:11" x14ac:dyDescent="0.25">
      <c r="A1294" t="s">
        <v>4492</v>
      </c>
      <c r="B1294" t="s">
        <v>4493</v>
      </c>
      <c r="C1294" t="s">
        <v>4494</v>
      </c>
      <c r="D1294" t="s">
        <v>4495</v>
      </c>
      <c r="E1294" t="s">
        <v>14</v>
      </c>
      <c r="F1294" t="s">
        <v>15</v>
      </c>
      <c r="G1294">
        <v>28212</v>
      </c>
      <c r="H1294" t="s">
        <v>16</v>
      </c>
      <c r="I1294">
        <v>24</v>
      </c>
      <c r="J1294">
        <v>1</v>
      </c>
      <c r="K1294" t="s">
        <v>8935</v>
      </c>
    </row>
    <row r="1295" spans="1:11" x14ac:dyDescent="0.25">
      <c r="A1295" t="s">
        <v>4496</v>
      </c>
      <c r="B1295" t="s">
        <v>1273</v>
      </c>
      <c r="C1295" t="s">
        <v>364</v>
      </c>
      <c r="D1295" t="s">
        <v>4497</v>
      </c>
      <c r="E1295" t="s">
        <v>14</v>
      </c>
      <c r="F1295" t="s">
        <v>15</v>
      </c>
      <c r="G1295">
        <v>28226</v>
      </c>
      <c r="H1295" t="s">
        <v>16</v>
      </c>
      <c r="I1295">
        <v>5</v>
      </c>
      <c r="J1295">
        <v>1</v>
      </c>
      <c r="K1295" t="s">
        <v>8935</v>
      </c>
    </row>
    <row r="1296" spans="1:11" x14ac:dyDescent="0.25">
      <c r="A1296" t="s">
        <v>4498</v>
      </c>
      <c r="B1296" t="s">
        <v>4499</v>
      </c>
      <c r="C1296" t="s">
        <v>3837</v>
      </c>
      <c r="D1296" t="s">
        <v>4500</v>
      </c>
      <c r="E1296" t="s">
        <v>14</v>
      </c>
      <c r="F1296" t="s">
        <v>15</v>
      </c>
      <c r="G1296">
        <v>28202</v>
      </c>
      <c r="H1296" t="s">
        <v>101</v>
      </c>
      <c r="I1296">
        <v>179</v>
      </c>
      <c r="J1296">
        <v>1</v>
      </c>
      <c r="K1296" t="s">
        <v>8935</v>
      </c>
    </row>
    <row r="1297" spans="1:11" x14ac:dyDescent="0.25">
      <c r="A1297" t="s">
        <v>4501</v>
      </c>
      <c r="B1297" t="s">
        <v>4502</v>
      </c>
      <c r="C1297" t="s">
        <v>4503</v>
      </c>
      <c r="D1297" t="s">
        <v>4504</v>
      </c>
      <c r="E1297" t="s">
        <v>14</v>
      </c>
      <c r="F1297" t="s">
        <v>15</v>
      </c>
      <c r="G1297">
        <v>28205</v>
      </c>
      <c r="H1297" t="s">
        <v>26</v>
      </c>
      <c r="I1297">
        <v>9</v>
      </c>
      <c r="J1297">
        <v>1</v>
      </c>
      <c r="K1297" t="s">
        <v>8935</v>
      </c>
    </row>
    <row r="1298" spans="1:11" x14ac:dyDescent="0.25">
      <c r="A1298" t="s">
        <v>4505</v>
      </c>
      <c r="B1298" t="s">
        <v>3263</v>
      </c>
      <c r="C1298" t="s">
        <v>317</v>
      </c>
      <c r="D1298" t="s">
        <v>4506</v>
      </c>
      <c r="E1298" t="s">
        <v>14</v>
      </c>
      <c r="F1298" t="s">
        <v>15</v>
      </c>
      <c r="G1298">
        <v>28215</v>
      </c>
      <c r="H1298" t="s">
        <v>101</v>
      </c>
      <c r="I1298">
        <v>8</v>
      </c>
      <c r="J1298">
        <v>1</v>
      </c>
      <c r="K1298" t="s">
        <v>8921</v>
      </c>
    </row>
    <row r="1299" spans="1:11" x14ac:dyDescent="0.25">
      <c r="A1299" t="s">
        <v>4507</v>
      </c>
      <c r="B1299" t="s">
        <v>4508</v>
      </c>
      <c r="C1299" t="s">
        <v>1494</v>
      </c>
      <c r="D1299" t="s">
        <v>4509</v>
      </c>
      <c r="E1299" t="s">
        <v>14</v>
      </c>
      <c r="F1299" t="s">
        <v>15</v>
      </c>
      <c r="G1299">
        <v>28269</v>
      </c>
      <c r="H1299" t="s">
        <v>48</v>
      </c>
      <c r="I1299">
        <v>19</v>
      </c>
      <c r="J1299">
        <v>1</v>
      </c>
      <c r="K1299" t="s">
        <v>8935</v>
      </c>
    </row>
    <row r="1300" spans="1:11" x14ac:dyDescent="0.25">
      <c r="A1300" t="s">
        <v>4510</v>
      </c>
      <c r="B1300" t="s">
        <v>4511</v>
      </c>
      <c r="C1300" t="s">
        <v>46</v>
      </c>
      <c r="D1300" t="s">
        <v>4512</v>
      </c>
      <c r="E1300" t="s">
        <v>14</v>
      </c>
      <c r="F1300" t="s">
        <v>15</v>
      </c>
      <c r="G1300">
        <v>28227</v>
      </c>
      <c r="H1300" t="s">
        <v>101</v>
      </c>
      <c r="I1300">
        <v>59</v>
      </c>
      <c r="J1300">
        <v>1</v>
      </c>
      <c r="K1300" t="s">
        <v>8935</v>
      </c>
    </row>
    <row r="1301" spans="1:11" x14ac:dyDescent="0.25">
      <c r="A1301" t="s">
        <v>4513</v>
      </c>
      <c r="B1301" t="s">
        <v>279</v>
      </c>
      <c r="C1301" t="s">
        <v>4514</v>
      </c>
      <c r="D1301" t="s">
        <v>4515</v>
      </c>
      <c r="E1301" t="s">
        <v>14</v>
      </c>
      <c r="F1301" t="s">
        <v>15</v>
      </c>
      <c r="G1301">
        <v>28202</v>
      </c>
      <c r="H1301" t="s">
        <v>48</v>
      </c>
      <c r="I1301">
        <v>81</v>
      </c>
      <c r="J1301">
        <v>1</v>
      </c>
      <c r="K1301" t="s">
        <v>8926</v>
      </c>
    </row>
    <row r="1302" spans="1:11" x14ac:dyDescent="0.25">
      <c r="A1302" t="s">
        <v>4516</v>
      </c>
      <c r="B1302" t="s">
        <v>4517</v>
      </c>
      <c r="C1302" t="s">
        <v>4518</v>
      </c>
      <c r="D1302" t="s">
        <v>4519</v>
      </c>
      <c r="E1302" t="s">
        <v>14</v>
      </c>
      <c r="F1302" t="s">
        <v>15</v>
      </c>
      <c r="G1302">
        <v>28202</v>
      </c>
      <c r="H1302" t="s">
        <v>48</v>
      </c>
      <c r="I1302">
        <v>247</v>
      </c>
      <c r="J1302">
        <v>1</v>
      </c>
      <c r="K1302" t="s">
        <v>8935</v>
      </c>
    </row>
    <row r="1303" spans="1:11" x14ac:dyDescent="0.25">
      <c r="A1303" t="s">
        <v>4520</v>
      </c>
      <c r="B1303" t="s">
        <v>254</v>
      </c>
      <c r="C1303" t="s">
        <v>255</v>
      </c>
      <c r="D1303" t="s">
        <v>4521</v>
      </c>
      <c r="E1303" t="s">
        <v>14</v>
      </c>
      <c r="F1303" t="s">
        <v>15</v>
      </c>
      <c r="G1303">
        <v>28226</v>
      </c>
      <c r="H1303" t="s">
        <v>101</v>
      </c>
      <c r="I1303">
        <v>21</v>
      </c>
      <c r="J1303">
        <v>1</v>
      </c>
      <c r="K1303" t="s">
        <v>8935</v>
      </c>
    </row>
    <row r="1304" spans="1:11" x14ac:dyDescent="0.25">
      <c r="A1304" t="e">
        <f>-fX1N-Pg_kxa7KK6gCv8Ag</f>
        <v>#NAME?</v>
      </c>
      <c r="B1304" t="s">
        <v>312</v>
      </c>
      <c r="C1304" t="s">
        <v>880</v>
      </c>
      <c r="D1304" t="s">
        <v>681</v>
      </c>
      <c r="E1304" t="s">
        <v>14</v>
      </c>
      <c r="F1304" t="s">
        <v>15</v>
      </c>
      <c r="G1304">
        <v>28262</v>
      </c>
      <c r="H1304" t="s">
        <v>48</v>
      </c>
      <c r="I1304">
        <v>9</v>
      </c>
      <c r="J1304">
        <v>0</v>
      </c>
      <c r="K1304" t="s">
        <v>8925</v>
      </c>
    </row>
    <row r="1305" spans="1:11" x14ac:dyDescent="0.25">
      <c r="A1305" t="s">
        <v>4522</v>
      </c>
      <c r="B1305" t="s">
        <v>4523</v>
      </c>
      <c r="C1305" t="s">
        <v>3802</v>
      </c>
      <c r="D1305" t="s">
        <v>4524</v>
      </c>
      <c r="E1305" t="s">
        <v>14</v>
      </c>
      <c r="F1305" t="s">
        <v>15</v>
      </c>
      <c r="G1305">
        <v>28207</v>
      </c>
      <c r="H1305" t="s">
        <v>21</v>
      </c>
      <c r="I1305">
        <v>20</v>
      </c>
      <c r="J1305">
        <v>0</v>
      </c>
      <c r="K1305" t="s">
        <v>8935</v>
      </c>
    </row>
    <row r="1306" spans="1:11" x14ac:dyDescent="0.25">
      <c r="A1306" t="s">
        <v>4525</v>
      </c>
      <c r="B1306" t="s">
        <v>3026</v>
      </c>
      <c r="C1306" t="s">
        <v>4526</v>
      </c>
      <c r="D1306" t="s">
        <v>4527</v>
      </c>
      <c r="E1306" t="s">
        <v>14</v>
      </c>
      <c r="F1306" t="s">
        <v>15</v>
      </c>
      <c r="G1306">
        <v>28277</v>
      </c>
      <c r="H1306" t="s">
        <v>16</v>
      </c>
      <c r="I1306">
        <v>13</v>
      </c>
      <c r="J1306">
        <v>0</v>
      </c>
      <c r="K1306" t="s">
        <v>8920</v>
      </c>
    </row>
    <row r="1307" spans="1:11" x14ac:dyDescent="0.25">
      <c r="A1307" t="s">
        <v>4528</v>
      </c>
      <c r="B1307" t="s">
        <v>4529</v>
      </c>
      <c r="C1307" t="s">
        <v>4530</v>
      </c>
      <c r="D1307" t="s">
        <v>260</v>
      </c>
      <c r="E1307" t="s">
        <v>14</v>
      </c>
      <c r="F1307" t="s">
        <v>15</v>
      </c>
      <c r="G1307">
        <v>28215</v>
      </c>
      <c r="H1307" t="s">
        <v>16</v>
      </c>
      <c r="I1307">
        <v>36</v>
      </c>
      <c r="J1307">
        <v>1</v>
      </c>
      <c r="K1307" t="s">
        <v>8935</v>
      </c>
    </row>
    <row r="1308" spans="1:11" x14ac:dyDescent="0.25">
      <c r="A1308" t="s">
        <v>4531</v>
      </c>
      <c r="B1308" t="s">
        <v>4532</v>
      </c>
      <c r="C1308" t="s">
        <v>4533</v>
      </c>
      <c r="D1308" t="s">
        <v>4534</v>
      </c>
      <c r="E1308" t="s">
        <v>14</v>
      </c>
      <c r="F1308" t="s">
        <v>15</v>
      </c>
      <c r="G1308">
        <v>28205</v>
      </c>
      <c r="H1308" t="s">
        <v>16</v>
      </c>
      <c r="I1308">
        <v>79</v>
      </c>
      <c r="J1308">
        <v>1</v>
      </c>
      <c r="K1308" t="s">
        <v>8925</v>
      </c>
    </row>
    <row r="1309" spans="1:11" x14ac:dyDescent="0.25">
      <c r="A1309" t="s">
        <v>4535</v>
      </c>
      <c r="B1309" t="s">
        <v>4536</v>
      </c>
      <c r="C1309" t="s">
        <v>4537</v>
      </c>
      <c r="D1309" t="s">
        <v>4538</v>
      </c>
      <c r="E1309" t="s">
        <v>14</v>
      </c>
      <c r="F1309" t="s">
        <v>15</v>
      </c>
      <c r="G1309">
        <v>28278</v>
      </c>
      <c r="H1309" t="s">
        <v>48</v>
      </c>
      <c r="I1309">
        <v>3</v>
      </c>
      <c r="J1309">
        <v>1</v>
      </c>
      <c r="K1309" t="s">
        <v>8926</v>
      </c>
    </row>
    <row r="1310" spans="1:11" x14ac:dyDescent="0.25">
      <c r="A1310" t="s">
        <v>4539</v>
      </c>
      <c r="B1310" t="s">
        <v>4540</v>
      </c>
      <c r="C1310" t="s">
        <v>4541</v>
      </c>
      <c r="D1310" t="s">
        <v>4542</v>
      </c>
      <c r="E1310" t="s">
        <v>14</v>
      </c>
      <c r="F1310" t="s">
        <v>15</v>
      </c>
      <c r="G1310">
        <v>28202</v>
      </c>
      <c r="H1310" t="s">
        <v>26</v>
      </c>
      <c r="I1310">
        <v>40</v>
      </c>
      <c r="J1310">
        <v>1</v>
      </c>
      <c r="K1310" t="s">
        <v>8935</v>
      </c>
    </row>
    <row r="1311" spans="1:11" x14ac:dyDescent="0.25">
      <c r="A1311" t="s">
        <v>4543</v>
      </c>
      <c r="B1311" t="s">
        <v>4544</v>
      </c>
      <c r="C1311" t="s">
        <v>4545</v>
      </c>
      <c r="D1311" t="s">
        <v>334</v>
      </c>
      <c r="E1311" t="s">
        <v>14</v>
      </c>
      <c r="F1311" t="s">
        <v>15</v>
      </c>
      <c r="G1311">
        <v>28202</v>
      </c>
      <c r="H1311" t="s">
        <v>21</v>
      </c>
      <c r="I1311">
        <v>356</v>
      </c>
      <c r="J1311">
        <v>1</v>
      </c>
      <c r="K1311" t="s">
        <v>8921</v>
      </c>
    </row>
    <row r="1312" spans="1:11" x14ac:dyDescent="0.25">
      <c r="A1312" t="s">
        <v>4546</v>
      </c>
      <c r="B1312" t="s">
        <v>648</v>
      </c>
      <c r="C1312" t="s">
        <v>3219</v>
      </c>
      <c r="D1312" t="s">
        <v>4547</v>
      </c>
      <c r="E1312" t="s">
        <v>14</v>
      </c>
      <c r="F1312" t="s">
        <v>15</v>
      </c>
      <c r="G1312">
        <v>28202</v>
      </c>
      <c r="H1312" t="s">
        <v>21</v>
      </c>
      <c r="I1312">
        <v>50</v>
      </c>
      <c r="J1312">
        <v>1</v>
      </c>
      <c r="K1312" t="s">
        <v>8935</v>
      </c>
    </row>
    <row r="1313" spans="1:11" x14ac:dyDescent="0.25">
      <c r="A1313" t="s">
        <v>4548</v>
      </c>
      <c r="B1313" t="s">
        <v>4549</v>
      </c>
      <c r="C1313" t="s">
        <v>622</v>
      </c>
      <c r="D1313" t="s">
        <v>4550</v>
      </c>
      <c r="E1313" t="s">
        <v>14</v>
      </c>
      <c r="F1313" t="s">
        <v>15</v>
      </c>
      <c r="G1313">
        <v>28262</v>
      </c>
      <c r="H1313" t="s">
        <v>48</v>
      </c>
      <c r="I1313">
        <v>25</v>
      </c>
      <c r="J1313">
        <v>1</v>
      </c>
      <c r="K1313" t="s">
        <v>8935</v>
      </c>
    </row>
    <row r="1314" spans="1:11" x14ac:dyDescent="0.25">
      <c r="A1314" t="s">
        <v>4551</v>
      </c>
      <c r="B1314" t="s">
        <v>4552</v>
      </c>
      <c r="C1314" t="s">
        <v>4553</v>
      </c>
      <c r="D1314" t="s">
        <v>4554</v>
      </c>
      <c r="E1314" t="s">
        <v>14</v>
      </c>
      <c r="F1314" t="s">
        <v>15</v>
      </c>
      <c r="G1314">
        <v>28205</v>
      </c>
      <c r="H1314" t="s">
        <v>39</v>
      </c>
      <c r="I1314">
        <v>27</v>
      </c>
      <c r="J1314">
        <v>1</v>
      </c>
      <c r="K1314" t="s">
        <v>8932</v>
      </c>
    </row>
    <row r="1315" spans="1:11" x14ac:dyDescent="0.25">
      <c r="A1315" t="s">
        <v>4555</v>
      </c>
      <c r="B1315" t="s">
        <v>4556</v>
      </c>
      <c r="C1315" t="s">
        <v>4557</v>
      </c>
      <c r="D1315" t="s">
        <v>3878</v>
      </c>
      <c r="E1315" t="s">
        <v>14</v>
      </c>
      <c r="F1315" t="s">
        <v>15</v>
      </c>
      <c r="G1315">
        <v>28210</v>
      </c>
      <c r="H1315" t="s">
        <v>101</v>
      </c>
      <c r="I1315">
        <v>4</v>
      </c>
      <c r="J1315">
        <v>1</v>
      </c>
      <c r="K1315" t="s">
        <v>8921</v>
      </c>
    </row>
    <row r="1316" spans="1:11" x14ac:dyDescent="0.25">
      <c r="A1316" t="s">
        <v>4558</v>
      </c>
      <c r="B1316" t="s">
        <v>4559</v>
      </c>
      <c r="C1316" t="s">
        <v>4560</v>
      </c>
      <c r="D1316" t="s">
        <v>4561</v>
      </c>
      <c r="E1316" t="s">
        <v>14</v>
      </c>
      <c r="F1316" t="s">
        <v>15</v>
      </c>
      <c r="G1316">
        <v>28273</v>
      </c>
      <c r="H1316" t="s">
        <v>16</v>
      </c>
      <c r="I1316">
        <v>9</v>
      </c>
      <c r="J1316">
        <v>0</v>
      </c>
      <c r="K1316" t="s">
        <v>8935</v>
      </c>
    </row>
    <row r="1317" spans="1:11" x14ac:dyDescent="0.25">
      <c r="A1317" t="s">
        <v>4562</v>
      </c>
      <c r="B1317" t="s">
        <v>4563</v>
      </c>
      <c r="C1317" t="s">
        <v>4189</v>
      </c>
      <c r="D1317" t="s">
        <v>4564</v>
      </c>
      <c r="E1317" t="s">
        <v>14</v>
      </c>
      <c r="F1317" t="s">
        <v>15</v>
      </c>
      <c r="G1317">
        <v>28227</v>
      </c>
      <c r="H1317" t="s">
        <v>26</v>
      </c>
      <c r="I1317">
        <v>8</v>
      </c>
      <c r="J1317">
        <v>1</v>
      </c>
      <c r="K1317" t="s">
        <v>8935</v>
      </c>
    </row>
    <row r="1318" spans="1:11" x14ac:dyDescent="0.25">
      <c r="A1318" t="s">
        <v>4565</v>
      </c>
      <c r="B1318" t="s">
        <v>312</v>
      </c>
      <c r="C1318" t="s">
        <v>4566</v>
      </c>
      <c r="D1318" t="s">
        <v>1541</v>
      </c>
      <c r="E1318" t="s">
        <v>14</v>
      </c>
      <c r="F1318" t="s">
        <v>15</v>
      </c>
      <c r="G1318">
        <v>28226</v>
      </c>
      <c r="H1318" t="s">
        <v>21</v>
      </c>
      <c r="I1318">
        <v>19</v>
      </c>
      <c r="J1318">
        <v>0</v>
      </c>
      <c r="K1318" t="s">
        <v>8925</v>
      </c>
    </row>
    <row r="1319" spans="1:11" x14ac:dyDescent="0.25">
      <c r="A1319" t="s">
        <v>4567</v>
      </c>
      <c r="B1319" t="s">
        <v>4568</v>
      </c>
      <c r="C1319" t="s">
        <v>193</v>
      </c>
      <c r="D1319" t="s">
        <v>4569</v>
      </c>
      <c r="E1319" t="s">
        <v>14</v>
      </c>
      <c r="F1319" t="s">
        <v>15</v>
      </c>
      <c r="G1319">
        <v>28273</v>
      </c>
      <c r="H1319" t="s">
        <v>195</v>
      </c>
      <c r="I1319">
        <v>13</v>
      </c>
      <c r="J1319">
        <v>1</v>
      </c>
      <c r="K1319" t="s">
        <v>8935</v>
      </c>
    </row>
    <row r="1320" spans="1:11" x14ac:dyDescent="0.25">
      <c r="A1320" t="s">
        <v>4570</v>
      </c>
      <c r="B1320" t="s">
        <v>4571</v>
      </c>
      <c r="C1320" t="s">
        <v>4572</v>
      </c>
      <c r="D1320" t="s">
        <v>4573</v>
      </c>
      <c r="E1320" t="s">
        <v>14</v>
      </c>
      <c r="F1320" t="s">
        <v>15</v>
      </c>
      <c r="G1320">
        <v>28202</v>
      </c>
      <c r="H1320" t="s">
        <v>48</v>
      </c>
      <c r="I1320">
        <v>22</v>
      </c>
      <c r="J1320">
        <v>0</v>
      </c>
      <c r="K1320" t="s">
        <v>8935</v>
      </c>
    </row>
    <row r="1321" spans="1:11" x14ac:dyDescent="0.25">
      <c r="A1321" t="s">
        <v>4574</v>
      </c>
      <c r="B1321" t="s">
        <v>4575</v>
      </c>
      <c r="C1321" t="s">
        <v>4576</v>
      </c>
      <c r="D1321" t="s">
        <v>2627</v>
      </c>
      <c r="E1321" t="s">
        <v>14</v>
      </c>
      <c r="F1321" t="s">
        <v>15</v>
      </c>
      <c r="G1321">
        <v>28269</v>
      </c>
      <c r="H1321" t="s">
        <v>48</v>
      </c>
      <c r="I1321">
        <v>108</v>
      </c>
      <c r="J1321">
        <v>0</v>
      </c>
      <c r="K1321" t="s">
        <v>8935</v>
      </c>
    </row>
    <row r="1322" spans="1:11" x14ac:dyDescent="0.25">
      <c r="A1322" t="s">
        <v>4577</v>
      </c>
      <c r="B1322" t="s">
        <v>1620</v>
      </c>
      <c r="C1322" t="s">
        <v>364</v>
      </c>
      <c r="D1322" t="s">
        <v>4578</v>
      </c>
      <c r="E1322" t="s">
        <v>14</v>
      </c>
      <c r="F1322" t="s">
        <v>15</v>
      </c>
      <c r="G1322">
        <v>28215</v>
      </c>
      <c r="H1322" t="s">
        <v>101</v>
      </c>
      <c r="I1322">
        <v>7</v>
      </c>
      <c r="J1322">
        <v>1</v>
      </c>
      <c r="K1322" t="s">
        <v>8935</v>
      </c>
    </row>
    <row r="1323" spans="1:11" x14ac:dyDescent="0.25">
      <c r="A1323" t="s">
        <v>4579</v>
      </c>
      <c r="B1323" t="s">
        <v>4580</v>
      </c>
      <c r="C1323" t="s">
        <v>2907</v>
      </c>
      <c r="D1323" t="s">
        <v>4581</v>
      </c>
      <c r="E1323" t="s">
        <v>14</v>
      </c>
      <c r="F1323" t="s">
        <v>15</v>
      </c>
      <c r="G1323">
        <v>28273</v>
      </c>
      <c r="H1323" t="s">
        <v>101</v>
      </c>
      <c r="I1323">
        <v>53</v>
      </c>
      <c r="J1323">
        <v>1</v>
      </c>
      <c r="K1323" t="s">
        <v>8935</v>
      </c>
    </row>
    <row r="1324" spans="1:11" x14ac:dyDescent="0.25">
      <c r="A1324" t="s">
        <v>4582</v>
      </c>
      <c r="B1324" t="s">
        <v>4583</v>
      </c>
      <c r="C1324" t="s">
        <v>615</v>
      </c>
      <c r="D1324" t="s">
        <v>4357</v>
      </c>
      <c r="E1324" t="s">
        <v>14</v>
      </c>
      <c r="F1324" t="s">
        <v>15</v>
      </c>
      <c r="G1324">
        <v>28270</v>
      </c>
      <c r="H1324" t="s">
        <v>26</v>
      </c>
      <c r="I1324">
        <v>6</v>
      </c>
      <c r="J1324">
        <v>1</v>
      </c>
      <c r="K1324" t="s">
        <v>8922</v>
      </c>
    </row>
    <row r="1325" spans="1:11" x14ac:dyDescent="0.25">
      <c r="A1325" t="s">
        <v>4584</v>
      </c>
      <c r="B1325" t="s">
        <v>4585</v>
      </c>
      <c r="C1325" t="s">
        <v>4586</v>
      </c>
      <c r="D1325" t="s">
        <v>4587</v>
      </c>
      <c r="E1325" t="s">
        <v>14</v>
      </c>
      <c r="F1325" t="s">
        <v>15</v>
      </c>
      <c r="G1325">
        <v>28206</v>
      </c>
      <c r="H1325" t="s">
        <v>26</v>
      </c>
      <c r="I1325">
        <v>57</v>
      </c>
      <c r="J1325">
        <v>1</v>
      </c>
      <c r="K1325" t="s">
        <v>8925</v>
      </c>
    </row>
    <row r="1326" spans="1:11" x14ac:dyDescent="0.25">
      <c r="A1326" t="s">
        <v>4588</v>
      </c>
      <c r="B1326" t="s">
        <v>4589</v>
      </c>
      <c r="C1326" t="s">
        <v>1200</v>
      </c>
      <c r="D1326" t="s">
        <v>4590</v>
      </c>
      <c r="E1326" t="s">
        <v>14</v>
      </c>
      <c r="F1326" t="s">
        <v>15</v>
      </c>
      <c r="G1326">
        <v>28203</v>
      </c>
      <c r="H1326" t="s">
        <v>26</v>
      </c>
      <c r="I1326">
        <v>6</v>
      </c>
      <c r="J1326">
        <v>1</v>
      </c>
      <c r="K1326" t="s">
        <v>8935</v>
      </c>
    </row>
    <row r="1327" spans="1:11" x14ac:dyDescent="0.25">
      <c r="A1327" t="s">
        <v>4591</v>
      </c>
      <c r="B1327" t="s">
        <v>4592</v>
      </c>
      <c r="C1327" t="s">
        <v>321</v>
      </c>
      <c r="D1327" t="s">
        <v>4593</v>
      </c>
      <c r="E1327" t="s">
        <v>14</v>
      </c>
      <c r="F1327" t="s">
        <v>15</v>
      </c>
      <c r="G1327">
        <v>28209</v>
      </c>
      <c r="H1327" t="s">
        <v>195</v>
      </c>
      <c r="I1327">
        <v>42</v>
      </c>
      <c r="J1327">
        <v>1</v>
      </c>
      <c r="K1327" t="s">
        <v>8935</v>
      </c>
    </row>
    <row r="1328" spans="1:11" x14ac:dyDescent="0.25">
      <c r="A1328" t="s">
        <v>4594</v>
      </c>
      <c r="B1328" t="s">
        <v>4595</v>
      </c>
      <c r="C1328" t="s">
        <v>4596</v>
      </c>
      <c r="D1328" t="s">
        <v>4597</v>
      </c>
      <c r="E1328" t="s">
        <v>14</v>
      </c>
      <c r="F1328" t="s">
        <v>15</v>
      </c>
      <c r="G1328">
        <v>28214</v>
      </c>
      <c r="H1328" t="s">
        <v>16</v>
      </c>
      <c r="I1328">
        <v>5</v>
      </c>
      <c r="J1328">
        <v>1</v>
      </c>
      <c r="K1328" t="s">
        <v>8935</v>
      </c>
    </row>
    <row r="1329" spans="1:11" x14ac:dyDescent="0.25">
      <c r="A1329" t="s">
        <v>4598</v>
      </c>
      <c r="B1329" t="s">
        <v>4599</v>
      </c>
      <c r="C1329" t="s">
        <v>4600</v>
      </c>
      <c r="D1329" t="s">
        <v>4601</v>
      </c>
      <c r="E1329" t="s">
        <v>14</v>
      </c>
      <c r="F1329" t="s">
        <v>15</v>
      </c>
      <c r="G1329">
        <v>28277</v>
      </c>
      <c r="H1329" t="s">
        <v>21</v>
      </c>
      <c r="I1329">
        <v>41</v>
      </c>
      <c r="J1329">
        <v>0</v>
      </c>
      <c r="K1329" t="s">
        <v>8936</v>
      </c>
    </row>
    <row r="1330" spans="1:11" x14ac:dyDescent="0.25">
      <c r="A1330" t="s">
        <v>4602</v>
      </c>
      <c r="B1330" t="s">
        <v>4603</v>
      </c>
      <c r="C1330" t="s">
        <v>4604</v>
      </c>
      <c r="D1330" t="s">
        <v>4605</v>
      </c>
      <c r="E1330" t="s">
        <v>14</v>
      </c>
      <c r="F1330" t="s">
        <v>15</v>
      </c>
      <c r="G1330">
        <v>28202</v>
      </c>
      <c r="H1330" t="s">
        <v>26</v>
      </c>
      <c r="I1330">
        <v>200</v>
      </c>
      <c r="J1330">
        <v>1</v>
      </c>
      <c r="K1330" t="s">
        <v>8929</v>
      </c>
    </row>
    <row r="1331" spans="1:11" x14ac:dyDescent="0.25">
      <c r="A1331" t="s">
        <v>4606</v>
      </c>
      <c r="B1331" t="s">
        <v>4607</v>
      </c>
      <c r="C1331" t="s">
        <v>4608</v>
      </c>
      <c r="D1331" t="s">
        <v>4609</v>
      </c>
      <c r="E1331" t="s">
        <v>14</v>
      </c>
      <c r="F1331" t="s">
        <v>15</v>
      </c>
      <c r="G1331">
        <v>28202</v>
      </c>
      <c r="H1331" t="s">
        <v>21</v>
      </c>
      <c r="I1331">
        <v>894</v>
      </c>
      <c r="J1331">
        <v>1</v>
      </c>
      <c r="K1331" t="s">
        <v>8935</v>
      </c>
    </row>
    <row r="1332" spans="1:11" x14ac:dyDescent="0.25">
      <c r="A1332" t="s">
        <v>4610</v>
      </c>
      <c r="B1332" t="s">
        <v>86</v>
      </c>
      <c r="C1332" t="s">
        <v>4611</v>
      </c>
      <c r="D1332" t="s">
        <v>4612</v>
      </c>
      <c r="E1332" t="s">
        <v>14</v>
      </c>
      <c r="F1332" t="s">
        <v>15</v>
      </c>
      <c r="G1332">
        <v>28202</v>
      </c>
      <c r="H1332" t="s">
        <v>26</v>
      </c>
      <c r="I1332">
        <v>4</v>
      </c>
      <c r="J1332">
        <v>0</v>
      </c>
      <c r="K1332" t="s">
        <v>8935</v>
      </c>
    </row>
    <row r="1333" spans="1:11" x14ac:dyDescent="0.25">
      <c r="A1333" t="s">
        <v>4613</v>
      </c>
      <c r="B1333" t="s">
        <v>4614</v>
      </c>
      <c r="C1333" t="s">
        <v>4615</v>
      </c>
      <c r="E1333" t="s">
        <v>14</v>
      </c>
      <c r="F1333" t="s">
        <v>15</v>
      </c>
      <c r="G1333">
        <v>28262</v>
      </c>
      <c r="H1333" t="s">
        <v>16</v>
      </c>
      <c r="I1333">
        <v>3</v>
      </c>
      <c r="J1333">
        <v>0</v>
      </c>
      <c r="K1333" t="s">
        <v>8935</v>
      </c>
    </row>
    <row r="1334" spans="1:11" x14ac:dyDescent="0.25">
      <c r="A1334" t="s">
        <v>4616</v>
      </c>
      <c r="B1334" t="s">
        <v>4617</v>
      </c>
      <c r="C1334" t="s">
        <v>321</v>
      </c>
      <c r="D1334" t="s">
        <v>4618</v>
      </c>
      <c r="E1334" t="s">
        <v>14</v>
      </c>
      <c r="F1334" t="s">
        <v>15</v>
      </c>
      <c r="G1334">
        <v>28221</v>
      </c>
      <c r="H1334" t="s">
        <v>195</v>
      </c>
      <c r="I1334">
        <v>18</v>
      </c>
      <c r="J1334">
        <v>1</v>
      </c>
      <c r="K1334" t="s">
        <v>8935</v>
      </c>
    </row>
    <row r="1335" spans="1:11" x14ac:dyDescent="0.25">
      <c r="A1335" t="s">
        <v>4619</v>
      </c>
      <c r="B1335" t="s">
        <v>4620</v>
      </c>
      <c r="C1335" t="s">
        <v>4621</v>
      </c>
      <c r="D1335" t="s">
        <v>4622</v>
      </c>
      <c r="E1335" t="s">
        <v>14</v>
      </c>
      <c r="F1335" t="s">
        <v>15</v>
      </c>
      <c r="G1335">
        <v>28211</v>
      </c>
      <c r="H1335" t="s">
        <v>16</v>
      </c>
      <c r="I1335">
        <v>6</v>
      </c>
      <c r="J1335">
        <v>1</v>
      </c>
      <c r="K1335" t="s">
        <v>8935</v>
      </c>
    </row>
    <row r="1336" spans="1:11" x14ac:dyDescent="0.25">
      <c r="A1336" t="s">
        <v>4623</v>
      </c>
      <c r="B1336" t="s">
        <v>4624</v>
      </c>
      <c r="C1336" t="s">
        <v>4625</v>
      </c>
      <c r="D1336" t="s">
        <v>4626</v>
      </c>
      <c r="E1336" t="s">
        <v>14</v>
      </c>
      <c r="F1336" t="s">
        <v>15</v>
      </c>
      <c r="G1336">
        <v>28202</v>
      </c>
      <c r="H1336" t="s">
        <v>146</v>
      </c>
      <c r="I1336">
        <v>5</v>
      </c>
      <c r="J1336">
        <v>0</v>
      </c>
      <c r="K1336" t="s">
        <v>8935</v>
      </c>
    </row>
    <row r="1337" spans="1:11" x14ac:dyDescent="0.25">
      <c r="A1337" t="s">
        <v>4627</v>
      </c>
      <c r="B1337" t="s">
        <v>1273</v>
      </c>
      <c r="C1337" t="s">
        <v>364</v>
      </c>
      <c r="D1337" t="s">
        <v>4628</v>
      </c>
      <c r="E1337" t="s">
        <v>14</v>
      </c>
      <c r="F1337" t="s">
        <v>15</v>
      </c>
      <c r="G1337">
        <v>28277</v>
      </c>
      <c r="H1337" t="s">
        <v>26</v>
      </c>
      <c r="I1337">
        <v>5</v>
      </c>
      <c r="J1337">
        <v>0</v>
      </c>
      <c r="K1337" t="s">
        <v>8935</v>
      </c>
    </row>
    <row r="1338" spans="1:11" x14ac:dyDescent="0.25">
      <c r="A1338" t="s">
        <v>4629</v>
      </c>
      <c r="B1338" t="s">
        <v>176</v>
      </c>
      <c r="C1338" t="s">
        <v>317</v>
      </c>
      <c r="D1338" t="s">
        <v>4630</v>
      </c>
      <c r="E1338" t="s">
        <v>14</v>
      </c>
      <c r="F1338" t="s">
        <v>15</v>
      </c>
      <c r="G1338">
        <v>28262</v>
      </c>
      <c r="H1338" t="s">
        <v>195</v>
      </c>
      <c r="I1338">
        <v>15</v>
      </c>
      <c r="J1338">
        <v>1</v>
      </c>
      <c r="K1338" t="s">
        <v>8935</v>
      </c>
    </row>
    <row r="1339" spans="1:11" x14ac:dyDescent="0.25">
      <c r="A1339" t="s">
        <v>4631</v>
      </c>
      <c r="B1339" t="s">
        <v>391</v>
      </c>
      <c r="C1339" t="s">
        <v>364</v>
      </c>
      <c r="D1339" t="s">
        <v>4632</v>
      </c>
      <c r="E1339" t="s">
        <v>14</v>
      </c>
      <c r="F1339" t="s">
        <v>15</v>
      </c>
      <c r="G1339">
        <v>28273</v>
      </c>
      <c r="H1339" t="s">
        <v>101</v>
      </c>
      <c r="I1339">
        <v>10</v>
      </c>
      <c r="J1339">
        <v>1</v>
      </c>
      <c r="K1339" t="s">
        <v>8935</v>
      </c>
    </row>
    <row r="1340" spans="1:11" x14ac:dyDescent="0.25">
      <c r="A1340" t="s">
        <v>4633</v>
      </c>
      <c r="B1340" t="s">
        <v>4634</v>
      </c>
      <c r="C1340" t="s">
        <v>4635</v>
      </c>
      <c r="D1340" t="s">
        <v>4636</v>
      </c>
      <c r="E1340" t="s">
        <v>14</v>
      </c>
      <c r="F1340" t="s">
        <v>15</v>
      </c>
      <c r="G1340">
        <v>28209</v>
      </c>
      <c r="H1340" t="s">
        <v>21</v>
      </c>
      <c r="I1340">
        <v>73</v>
      </c>
      <c r="J1340">
        <v>1</v>
      </c>
      <c r="K1340" t="s">
        <v>8935</v>
      </c>
    </row>
    <row r="1341" spans="1:11" x14ac:dyDescent="0.25">
      <c r="A1341" t="s">
        <v>4637</v>
      </c>
      <c r="B1341" t="s">
        <v>4638</v>
      </c>
      <c r="C1341" t="s">
        <v>4639</v>
      </c>
      <c r="D1341" t="s">
        <v>4640</v>
      </c>
      <c r="E1341" t="s">
        <v>14</v>
      </c>
      <c r="F1341" t="s">
        <v>15</v>
      </c>
      <c r="G1341">
        <v>28280</v>
      </c>
      <c r="H1341" t="s">
        <v>21</v>
      </c>
      <c r="I1341">
        <v>15</v>
      </c>
      <c r="J1341">
        <v>1</v>
      </c>
      <c r="K1341" t="s">
        <v>8935</v>
      </c>
    </row>
    <row r="1342" spans="1:11" x14ac:dyDescent="0.25">
      <c r="A1342" t="s">
        <v>4641</v>
      </c>
      <c r="B1342" t="s">
        <v>4642</v>
      </c>
      <c r="C1342" t="s">
        <v>4643</v>
      </c>
      <c r="D1342" t="s">
        <v>554</v>
      </c>
      <c r="E1342" t="s">
        <v>14</v>
      </c>
      <c r="F1342" t="s">
        <v>15</v>
      </c>
      <c r="G1342">
        <v>28262</v>
      </c>
      <c r="H1342" t="s">
        <v>21</v>
      </c>
      <c r="I1342">
        <v>5</v>
      </c>
      <c r="J1342">
        <v>0</v>
      </c>
      <c r="K1342" t="s">
        <v>8921</v>
      </c>
    </row>
    <row r="1343" spans="1:11" x14ac:dyDescent="0.25">
      <c r="A1343" t="s">
        <v>4644</v>
      </c>
      <c r="B1343" t="s">
        <v>4645</v>
      </c>
      <c r="C1343" t="s">
        <v>1608</v>
      </c>
      <c r="D1343" t="s">
        <v>4646</v>
      </c>
      <c r="E1343" t="s">
        <v>14</v>
      </c>
      <c r="F1343" t="s">
        <v>15</v>
      </c>
      <c r="G1343">
        <v>28215</v>
      </c>
      <c r="H1343" t="s">
        <v>265</v>
      </c>
      <c r="I1343">
        <v>17</v>
      </c>
      <c r="J1343">
        <v>1</v>
      </c>
      <c r="K1343" t="s">
        <v>8921</v>
      </c>
    </row>
    <row r="1344" spans="1:11" x14ac:dyDescent="0.25">
      <c r="A1344" t="s">
        <v>4647</v>
      </c>
      <c r="B1344" t="s">
        <v>4648</v>
      </c>
      <c r="C1344" t="s">
        <v>4649</v>
      </c>
      <c r="D1344" t="s">
        <v>4650</v>
      </c>
      <c r="E1344" t="s">
        <v>14</v>
      </c>
      <c r="F1344" t="s">
        <v>15</v>
      </c>
      <c r="G1344">
        <v>28213</v>
      </c>
      <c r="H1344" t="s">
        <v>21</v>
      </c>
      <c r="I1344">
        <v>85</v>
      </c>
      <c r="J1344">
        <v>1</v>
      </c>
      <c r="K1344" t="s">
        <v>8925</v>
      </c>
    </row>
    <row r="1345" spans="1:11" x14ac:dyDescent="0.25">
      <c r="A1345" t="s">
        <v>4651</v>
      </c>
      <c r="B1345" t="s">
        <v>4652</v>
      </c>
      <c r="C1345" t="s">
        <v>4653</v>
      </c>
      <c r="D1345" t="s">
        <v>4654</v>
      </c>
      <c r="E1345" t="s">
        <v>14</v>
      </c>
      <c r="F1345" t="s">
        <v>15</v>
      </c>
      <c r="G1345">
        <v>28227</v>
      </c>
      <c r="H1345" t="s">
        <v>16</v>
      </c>
      <c r="I1345">
        <v>7</v>
      </c>
      <c r="J1345">
        <v>0</v>
      </c>
      <c r="K1345" t="s">
        <v>8936</v>
      </c>
    </row>
    <row r="1346" spans="1:11" x14ac:dyDescent="0.25">
      <c r="A1346" t="s">
        <v>4655</v>
      </c>
      <c r="B1346" t="s">
        <v>4656</v>
      </c>
      <c r="C1346" t="s">
        <v>745</v>
      </c>
      <c r="D1346" t="s">
        <v>4657</v>
      </c>
      <c r="E1346" t="s">
        <v>14</v>
      </c>
      <c r="F1346" t="s">
        <v>15</v>
      </c>
      <c r="G1346">
        <v>28217</v>
      </c>
      <c r="H1346" t="s">
        <v>39</v>
      </c>
      <c r="I1346">
        <v>233</v>
      </c>
      <c r="J1346">
        <v>1</v>
      </c>
      <c r="K1346" t="s">
        <v>8927</v>
      </c>
    </row>
    <row r="1347" spans="1:11" x14ac:dyDescent="0.25">
      <c r="A1347" t="s">
        <v>4658</v>
      </c>
      <c r="B1347" t="s">
        <v>402</v>
      </c>
      <c r="C1347" t="s">
        <v>4659</v>
      </c>
      <c r="D1347" t="s">
        <v>4660</v>
      </c>
      <c r="E1347" t="s">
        <v>14</v>
      </c>
      <c r="F1347" t="s">
        <v>15</v>
      </c>
      <c r="G1347">
        <v>28203</v>
      </c>
      <c r="H1347" t="s">
        <v>26</v>
      </c>
      <c r="I1347">
        <v>4</v>
      </c>
      <c r="J1347">
        <v>0</v>
      </c>
      <c r="K1347" t="s">
        <v>8935</v>
      </c>
    </row>
    <row r="1348" spans="1:11" x14ac:dyDescent="0.25">
      <c r="A1348" t="s">
        <v>4661</v>
      </c>
      <c r="B1348" t="s">
        <v>103</v>
      </c>
      <c r="C1348" t="s">
        <v>4662</v>
      </c>
      <c r="D1348" t="s">
        <v>4663</v>
      </c>
      <c r="E1348" t="s">
        <v>14</v>
      </c>
      <c r="F1348" t="s">
        <v>15</v>
      </c>
      <c r="G1348">
        <v>28205</v>
      </c>
      <c r="H1348" t="s">
        <v>21</v>
      </c>
      <c r="I1348">
        <v>3</v>
      </c>
      <c r="J1348">
        <v>0</v>
      </c>
      <c r="K1348" t="s">
        <v>8921</v>
      </c>
    </row>
    <row r="1349" spans="1:11" x14ac:dyDescent="0.25">
      <c r="A1349" t="s">
        <v>4664</v>
      </c>
      <c r="B1349" t="s">
        <v>4665</v>
      </c>
      <c r="C1349" t="s">
        <v>638</v>
      </c>
      <c r="D1349" t="s">
        <v>4666</v>
      </c>
      <c r="E1349" t="s">
        <v>14</v>
      </c>
      <c r="F1349" t="s">
        <v>15</v>
      </c>
      <c r="G1349">
        <v>28277</v>
      </c>
      <c r="H1349" t="s">
        <v>48</v>
      </c>
      <c r="I1349">
        <v>77</v>
      </c>
      <c r="J1349">
        <v>1</v>
      </c>
      <c r="K1349" t="s">
        <v>8935</v>
      </c>
    </row>
    <row r="1350" spans="1:11" x14ac:dyDescent="0.25">
      <c r="A1350" t="s">
        <v>4667</v>
      </c>
      <c r="B1350" t="s">
        <v>4668</v>
      </c>
      <c r="C1350" t="s">
        <v>4669</v>
      </c>
      <c r="D1350" t="s">
        <v>4670</v>
      </c>
      <c r="E1350" t="s">
        <v>14</v>
      </c>
      <c r="F1350" t="s">
        <v>15</v>
      </c>
      <c r="G1350">
        <v>28226</v>
      </c>
      <c r="H1350" t="s">
        <v>16</v>
      </c>
      <c r="I1350">
        <v>93</v>
      </c>
      <c r="J1350">
        <v>1</v>
      </c>
      <c r="K1350" t="s">
        <v>8936</v>
      </c>
    </row>
    <row r="1351" spans="1:11" x14ac:dyDescent="0.25">
      <c r="A1351" t="s">
        <v>4671</v>
      </c>
      <c r="B1351" t="s">
        <v>4672</v>
      </c>
      <c r="C1351" t="s">
        <v>4673</v>
      </c>
      <c r="D1351" t="s">
        <v>1074</v>
      </c>
      <c r="E1351" t="s">
        <v>14</v>
      </c>
      <c r="F1351" t="s">
        <v>15</v>
      </c>
      <c r="G1351">
        <v>28208</v>
      </c>
      <c r="H1351" t="s">
        <v>39</v>
      </c>
      <c r="I1351">
        <v>106</v>
      </c>
      <c r="J1351">
        <v>1</v>
      </c>
      <c r="K1351" t="s">
        <v>8935</v>
      </c>
    </row>
    <row r="1352" spans="1:11" x14ac:dyDescent="0.25">
      <c r="A1352" t="s">
        <v>4674</v>
      </c>
      <c r="B1352" t="s">
        <v>279</v>
      </c>
      <c r="C1352" t="s">
        <v>1615</v>
      </c>
      <c r="D1352" t="s">
        <v>4675</v>
      </c>
      <c r="E1352" t="s">
        <v>14</v>
      </c>
      <c r="F1352" t="s">
        <v>15</v>
      </c>
      <c r="G1352">
        <v>28204</v>
      </c>
      <c r="H1352" t="s">
        <v>16</v>
      </c>
      <c r="I1352">
        <v>40</v>
      </c>
      <c r="J1352">
        <v>0</v>
      </c>
      <c r="K1352" t="s">
        <v>8926</v>
      </c>
    </row>
    <row r="1353" spans="1:11" x14ac:dyDescent="0.25">
      <c r="A1353" t="s">
        <v>4676</v>
      </c>
      <c r="B1353" t="s">
        <v>4677</v>
      </c>
      <c r="C1353" t="s">
        <v>2847</v>
      </c>
      <c r="D1353" t="s">
        <v>4678</v>
      </c>
      <c r="E1353" t="s">
        <v>14</v>
      </c>
      <c r="F1353" t="s">
        <v>15</v>
      </c>
      <c r="G1353">
        <v>28262</v>
      </c>
      <c r="H1353" t="s">
        <v>21</v>
      </c>
      <c r="I1353">
        <v>83</v>
      </c>
      <c r="J1353">
        <v>1</v>
      </c>
      <c r="K1353" t="s">
        <v>8935</v>
      </c>
    </row>
    <row r="1354" spans="1:11" x14ac:dyDescent="0.25">
      <c r="A1354" t="s">
        <v>4679</v>
      </c>
      <c r="B1354" t="s">
        <v>4680</v>
      </c>
      <c r="C1354" t="s">
        <v>4681</v>
      </c>
      <c r="D1354" t="s">
        <v>1241</v>
      </c>
      <c r="E1354" t="s">
        <v>14</v>
      </c>
      <c r="F1354" t="s">
        <v>15</v>
      </c>
      <c r="G1354">
        <v>28208</v>
      </c>
      <c r="H1354" t="s">
        <v>26</v>
      </c>
      <c r="I1354">
        <v>10</v>
      </c>
      <c r="J1354">
        <v>1</v>
      </c>
      <c r="K1354" t="s">
        <v>8935</v>
      </c>
    </row>
    <row r="1355" spans="1:11" x14ac:dyDescent="0.25">
      <c r="A1355" t="s">
        <v>4682</v>
      </c>
      <c r="B1355" t="s">
        <v>4683</v>
      </c>
      <c r="C1355" t="s">
        <v>735</v>
      </c>
      <c r="D1355" t="s">
        <v>4684</v>
      </c>
      <c r="E1355" t="s">
        <v>14</v>
      </c>
      <c r="F1355" t="s">
        <v>15</v>
      </c>
      <c r="G1355">
        <v>28209</v>
      </c>
      <c r="H1355" t="s">
        <v>26</v>
      </c>
      <c r="I1355">
        <v>53</v>
      </c>
      <c r="J1355">
        <v>1</v>
      </c>
      <c r="K1355" t="s">
        <v>8935</v>
      </c>
    </row>
    <row r="1356" spans="1:11" x14ac:dyDescent="0.25">
      <c r="A1356" t="s">
        <v>4685</v>
      </c>
      <c r="B1356" t="s">
        <v>4686</v>
      </c>
      <c r="C1356" t="s">
        <v>4687</v>
      </c>
      <c r="D1356" t="s">
        <v>4688</v>
      </c>
      <c r="E1356" t="s">
        <v>14</v>
      </c>
      <c r="F1356" t="s">
        <v>15</v>
      </c>
      <c r="G1356">
        <v>28212</v>
      </c>
      <c r="H1356" t="s">
        <v>146</v>
      </c>
      <c r="I1356">
        <v>3</v>
      </c>
      <c r="J1356">
        <v>1</v>
      </c>
      <c r="K1356" t="s">
        <v>8931</v>
      </c>
    </row>
    <row r="1357" spans="1:11" x14ac:dyDescent="0.25">
      <c r="A1357" t="s">
        <v>4689</v>
      </c>
      <c r="B1357" t="s">
        <v>4690</v>
      </c>
      <c r="C1357" t="s">
        <v>4691</v>
      </c>
      <c r="D1357" t="s">
        <v>4692</v>
      </c>
      <c r="E1357" t="s">
        <v>14</v>
      </c>
      <c r="F1357" t="s">
        <v>15</v>
      </c>
      <c r="G1357">
        <v>28208</v>
      </c>
      <c r="H1357" t="s">
        <v>48</v>
      </c>
      <c r="I1357">
        <v>23</v>
      </c>
      <c r="J1357">
        <v>1</v>
      </c>
      <c r="K1357" t="s">
        <v>8921</v>
      </c>
    </row>
    <row r="1358" spans="1:11" x14ac:dyDescent="0.25">
      <c r="A1358" t="s">
        <v>4693</v>
      </c>
      <c r="B1358" t="s">
        <v>1004</v>
      </c>
      <c r="C1358" t="s">
        <v>4694</v>
      </c>
      <c r="D1358" t="s">
        <v>1756</v>
      </c>
      <c r="E1358" t="s">
        <v>14</v>
      </c>
      <c r="F1358" t="s">
        <v>15</v>
      </c>
      <c r="G1358">
        <v>28205</v>
      </c>
      <c r="H1358" t="s">
        <v>26</v>
      </c>
      <c r="I1358">
        <v>8</v>
      </c>
      <c r="J1358">
        <v>0</v>
      </c>
      <c r="K1358" t="s">
        <v>8935</v>
      </c>
    </row>
    <row r="1359" spans="1:11" x14ac:dyDescent="0.25">
      <c r="A1359" t="s">
        <v>4695</v>
      </c>
      <c r="B1359" t="s">
        <v>811</v>
      </c>
      <c r="C1359" t="s">
        <v>4696</v>
      </c>
      <c r="D1359" t="s">
        <v>4697</v>
      </c>
      <c r="E1359" t="s">
        <v>14</v>
      </c>
      <c r="F1359" t="s">
        <v>15</v>
      </c>
      <c r="G1359">
        <v>28227</v>
      </c>
      <c r="H1359" t="s">
        <v>39</v>
      </c>
      <c r="I1359">
        <v>27</v>
      </c>
      <c r="J1359">
        <v>1</v>
      </c>
      <c r="K1359" t="s">
        <v>8925</v>
      </c>
    </row>
    <row r="1360" spans="1:11" x14ac:dyDescent="0.25">
      <c r="A1360" t="s">
        <v>4698</v>
      </c>
      <c r="B1360" t="s">
        <v>4699</v>
      </c>
      <c r="C1360" t="s">
        <v>4010</v>
      </c>
      <c r="D1360" t="s">
        <v>4700</v>
      </c>
      <c r="E1360" t="s">
        <v>14</v>
      </c>
      <c r="F1360" t="s">
        <v>15</v>
      </c>
      <c r="G1360">
        <v>28209</v>
      </c>
      <c r="H1360" t="s">
        <v>26</v>
      </c>
      <c r="I1360">
        <v>27</v>
      </c>
      <c r="J1360">
        <v>1</v>
      </c>
      <c r="K1360" t="s">
        <v>8925</v>
      </c>
    </row>
    <row r="1361" spans="1:11" x14ac:dyDescent="0.25">
      <c r="A1361" t="s">
        <v>4701</v>
      </c>
      <c r="B1361" t="s">
        <v>4702</v>
      </c>
      <c r="C1361" t="s">
        <v>4703</v>
      </c>
      <c r="D1361" t="s">
        <v>4704</v>
      </c>
      <c r="E1361" t="s">
        <v>14</v>
      </c>
      <c r="F1361" t="s">
        <v>15</v>
      </c>
      <c r="G1361">
        <v>28209</v>
      </c>
      <c r="H1361" t="s">
        <v>21</v>
      </c>
      <c r="I1361">
        <v>36</v>
      </c>
      <c r="J1361">
        <v>0</v>
      </c>
      <c r="K1361" t="s">
        <v>8921</v>
      </c>
    </row>
    <row r="1362" spans="1:11" x14ac:dyDescent="0.25">
      <c r="A1362" t="s">
        <v>4705</v>
      </c>
      <c r="B1362" t="s">
        <v>4706</v>
      </c>
      <c r="C1362" t="s">
        <v>4707</v>
      </c>
      <c r="D1362" t="s">
        <v>4708</v>
      </c>
      <c r="E1362" t="s">
        <v>14</v>
      </c>
      <c r="F1362" t="s">
        <v>15</v>
      </c>
      <c r="G1362">
        <v>28217</v>
      </c>
      <c r="H1362" t="s">
        <v>21</v>
      </c>
      <c r="I1362">
        <v>25</v>
      </c>
      <c r="J1362">
        <v>1</v>
      </c>
      <c r="K1362" t="s">
        <v>8930</v>
      </c>
    </row>
    <row r="1363" spans="1:11" x14ac:dyDescent="0.25">
      <c r="A1363" t="s">
        <v>4709</v>
      </c>
      <c r="B1363" t="s">
        <v>4710</v>
      </c>
      <c r="C1363" t="s">
        <v>4711</v>
      </c>
      <c r="D1363" t="s">
        <v>4712</v>
      </c>
      <c r="E1363" t="s">
        <v>14</v>
      </c>
      <c r="F1363" t="s">
        <v>15</v>
      </c>
      <c r="G1363">
        <v>28262</v>
      </c>
      <c r="H1363" t="s">
        <v>21</v>
      </c>
      <c r="I1363">
        <v>91</v>
      </c>
      <c r="J1363">
        <v>1</v>
      </c>
      <c r="K1363" t="s">
        <v>8926</v>
      </c>
    </row>
    <row r="1364" spans="1:11" x14ac:dyDescent="0.25">
      <c r="A1364" t="s">
        <v>4713</v>
      </c>
      <c r="B1364" t="s">
        <v>1436</v>
      </c>
      <c r="C1364" t="s">
        <v>4714</v>
      </c>
      <c r="D1364" t="s">
        <v>4715</v>
      </c>
      <c r="E1364" t="s">
        <v>14</v>
      </c>
      <c r="F1364" t="s">
        <v>15</v>
      </c>
      <c r="G1364">
        <v>28216</v>
      </c>
      <c r="H1364" t="s">
        <v>39</v>
      </c>
      <c r="I1364">
        <v>23</v>
      </c>
      <c r="J1364">
        <v>0</v>
      </c>
      <c r="K1364" t="s">
        <v>8935</v>
      </c>
    </row>
    <row r="1365" spans="1:11" x14ac:dyDescent="0.25">
      <c r="A1365" t="s">
        <v>4716</v>
      </c>
      <c r="B1365" t="s">
        <v>668</v>
      </c>
      <c r="C1365" t="s">
        <v>4717</v>
      </c>
      <c r="D1365" t="s">
        <v>4718</v>
      </c>
      <c r="E1365" t="s">
        <v>14</v>
      </c>
      <c r="F1365" t="s">
        <v>15</v>
      </c>
      <c r="G1365">
        <v>28269</v>
      </c>
      <c r="H1365" t="s">
        <v>16</v>
      </c>
      <c r="I1365">
        <v>7</v>
      </c>
      <c r="J1365">
        <v>0</v>
      </c>
      <c r="K1365" t="s">
        <v>8920</v>
      </c>
    </row>
    <row r="1366" spans="1:11" x14ac:dyDescent="0.25">
      <c r="A1366" t="s">
        <v>4719</v>
      </c>
      <c r="B1366" t="s">
        <v>4720</v>
      </c>
      <c r="C1366" t="s">
        <v>1608</v>
      </c>
      <c r="D1366" t="s">
        <v>4721</v>
      </c>
      <c r="E1366" t="s">
        <v>14</v>
      </c>
      <c r="F1366" t="s">
        <v>15</v>
      </c>
      <c r="G1366">
        <v>28212</v>
      </c>
      <c r="H1366" t="s">
        <v>195</v>
      </c>
      <c r="I1366">
        <v>18</v>
      </c>
      <c r="J1366">
        <v>1</v>
      </c>
      <c r="K1366" t="s">
        <v>8921</v>
      </c>
    </row>
    <row r="1367" spans="1:11" x14ac:dyDescent="0.25">
      <c r="A1367" t="s">
        <v>4722</v>
      </c>
      <c r="B1367" t="s">
        <v>1161</v>
      </c>
      <c r="C1367" t="s">
        <v>221</v>
      </c>
      <c r="D1367" t="s">
        <v>4723</v>
      </c>
      <c r="E1367" t="s">
        <v>14</v>
      </c>
      <c r="F1367" t="s">
        <v>15</v>
      </c>
      <c r="G1367">
        <v>28213</v>
      </c>
      <c r="H1367" t="s">
        <v>195</v>
      </c>
      <c r="I1367">
        <v>20</v>
      </c>
      <c r="J1367">
        <v>1</v>
      </c>
      <c r="K1367" t="s">
        <v>8935</v>
      </c>
    </row>
    <row r="1368" spans="1:11" x14ac:dyDescent="0.25">
      <c r="A1368" t="s">
        <v>4724</v>
      </c>
      <c r="B1368" t="s">
        <v>4725</v>
      </c>
      <c r="C1368" t="s">
        <v>4726</v>
      </c>
      <c r="E1368" t="s">
        <v>14</v>
      </c>
      <c r="F1368" t="s">
        <v>15</v>
      </c>
      <c r="G1368">
        <v>28210</v>
      </c>
      <c r="H1368" t="s">
        <v>48</v>
      </c>
      <c r="I1368">
        <v>4</v>
      </c>
      <c r="J1368">
        <v>0</v>
      </c>
      <c r="K1368" t="s">
        <v>8935</v>
      </c>
    </row>
    <row r="1369" spans="1:11" x14ac:dyDescent="0.25">
      <c r="A1369" t="s">
        <v>4727</v>
      </c>
      <c r="B1369" t="s">
        <v>4728</v>
      </c>
      <c r="C1369" t="s">
        <v>4729</v>
      </c>
      <c r="D1369" t="s">
        <v>954</v>
      </c>
      <c r="E1369" t="s">
        <v>14</v>
      </c>
      <c r="F1369" t="s">
        <v>15</v>
      </c>
      <c r="G1369">
        <v>28202</v>
      </c>
      <c r="H1369" t="s">
        <v>26</v>
      </c>
      <c r="I1369">
        <v>84</v>
      </c>
      <c r="J1369">
        <v>1</v>
      </c>
      <c r="K1369" t="s">
        <v>8925</v>
      </c>
    </row>
    <row r="1370" spans="1:11" x14ac:dyDescent="0.25">
      <c r="A1370" t="s">
        <v>4730</v>
      </c>
      <c r="B1370" t="s">
        <v>1690</v>
      </c>
      <c r="C1370" t="s">
        <v>1691</v>
      </c>
      <c r="D1370" t="s">
        <v>4731</v>
      </c>
      <c r="E1370" t="s">
        <v>14</v>
      </c>
      <c r="F1370" t="s">
        <v>15</v>
      </c>
      <c r="G1370">
        <v>28277</v>
      </c>
      <c r="H1370" t="s">
        <v>21</v>
      </c>
      <c r="I1370">
        <v>127</v>
      </c>
      <c r="J1370">
        <v>1</v>
      </c>
      <c r="K1370" t="s">
        <v>8921</v>
      </c>
    </row>
    <row r="1371" spans="1:11" x14ac:dyDescent="0.25">
      <c r="A1371" t="s">
        <v>4732</v>
      </c>
      <c r="B1371" t="s">
        <v>4733</v>
      </c>
      <c r="C1371" t="s">
        <v>4734</v>
      </c>
      <c r="D1371" t="s">
        <v>4735</v>
      </c>
      <c r="E1371" t="s">
        <v>14</v>
      </c>
      <c r="F1371" t="s">
        <v>15</v>
      </c>
      <c r="G1371">
        <v>28217</v>
      </c>
      <c r="H1371" t="s">
        <v>16</v>
      </c>
      <c r="I1371">
        <v>221</v>
      </c>
      <c r="J1371">
        <v>1</v>
      </c>
      <c r="K1371" t="s">
        <v>8925</v>
      </c>
    </row>
    <row r="1372" spans="1:11" x14ac:dyDescent="0.25">
      <c r="A1372" t="s">
        <v>4736</v>
      </c>
      <c r="B1372" t="s">
        <v>139</v>
      </c>
      <c r="C1372" t="s">
        <v>4737</v>
      </c>
      <c r="D1372" t="s">
        <v>4738</v>
      </c>
      <c r="E1372" t="s">
        <v>14</v>
      </c>
      <c r="F1372" t="s">
        <v>15</v>
      </c>
      <c r="G1372">
        <v>28215</v>
      </c>
      <c r="H1372" t="s">
        <v>48</v>
      </c>
      <c r="I1372">
        <v>5</v>
      </c>
      <c r="J1372">
        <v>1</v>
      </c>
      <c r="K1372" t="s">
        <v>8926</v>
      </c>
    </row>
    <row r="1373" spans="1:11" x14ac:dyDescent="0.25">
      <c r="A1373" t="s">
        <v>4739</v>
      </c>
      <c r="B1373" t="s">
        <v>4740</v>
      </c>
      <c r="C1373" t="s">
        <v>4741</v>
      </c>
      <c r="D1373" t="s">
        <v>141</v>
      </c>
      <c r="E1373" t="s">
        <v>14</v>
      </c>
      <c r="F1373" t="s">
        <v>15</v>
      </c>
      <c r="G1373">
        <v>28277</v>
      </c>
      <c r="H1373" t="s">
        <v>16</v>
      </c>
      <c r="I1373">
        <v>248</v>
      </c>
      <c r="J1373">
        <v>1</v>
      </c>
      <c r="K1373" t="s">
        <v>8921</v>
      </c>
    </row>
    <row r="1374" spans="1:11" x14ac:dyDescent="0.25">
      <c r="A1374" t="s">
        <v>4742</v>
      </c>
      <c r="B1374" t="s">
        <v>4743</v>
      </c>
      <c r="C1374" t="s">
        <v>4744</v>
      </c>
      <c r="D1374" t="s">
        <v>4745</v>
      </c>
      <c r="E1374" t="s">
        <v>14</v>
      </c>
      <c r="F1374" t="s">
        <v>15</v>
      </c>
      <c r="G1374">
        <v>28216</v>
      </c>
      <c r="H1374" t="s">
        <v>48</v>
      </c>
      <c r="I1374">
        <v>3</v>
      </c>
      <c r="J1374">
        <v>1</v>
      </c>
      <c r="K1374" t="s">
        <v>8935</v>
      </c>
    </row>
    <row r="1375" spans="1:11" x14ac:dyDescent="0.25">
      <c r="A1375" t="s">
        <v>4746</v>
      </c>
      <c r="B1375" t="s">
        <v>4747</v>
      </c>
      <c r="C1375" t="s">
        <v>4748</v>
      </c>
      <c r="D1375" t="s">
        <v>4075</v>
      </c>
      <c r="E1375" t="s">
        <v>14</v>
      </c>
      <c r="F1375" t="s">
        <v>15</v>
      </c>
      <c r="G1375">
        <v>28205</v>
      </c>
      <c r="H1375" t="s">
        <v>39</v>
      </c>
      <c r="I1375">
        <v>36</v>
      </c>
      <c r="J1375">
        <v>1</v>
      </c>
      <c r="K1375" t="s">
        <v>8921</v>
      </c>
    </row>
    <row r="1376" spans="1:11" x14ac:dyDescent="0.25">
      <c r="A1376" t="s">
        <v>4749</v>
      </c>
      <c r="B1376" t="s">
        <v>4750</v>
      </c>
      <c r="C1376" t="s">
        <v>4751</v>
      </c>
      <c r="D1376" t="s">
        <v>4752</v>
      </c>
      <c r="E1376" t="s">
        <v>14</v>
      </c>
      <c r="F1376" t="s">
        <v>15</v>
      </c>
      <c r="G1376">
        <v>28207</v>
      </c>
      <c r="H1376" t="s">
        <v>39</v>
      </c>
      <c r="I1376">
        <v>51</v>
      </c>
      <c r="J1376">
        <v>1</v>
      </c>
      <c r="K1376" t="s">
        <v>8924</v>
      </c>
    </row>
    <row r="1377" spans="1:11" x14ac:dyDescent="0.25">
      <c r="A1377" t="e">
        <f>-J6xWAvDJJW4zb7J9YpYOA</f>
        <v>#NAME?</v>
      </c>
      <c r="B1377" t="s">
        <v>176</v>
      </c>
      <c r="C1377" t="s">
        <v>4753</v>
      </c>
      <c r="D1377" t="s">
        <v>3739</v>
      </c>
      <c r="E1377" t="s">
        <v>14</v>
      </c>
      <c r="F1377" t="s">
        <v>15</v>
      </c>
      <c r="G1377">
        <v>28202</v>
      </c>
      <c r="H1377" t="s">
        <v>48</v>
      </c>
      <c r="I1377">
        <v>10</v>
      </c>
      <c r="J1377">
        <v>0</v>
      </c>
      <c r="K1377" t="s">
        <v>8935</v>
      </c>
    </row>
    <row r="1378" spans="1:11" x14ac:dyDescent="0.25">
      <c r="A1378" t="s">
        <v>4754</v>
      </c>
      <c r="B1378" t="s">
        <v>4755</v>
      </c>
      <c r="C1378" t="s">
        <v>1608</v>
      </c>
      <c r="D1378" t="s">
        <v>4756</v>
      </c>
      <c r="E1378" t="s">
        <v>14</v>
      </c>
      <c r="F1378" t="s">
        <v>15</v>
      </c>
      <c r="G1378">
        <v>28208</v>
      </c>
      <c r="H1378" t="s">
        <v>195</v>
      </c>
      <c r="I1378">
        <v>32</v>
      </c>
      <c r="J1378">
        <v>1</v>
      </c>
      <c r="K1378" t="s">
        <v>8921</v>
      </c>
    </row>
    <row r="1379" spans="1:11" x14ac:dyDescent="0.25">
      <c r="A1379" t="s">
        <v>4757</v>
      </c>
      <c r="B1379" t="s">
        <v>4758</v>
      </c>
      <c r="C1379" t="s">
        <v>4759</v>
      </c>
      <c r="D1379" t="s">
        <v>4760</v>
      </c>
      <c r="E1379" t="s">
        <v>14</v>
      </c>
      <c r="F1379" t="s">
        <v>15</v>
      </c>
      <c r="G1379">
        <v>28273</v>
      </c>
      <c r="H1379" t="s">
        <v>26</v>
      </c>
      <c r="I1379">
        <v>63</v>
      </c>
      <c r="J1379">
        <v>1</v>
      </c>
      <c r="K1379" t="s">
        <v>8920</v>
      </c>
    </row>
    <row r="1380" spans="1:11" x14ac:dyDescent="0.25">
      <c r="A1380" t="s">
        <v>4761</v>
      </c>
      <c r="B1380" t="s">
        <v>312</v>
      </c>
      <c r="C1380" t="s">
        <v>4762</v>
      </c>
      <c r="D1380" t="s">
        <v>4763</v>
      </c>
      <c r="E1380" t="s">
        <v>14</v>
      </c>
      <c r="F1380" t="s">
        <v>15</v>
      </c>
      <c r="G1380">
        <v>28213</v>
      </c>
      <c r="H1380" t="s">
        <v>16</v>
      </c>
      <c r="I1380">
        <v>5</v>
      </c>
      <c r="J1380">
        <v>0</v>
      </c>
      <c r="K1380" t="s">
        <v>8925</v>
      </c>
    </row>
    <row r="1381" spans="1:11" x14ac:dyDescent="0.25">
      <c r="A1381" t="s">
        <v>4764</v>
      </c>
      <c r="B1381" t="s">
        <v>4765</v>
      </c>
      <c r="C1381" t="s">
        <v>2544</v>
      </c>
      <c r="D1381" t="s">
        <v>4766</v>
      </c>
      <c r="E1381" t="s">
        <v>14</v>
      </c>
      <c r="F1381" t="s">
        <v>15</v>
      </c>
      <c r="G1381">
        <v>28202</v>
      </c>
      <c r="H1381" t="s">
        <v>48</v>
      </c>
      <c r="I1381">
        <v>35</v>
      </c>
      <c r="J1381">
        <v>1</v>
      </c>
      <c r="K1381" t="s">
        <v>8925</v>
      </c>
    </row>
    <row r="1382" spans="1:11" x14ac:dyDescent="0.25">
      <c r="A1382" t="s">
        <v>4767</v>
      </c>
      <c r="B1382" t="s">
        <v>4768</v>
      </c>
      <c r="C1382" t="s">
        <v>206</v>
      </c>
      <c r="D1382" t="s">
        <v>4769</v>
      </c>
      <c r="E1382" t="s">
        <v>14</v>
      </c>
      <c r="F1382" t="s">
        <v>15</v>
      </c>
      <c r="G1382">
        <v>28211</v>
      </c>
      <c r="H1382" t="s">
        <v>16</v>
      </c>
      <c r="I1382">
        <v>48</v>
      </c>
      <c r="J1382">
        <v>0</v>
      </c>
      <c r="K1382" t="s">
        <v>8935</v>
      </c>
    </row>
    <row r="1383" spans="1:11" x14ac:dyDescent="0.25">
      <c r="A1383" t="s">
        <v>4770</v>
      </c>
      <c r="B1383" t="s">
        <v>4624</v>
      </c>
      <c r="C1383" t="s">
        <v>333</v>
      </c>
      <c r="D1383" t="s">
        <v>608</v>
      </c>
      <c r="E1383" t="s">
        <v>14</v>
      </c>
      <c r="F1383" t="s">
        <v>15</v>
      </c>
      <c r="G1383">
        <v>28202</v>
      </c>
      <c r="H1383" t="s">
        <v>21</v>
      </c>
      <c r="I1383">
        <v>8</v>
      </c>
      <c r="J1383">
        <v>0</v>
      </c>
      <c r="K1383" t="s">
        <v>8935</v>
      </c>
    </row>
    <row r="1384" spans="1:11" x14ac:dyDescent="0.25">
      <c r="A1384" t="s">
        <v>4771</v>
      </c>
      <c r="B1384" t="s">
        <v>4772</v>
      </c>
      <c r="C1384" t="s">
        <v>263</v>
      </c>
      <c r="D1384" t="s">
        <v>4773</v>
      </c>
      <c r="E1384" t="s">
        <v>14</v>
      </c>
      <c r="F1384" t="s">
        <v>15</v>
      </c>
      <c r="G1384">
        <v>28211</v>
      </c>
      <c r="H1384" t="s">
        <v>101</v>
      </c>
      <c r="I1384">
        <v>9</v>
      </c>
      <c r="J1384">
        <v>1</v>
      </c>
      <c r="K1384" t="s">
        <v>8935</v>
      </c>
    </row>
    <row r="1385" spans="1:11" x14ac:dyDescent="0.25">
      <c r="A1385" t="s">
        <v>4774</v>
      </c>
      <c r="B1385" t="s">
        <v>4775</v>
      </c>
      <c r="C1385" t="s">
        <v>4776</v>
      </c>
      <c r="D1385" t="s">
        <v>4777</v>
      </c>
      <c r="E1385" t="s">
        <v>14</v>
      </c>
      <c r="F1385" t="s">
        <v>15</v>
      </c>
      <c r="G1385">
        <v>28262</v>
      </c>
      <c r="H1385" t="s">
        <v>26</v>
      </c>
      <c r="I1385">
        <v>166</v>
      </c>
      <c r="J1385">
        <v>1</v>
      </c>
      <c r="K1385" t="s">
        <v>8935</v>
      </c>
    </row>
    <row r="1386" spans="1:11" x14ac:dyDescent="0.25">
      <c r="A1386" t="s">
        <v>4778</v>
      </c>
      <c r="B1386" t="s">
        <v>2652</v>
      </c>
      <c r="C1386" t="s">
        <v>4779</v>
      </c>
      <c r="D1386" t="s">
        <v>4780</v>
      </c>
      <c r="E1386" t="s">
        <v>14</v>
      </c>
      <c r="F1386" t="s">
        <v>15</v>
      </c>
      <c r="G1386">
        <v>28217</v>
      </c>
      <c r="H1386" t="s">
        <v>26</v>
      </c>
      <c r="I1386">
        <v>29</v>
      </c>
      <c r="J1386">
        <v>1</v>
      </c>
      <c r="K1386" t="s">
        <v>8935</v>
      </c>
    </row>
    <row r="1387" spans="1:11" x14ac:dyDescent="0.25">
      <c r="A1387" t="s">
        <v>4781</v>
      </c>
      <c r="B1387" t="s">
        <v>4782</v>
      </c>
      <c r="C1387" t="s">
        <v>797</v>
      </c>
      <c r="D1387" t="s">
        <v>4783</v>
      </c>
      <c r="E1387" t="s">
        <v>14</v>
      </c>
      <c r="F1387" t="s">
        <v>15</v>
      </c>
      <c r="G1387">
        <v>28273</v>
      </c>
      <c r="H1387" t="s">
        <v>26</v>
      </c>
      <c r="I1387">
        <v>19</v>
      </c>
      <c r="J1387">
        <v>1</v>
      </c>
      <c r="K1387" t="s">
        <v>8925</v>
      </c>
    </row>
    <row r="1388" spans="1:11" x14ac:dyDescent="0.25">
      <c r="A1388" t="s">
        <v>4784</v>
      </c>
      <c r="B1388" t="s">
        <v>4785</v>
      </c>
      <c r="C1388" t="s">
        <v>4786</v>
      </c>
      <c r="D1388" t="s">
        <v>2658</v>
      </c>
      <c r="E1388" t="s">
        <v>14</v>
      </c>
      <c r="F1388" t="s">
        <v>15</v>
      </c>
      <c r="G1388">
        <v>28209</v>
      </c>
      <c r="H1388" t="s">
        <v>48</v>
      </c>
      <c r="I1388">
        <v>5</v>
      </c>
      <c r="J1388">
        <v>0</v>
      </c>
      <c r="K1388" t="s">
        <v>8935</v>
      </c>
    </row>
    <row r="1389" spans="1:11" x14ac:dyDescent="0.25">
      <c r="A1389" t="s">
        <v>4787</v>
      </c>
      <c r="B1389" t="s">
        <v>4788</v>
      </c>
      <c r="C1389" t="s">
        <v>447</v>
      </c>
      <c r="D1389" t="s">
        <v>4789</v>
      </c>
      <c r="E1389" t="s">
        <v>14</v>
      </c>
      <c r="F1389" t="s">
        <v>15</v>
      </c>
      <c r="G1389">
        <v>28202</v>
      </c>
      <c r="H1389" t="s">
        <v>26</v>
      </c>
      <c r="I1389">
        <v>86</v>
      </c>
      <c r="J1389">
        <v>0</v>
      </c>
      <c r="K1389" t="s">
        <v>8925</v>
      </c>
    </row>
    <row r="1390" spans="1:11" x14ac:dyDescent="0.25">
      <c r="A1390" t="s">
        <v>4790</v>
      </c>
      <c r="B1390" t="s">
        <v>4791</v>
      </c>
      <c r="C1390" t="s">
        <v>4792</v>
      </c>
      <c r="D1390" t="s">
        <v>1752</v>
      </c>
      <c r="E1390" t="s">
        <v>14</v>
      </c>
      <c r="F1390" t="s">
        <v>15</v>
      </c>
      <c r="G1390">
        <v>28202</v>
      </c>
      <c r="H1390" t="s">
        <v>39</v>
      </c>
      <c r="I1390">
        <v>430</v>
      </c>
      <c r="J1390">
        <v>1</v>
      </c>
      <c r="K1390" t="s">
        <v>8935</v>
      </c>
    </row>
    <row r="1391" spans="1:11" x14ac:dyDescent="0.25">
      <c r="A1391" t="s">
        <v>4793</v>
      </c>
      <c r="B1391" t="s">
        <v>2337</v>
      </c>
      <c r="C1391" t="s">
        <v>2593</v>
      </c>
      <c r="D1391" t="s">
        <v>619</v>
      </c>
      <c r="E1391" t="s">
        <v>14</v>
      </c>
      <c r="F1391" t="s">
        <v>15</v>
      </c>
      <c r="G1391">
        <v>28202</v>
      </c>
      <c r="H1391" t="s">
        <v>21</v>
      </c>
      <c r="I1391">
        <v>118</v>
      </c>
      <c r="J1391">
        <v>1</v>
      </c>
      <c r="K1391" t="s">
        <v>8927</v>
      </c>
    </row>
    <row r="1392" spans="1:11" x14ac:dyDescent="0.25">
      <c r="A1392" t="s">
        <v>4794</v>
      </c>
      <c r="B1392" t="s">
        <v>2337</v>
      </c>
      <c r="C1392" t="s">
        <v>4795</v>
      </c>
      <c r="D1392" t="s">
        <v>4796</v>
      </c>
      <c r="E1392" t="s">
        <v>14</v>
      </c>
      <c r="F1392" t="s">
        <v>15</v>
      </c>
      <c r="G1392">
        <v>28205</v>
      </c>
      <c r="H1392" t="s">
        <v>39</v>
      </c>
      <c r="I1392">
        <v>220</v>
      </c>
      <c r="J1392">
        <v>1</v>
      </c>
      <c r="K1392" t="s">
        <v>8927</v>
      </c>
    </row>
    <row r="1393" spans="1:11" x14ac:dyDescent="0.25">
      <c r="A1393" t="s">
        <v>4797</v>
      </c>
      <c r="B1393" t="s">
        <v>228</v>
      </c>
      <c r="C1393" t="s">
        <v>4798</v>
      </c>
      <c r="D1393" t="s">
        <v>4799</v>
      </c>
      <c r="E1393" t="s">
        <v>14</v>
      </c>
      <c r="F1393" t="s">
        <v>15</v>
      </c>
      <c r="G1393">
        <v>28202</v>
      </c>
      <c r="H1393" t="s">
        <v>26</v>
      </c>
      <c r="I1393">
        <v>80</v>
      </c>
      <c r="J1393">
        <v>0</v>
      </c>
      <c r="K1393" t="s">
        <v>8935</v>
      </c>
    </row>
    <row r="1394" spans="1:11" x14ac:dyDescent="0.25">
      <c r="A1394" t="s">
        <v>4800</v>
      </c>
      <c r="B1394" t="s">
        <v>4801</v>
      </c>
      <c r="C1394" t="s">
        <v>622</v>
      </c>
      <c r="D1394" t="s">
        <v>4802</v>
      </c>
      <c r="E1394" t="s">
        <v>14</v>
      </c>
      <c r="F1394" t="s">
        <v>15</v>
      </c>
      <c r="G1394">
        <v>28204</v>
      </c>
      <c r="H1394" t="s">
        <v>26</v>
      </c>
      <c r="I1394">
        <v>40</v>
      </c>
      <c r="J1394">
        <v>1</v>
      </c>
      <c r="K1394" t="s">
        <v>8935</v>
      </c>
    </row>
    <row r="1395" spans="1:11" x14ac:dyDescent="0.25">
      <c r="A1395" t="s">
        <v>4803</v>
      </c>
      <c r="B1395" t="s">
        <v>4804</v>
      </c>
      <c r="C1395" t="s">
        <v>4805</v>
      </c>
      <c r="D1395" t="s">
        <v>4806</v>
      </c>
      <c r="E1395" t="s">
        <v>14</v>
      </c>
      <c r="F1395" t="s">
        <v>15</v>
      </c>
      <c r="G1395">
        <v>28203</v>
      </c>
      <c r="H1395" t="s">
        <v>16</v>
      </c>
      <c r="I1395">
        <v>252</v>
      </c>
      <c r="J1395">
        <v>1</v>
      </c>
      <c r="K1395" t="s">
        <v>8936</v>
      </c>
    </row>
    <row r="1396" spans="1:11" x14ac:dyDescent="0.25">
      <c r="A1396" t="s">
        <v>4807</v>
      </c>
      <c r="B1396" t="s">
        <v>4808</v>
      </c>
      <c r="C1396" t="s">
        <v>4809</v>
      </c>
      <c r="D1396" t="s">
        <v>4810</v>
      </c>
      <c r="E1396" t="s">
        <v>14</v>
      </c>
      <c r="F1396" t="s">
        <v>15</v>
      </c>
      <c r="G1396">
        <v>28208</v>
      </c>
      <c r="H1396" t="s">
        <v>16</v>
      </c>
      <c r="I1396">
        <v>18</v>
      </c>
      <c r="J1396">
        <v>1</v>
      </c>
      <c r="K1396" t="s">
        <v>8929</v>
      </c>
    </row>
    <row r="1397" spans="1:11" x14ac:dyDescent="0.25">
      <c r="A1397" t="s">
        <v>4811</v>
      </c>
      <c r="B1397" t="s">
        <v>58</v>
      </c>
      <c r="C1397" t="s">
        <v>4812</v>
      </c>
      <c r="D1397" t="s">
        <v>4813</v>
      </c>
      <c r="E1397" t="s">
        <v>14</v>
      </c>
      <c r="F1397" t="s">
        <v>15</v>
      </c>
      <c r="G1397">
        <v>28217</v>
      </c>
      <c r="H1397" t="s">
        <v>16</v>
      </c>
      <c r="I1397">
        <v>5</v>
      </c>
      <c r="J1397">
        <v>0</v>
      </c>
      <c r="K1397" t="s">
        <v>8935</v>
      </c>
    </row>
    <row r="1398" spans="1:11" x14ac:dyDescent="0.25">
      <c r="A1398" t="s">
        <v>4814</v>
      </c>
      <c r="B1398" t="s">
        <v>4815</v>
      </c>
      <c r="C1398" t="s">
        <v>4734</v>
      </c>
      <c r="D1398" t="s">
        <v>2420</v>
      </c>
      <c r="E1398" t="s">
        <v>14</v>
      </c>
      <c r="F1398" t="s">
        <v>15</v>
      </c>
      <c r="G1398">
        <v>28262</v>
      </c>
      <c r="H1398" t="s">
        <v>16</v>
      </c>
      <c r="I1398">
        <v>37</v>
      </c>
      <c r="J1398">
        <v>0</v>
      </c>
      <c r="K1398" t="s">
        <v>8937</v>
      </c>
    </row>
    <row r="1399" spans="1:11" x14ac:dyDescent="0.25">
      <c r="A1399" t="s">
        <v>4816</v>
      </c>
      <c r="B1399" t="s">
        <v>4817</v>
      </c>
      <c r="C1399" t="s">
        <v>4818</v>
      </c>
      <c r="D1399" t="s">
        <v>4819</v>
      </c>
      <c r="E1399" t="s">
        <v>14</v>
      </c>
      <c r="F1399" t="s">
        <v>15</v>
      </c>
      <c r="G1399">
        <v>28262</v>
      </c>
      <c r="H1399" t="s">
        <v>39</v>
      </c>
      <c r="I1399">
        <v>42</v>
      </c>
      <c r="J1399">
        <v>1</v>
      </c>
      <c r="K1399" t="s">
        <v>8935</v>
      </c>
    </row>
    <row r="1400" spans="1:11" x14ac:dyDescent="0.25">
      <c r="A1400" t="s">
        <v>4820</v>
      </c>
      <c r="B1400" t="s">
        <v>4821</v>
      </c>
      <c r="C1400" t="s">
        <v>4711</v>
      </c>
      <c r="D1400" t="s">
        <v>4663</v>
      </c>
      <c r="E1400" t="s">
        <v>14</v>
      </c>
      <c r="F1400" t="s">
        <v>15</v>
      </c>
      <c r="G1400">
        <v>28205</v>
      </c>
      <c r="H1400" t="s">
        <v>21</v>
      </c>
      <c r="I1400">
        <v>88</v>
      </c>
      <c r="J1400">
        <v>1</v>
      </c>
      <c r="K1400" t="s">
        <v>8926</v>
      </c>
    </row>
    <row r="1401" spans="1:11" x14ac:dyDescent="0.25">
      <c r="A1401" t="s">
        <v>4822</v>
      </c>
      <c r="B1401" t="s">
        <v>4823</v>
      </c>
      <c r="C1401" t="s">
        <v>4824</v>
      </c>
      <c r="D1401" t="s">
        <v>2110</v>
      </c>
      <c r="E1401" t="s">
        <v>14</v>
      </c>
      <c r="F1401" t="s">
        <v>15</v>
      </c>
      <c r="G1401">
        <v>28280</v>
      </c>
      <c r="H1401" t="s">
        <v>21</v>
      </c>
      <c r="I1401">
        <v>35</v>
      </c>
      <c r="J1401">
        <v>0</v>
      </c>
      <c r="K1401" t="s">
        <v>8935</v>
      </c>
    </row>
    <row r="1402" spans="1:11" x14ac:dyDescent="0.25">
      <c r="A1402" t="s">
        <v>4825</v>
      </c>
      <c r="B1402" t="s">
        <v>4826</v>
      </c>
      <c r="C1402" t="s">
        <v>4827</v>
      </c>
      <c r="D1402" t="s">
        <v>4828</v>
      </c>
      <c r="E1402" t="s">
        <v>14</v>
      </c>
      <c r="F1402" t="s">
        <v>15</v>
      </c>
      <c r="G1402">
        <v>28273</v>
      </c>
      <c r="H1402" t="s">
        <v>21</v>
      </c>
      <c r="I1402">
        <v>17</v>
      </c>
      <c r="J1402">
        <v>0</v>
      </c>
      <c r="K1402" t="s">
        <v>8935</v>
      </c>
    </row>
    <row r="1403" spans="1:11" x14ac:dyDescent="0.25">
      <c r="A1403" t="s">
        <v>4829</v>
      </c>
      <c r="B1403" t="s">
        <v>86</v>
      </c>
      <c r="C1403" t="s">
        <v>87</v>
      </c>
      <c r="D1403" t="s">
        <v>4830</v>
      </c>
      <c r="E1403" t="s">
        <v>14</v>
      </c>
      <c r="F1403" t="s">
        <v>15</v>
      </c>
      <c r="G1403">
        <v>28212</v>
      </c>
      <c r="H1403" t="s">
        <v>101</v>
      </c>
      <c r="I1403">
        <v>5</v>
      </c>
      <c r="J1403">
        <v>1</v>
      </c>
      <c r="K1403" t="s">
        <v>8935</v>
      </c>
    </row>
    <row r="1404" spans="1:11" x14ac:dyDescent="0.25">
      <c r="A1404" t="s">
        <v>4831</v>
      </c>
      <c r="B1404" t="s">
        <v>4832</v>
      </c>
      <c r="C1404" t="s">
        <v>4833</v>
      </c>
      <c r="D1404" t="s">
        <v>4834</v>
      </c>
      <c r="E1404" t="s">
        <v>14</v>
      </c>
      <c r="F1404" t="s">
        <v>15</v>
      </c>
      <c r="G1404">
        <v>28216</v>
      </c>
      <c r="H1404" t="s">
        <v>16</v>
      </c>
      <c r="I1404">
        <v>4</v>
      </c>
      <c r="J1404">
        <v>1</v>
      </c>
      <c r="K1404" t="s">
        <v>8935</v>
      </c>
    </row>
    <row r="1405" spans="1:11" x14ac:dyDescent="0.25">
      <c r="A1405" t="s">
        <v>4835</v>
      </c>
      <c r="B1405" t="s">
        <v>4836</v>
      </c>
      <c r="C1405" t="s">
        <v>997</v>
      </c>
      <c r="D1405" t="s">
        <v>4837</v>
      </c>
      <c r="E1405" t="s">
        <v>14</v>
      </c>
      <c r="F1405" t="s">
        <v>15</v>
      </c>
      <c r="G1405">
        <v>28269</v>
      </c>
      <c r="H1405" t="s">
        <v>195</v>
      </c>
      <c r="I1405">
        <v>64</v>
      </c>
      <c r="J1405">
        <v>1</v>
      </c>
      <c r="K1405" t="s">
        <v>8935</v>
      </c>
    </row>
    <row r="1406" spans="1:11" x14ac:dyDescent="0.25">
      <c r="A1406" t="s">
        <v>4838</v>
      </c>
      <c r="B1406" t="s">
        <v>1343</v>
      </c>
      <c r="C1406" t="s">
        <v>4839</v>
      </c>
      <c r="D1406" t="s">
        <v>2463</v>
      </c>
      <c r="E1406" t="s">
        <v>14</v>
      </c>
      <c r="F1406" t="s">
        <v>15</v>
      </c>
      <c r="G1406">
        <v>28203</v>
      </c>
      <c r="H1406" t="s">
        <v>21</v>
      </c>
      <c r="I1406">
        <v>4</v>
      </c>
      <c r="J1406">
        <v>0</v>
      </c>
      <c r="K1406" t="s">
        <v>8935</v>
      </c>
    </row>
    <row r="1407" spans="1:11" x14ac:dyDescent="0.25">
      <c r="A1407" t="s">
        <v>4840</v>
      </c>
      <c r="B1407" t="s">
        <v>4841</v>
      </c>
      <c r="C1407" t="s">
        <v>4842</v>
      </c>
      <c r="D1407" t="s">
        <v>416</v>
      </c>
      <c r="E1407" t="s">
        <v>14</v>
      </c>
      <c r="F1407" t="s">
        <v>15</v>
      </c>
      <c r="G1407">
        <v>28277</v>
      </c>
      <c r="H1407" t="s">
        <v>21</v>
      </c>
      <c r="I1407">
        <v>132</v>
      </c>
      <c r="J1407">
        <v>0</v>
      </c>
      <c r="K1407" t="s">
        <v>8935</v>
      </c>
    </row>
    <row r="1408" spans="1:11" x14ac:dyDescent="0.25">
      <c r="A1408" t="s">
        <v>4843</v>
      </c>
      <c r="B1408" t="s">
        <v>4844</v>
      </c>
      <c r="C1408" t="s">
        <v>1112</v>
      </c>
      <c r="D1408" t="s">
        <v>4845</v>
      </c>
      <c r="E1408" t="s">
        <v>14</v>
      </c>
      <c r="F1408" t="s">
        <v>15</v>
      </c>
      <c r="G1408">
        <v>28209</v>
      </c>
      <c r="H1408" t="s">
        <v>16</v>
      </c>
      <c r="I1408">
        <v>106</v>
      </c>
      <c r="J1408">
        <v>1</v>
      </c>
      <c r="K1408" t="s">
        <v>8935</v>
      </c>
    </row>
    <row r="1409" spans="1:11" x14ac:dyDescent="0.25">
      <c r="A1409" t="s">
        <v>4846</v>
      </c>
      <c r="B1409" t="s">
        <v>4847</v>
      </c>
      <c r="C1409" t="s">
        <v>4848</v>
      </c>
      <c r="D1409" t="s">
        <v>4849</v>
      </c>
      <c r="E1409" t="s">
        <v>14</v>
      </c>
      <c r="F1409" t="s">
        <v>15</v>
      </c>
      <c r="G1409">
        <v>28203</v>
      </c>
      <c r="H1409" t="s">
        <v>26</v>
      </c>
      <c r="I1409">
        <v>343</v>
      </c>
      <c r="J1409">
        <v>1</v>
      </c>
      <c r="K1409" t="s">
        <v>8925</v>
      </c>
    </row>
    <row r="1410" spans="1:11" x14ac:dyDescent="0.25">
      <c r="A1410" t="s">
        <v>4850</v>
      </c>
      <c r="B1410" t="s">
        <v>254</v>
      </c>
      <c r="C1410" t="s">
        <v>4851</v>
      </c>
      <c r="D1410" t="s">
        <v>4852</v>
      </c>
      <c r="E1410" t="s">
        <v>14</v>
      </c>
      <c r="F1410" t="s">
        <v>15</v>
      </c>
      <c r="G1410">
        <v>28215</v>
      </c>
      <c r="H1410" t="s">
        <v>26</v>
      </c>
      <c r="I1410">
        <v>7</v>
      </c>
      <c r="J1410">
        <v>1</v>
      </c>
      <c r="K1410" t="s">
        <v>8935</v>
      </c>
    </row>
    <row r="1411" spans="1:11" x14ac:dyDescent="0.25">
      <c r="A1411" t="s">
        <v>4853</v>
      </c>
      <c r="B1411" t="s">
        <v>4854</v>
      </c>
      <c r="C1411" t="s">
        <v>4855</v>
      </c>
      <c r="D1411" t="s">
        <v>4223</v>
      </c>
      <c r="E1411" t="s">
        <v>14</v>
      </c>
      <c r="F1411" t="s">
        <v>15</v>
      </c>
      <c r="G1411">
        <v>28213</v>
      </c>
      <c r="H1411" t="s">
        <v>146</v>
      </c>
      <c r="I1411">
        <v>30</v>
      </c>
      <c r="J1411">
        <v>1</v>
      </c>
      <c r="K1411" t="s">
        <v>8923</v>
      </c>
    </row>
    <row r="1412" spans="1:11" x14ac:dyDescent="0.25">
      <c r="A1412" t="s">
        <v>4856</v>
      </c>
      <c r="B1412" t="s">
        <v>4857</v>
      </c>
      <c r="C1412" t="s">
        <v>735</v>
      </c>
      <c r="D1412" t="s">
        <v>4858</v>
      </c>
      <c r="E1412" t="s">
        <v>14</v>
      </c>
      <c r="F1412" t="s">
        <v>15</v>
      </c>
      <c r="G1412">
        <v>28277</v>
      </c>
      <c r="H1412" t="s">
        <v>16</v>
      </c>
      <c r="I1412">
        <v>16</v>
      </c>
      <c r="J1412">
        <v>1</v>
      </c>
      <c r="K1412" t="s">
        <v>8935</v>
      </c>
    </row>
    <row r="1413" spans="1:11" x14ac:dyDescent="0.25">
      <c r="A1413" t="s">
        <v>4859</v>
      </c>
      <c r="B1413" t="s">
        <v>895</v>
      </c>
      <c r="C1413" t="s">
        <v>3288</v>
      </c>
      <c r="D1413" t="s">
        <v>4860</v>
      </c>
      <c r="E1413" t="s">
        <v>14</v>
      </c>
      <c r="F1413" t="s">
        <v>15</v>
      </c>
      <c r="G1413">
        <v>28202</v>
      </c>
      <c r="H1413" t="s">
        <v>48</v>
      </c>
      <c r="I1413">
        <v>7</v>
      </c>
      <c r="J1413">
        <v>0</v>
      </c>
      <c r="K1413" t="s">
        <v>8935</v>
      </c>
    </row>
    <row r="1414" spans="1:11" x14ac:dyDescent="0.25">
      <c r="A1414" t="s">
        <v>4861</v>
      </c>
      <c r="B1414" t="s">
        <v>4862</v>
      </c>
      <c r="C1414" t="s">
        <v>4863</v>
      </c>
      <c r="D1414" t="s">
        <v>4864</v>
      </c>
      <c r="E1414" t="s">
        <v>14</v>
      </c>
      <c r="F1414" t="s">
        <v>15</v>
      </c>
      <c r="G1414">
        <v>28203</v>
      </c>
      <c r="H1414" t="s">
        <v>146</v>
      </c>
      <c r="I1414">
        <v>15</v>
      </c>
      <c r="J1414">
        <v>1</v>
      </c>
      <c r="K1414" t="s">
        <v>8935</v>
      </c>
    </row>
    <row r="1415" spans="1:11" x14ac:dyDescent="0.25">
      <c r="A1415" t="s">
        <v>4865</v>
      </c>
      <c r="B1415" t="s">
        <v>4866</v>
      </c>
      <c r="C1415" t="s">
        <v>3226</v>
      </c>
      <c r="D1415" t="s">
        <v>4867</v>
      </c>
      <c r="E1415" t="s">
        <v>14</v>
      </c>
      <c r="F1415" t="s">
        <v>15</v>
      </c>
      <c r="G1415">
        <v>28273</v>
      </c>
      <c r="H1415" t="s">
        <v>26</v>
      </c>
      <c r="I1415">
        <v>11</v>
      </c>
      <c r="J1415">
        <v>0</v>
      </c>
      <c r="K1415" t="s">
        <v>8935</v>
      </c>
    </row>
    <row r="1416" spans="1:11" x14ac:dyDescent="0.25">
      <c r="A1416" t="s">
        <v>4868</v>
      </c>
      <c r="B1416" t="s">
        <v>4869</v>
      </c>
      <c r="C1416" t="s">
        <v>193</v>
      </c>
      <c r="D1416" t="s">
        <v>4870</v>
      </c>
      <c r="E1416" t="s">
        <v>14</v>
      </c>
      <c r="F1416" t="s">
        <v>15</v>
      </c>
      <c r="G1416">
        <v>28211</v>
      </c>
      <c r="H1416" t="s">
        <v>101</v>
      </c>
      <c r="I1416">
        <v>18</v>
      </c>
      <c r="J1416">
        <v>1</v>
      </c>
      <c r="K1416" t="s">
        <v>8935</v>
      </c>
    </row>
    <row r="1417" spans="1:11" x14ac:dyDescent="0.25">
      <c r="A1417" t="s">
        <v>4871</v>
      </c>
      <c r="B1417" t="s">
        <v>1229</v>
      </c>
      <c r="C1417" t="s">
        <v>4872</v>
      </c>
      <c r="D1417" t="s">
        <v>4873</v>
      </c>
      <c r="E1417" t="s">
        <v>14</v>
      </c>
      <c r="F1417" t="s">
        <v>15</v>
      </c>
      <c r="G1417">
        <v>28277</v>
      </c>
      <c r="H1417" t="s">
        <v>26</v>
      </c>
      <c r="I1417">
        <v>11</v>
      </c>
      <c r="J1417">
        <v>0</v>
      </c>
      <c r="K1417" t="s">
        <v>8935</v>
      </c>
    </row>
    <row r="1418" spans="1:11" x14ac:dyDescent="0.25">
      <c r="A1418" t="s">
        <v>4874</v>
      </c>
      <c r="B1418" t="s">
        <v>4875</v>
      </c>
      <c r="C1418" t="s">
        <v>4876</v>
      </c>
      <c r="D1418" t="s">
        <v>4877</v>
      </c>
      <c r="E1418" t="s">
        <v>14</v>
      </c>
      <c r="F1418" t="s">
        <v>15</v>
      </c>
      <c r="G1418">
        <v>28263</v>
      </c>
      <c r="H1418" t="s">
        <v>21</v>
      </c>
      <c r="I1418">
        <v>114</v>
      </c>
      <c r="J1418">
        <v>1</v>
      </c>
      <c r="K1418" t="s">
        <v>8920</v>
      </c>
    </row>
    <row r="1419" spans="1:11" x14ac:dyDescent="0.25">
      <c r="A1419" t="s">
        <v>4878</v>
      </c>
      <c r="B1419" t="s">
        <v>4879</v>
      </c>
      <c r="C1419" t="s">
        <v>4880</v>
      </c>
      <c r="D1419" t="s">
        <v>4881</v>
      </c>
      <c r="E1419" t="s">
        <v>14</v>
      </c>
      <c r="F1419" t="s">
        <v>15</v>
      </c>
      <c r="G1419">
        <v>28217</v>
      </c>
      <c r="H1419" t="s">
        <v>21</v>
      </c>
      <c r="I1419">
        <v>50</v>
      </c>
      <c r="J1419">
        <v>1</v>
      </c>
      <c r="K1419" t="s">
        <v>8935</v>
      </c>
    </row>
    <row r="1420" spans="1:11" x14ac:dyDescent="0.25">
      <c r="A1420" t="s">
        <v>4882</v>
      </c>
      <c r="B1420" t="s">
        <v>4883</v>
      </c>
      <c r="C1420" t="s">
        <v>4884</v>
      </c>
      <c r="D1420" t="s">
        <v>4885</v>
      </c>
      <c r="E1420" t="s">
        <v>14</v>
      </c>
      <c r="F1420" t="s">
        <v>15</v>
      </c>
      <c r="G1420">
        <v>28246</v>
      </c>
      <c r="H1420" t="s">
        <v>21</v>
      </c>
      <c r="I1420">
        <v>8</v>
      </c>
      <c r="J1420">
        <v>1</v>
      </c>
      <c r="K1420" t="s">
        <v>8935</v>
      </c>
    </row>
    <row r="1421" spans="1:11" x14ac:dyDescent="0.25">
      <c r="A1421" t="s">
        <v>4886</v>
      </c>
      <c r="B1421" t="s">
        <v>4887</v>
      </c>
      <c r="C1421" t="s">
        <v>4888</v>
      </c>
      <c r="D1421" t="s">
        <v>4889</v>
      </c>
      <c r="E1421" t="s">
        <v>14</v>
      </c>
      <c r="F1421" t="s">
        <v>15</v>
      </c>
      <c r="G1421">
        <v>28203</v>
      </c>
      <c r="H1421" t="s">
        <v>16</v>
      </c>
      <c r="I1421">
        <v>4</v>
      </c>
      <c r="J1421">
        <v>0</v>
      </c>
      <c r="K1421" t="s">
        <v>8929</v>
      </c>
    </row>
    <row r="1422" spans="1:11" x14ac:dyDescent="0.25">
      <c r="A1422" t="s">
        <v>4890</v>
      </c>
      <c r="B1422" t="s">
        <v>4891</v>
      </c>
      <c r="C1422" t="s">
        <v>193</v>
      </c>
      <c r="D1422" t="s">
        <v>4892</v>
      </c>
      <c r="E1422" t="s">
        <v>14</v>
      </c>
      <c r="F1422" t="s">
        <v>15</v>
      </c>
      <c r="G1422">
        <v>28216</v>
      </c>
      <c r="H1422" t="s">
        <v>195</v>
      </c>
      <c r="I1422">
        <v>15</v>
      </c>
      <c r="J1422">
        <v>1</v>
      </c>
      <c r="K1422" t="s">
        <v>8935</v>
      </c>
    </row>
    <row r="1423" spans="1:11" x14ac:dyDescent="0.25">
      <c r="A1423" t="s">
        <v>4893</v>
      </c>
      <c r="B1423" t="s">
        <v>4894</v>
      </c>
      <c r="C1423" t="s">
        <v>4895</v>
      </c>
      <c r="D1423" t="s">
        <v>4896</v>
      </c>
      <c r="E1423" t="s">
        <v>14</v>
      </c>
      <c r="F1423" t="s">
        <v>15</v>
      </c>
      <c r="G1423">
        <v>28203</v>
      </c>
      <c r="H1423" t="s">
        <v>16</v>
      </c>
      <c r="I1423">
        <v>51</v>
      </c>
      <c r="J1423">
        <v>0</v>
      </c>
      <c r="K1423" t="s">
        <v>8935</v>
      </c>
    </row>
    <row r="1424" spans="1:11" x14ac:dyDescent="0.25">
      <c r="A1424" t="s">
        <v>4897</v>
      </c>
      <c r="B1424" t="s">
        <v>4898</v>
      </c>
      <c r="C1424" t="s">
        <v>4899</v>
      </c>
      <c r="D1424" t="s">
        <v>4900</v>
      </c>
      <c r="E1424" t="s">
        <v>14</v>
      </c>
      <c r="F1424" t="s">
        <v>15</v>
      </c>
      <c r="G1424">
        <v>28277</v>
      </c>
      <c r="H1424" t="s">
        <v>21</v>
      </c>
      <c r="I1424">
        <v>107</v>
      </c>
      <c r="J1424">
        <v>1</v>
      </c>
      <c r="K1424" t="s">
        <v>8937</v>
      </c>
    </row>
    <row r="1425" spans="1:11" x14ac:dyDescent="0.25">
      <c r="A1425" t="s">
        <v>4901</v>
      </c>
      <c r="B1425" t="s">
        <v>4902</v>
      </c>
      <c r="C1425" t="s">
        <v>4903</v>
      </c>
      <c r="D1425" t="s">
        <v>4904</v>
      </c>
      <c r="E1425" t="s">
        <v>14</v>
      </c>
      <c r="F1425" t="s">
        <v>15</v>
      </c>
      <c r="G1425">
        <v>28277</v>
      </c>
      <c r="H1425" t="s">
        <v>21</v>
      </c>
      <c r="I1425">
        <v>3</v>
      </c>
      <c r="J1425">
        <v>0</v>
      </c>
      <c r="K1425" t="s">
        <v>8935</v>
      </c>
    </row>
    <row r="1426" spans="1:11" x14ac:dyDescent="0.25">
      <c r="A1426" t="s">
        <v>4905</v>
      </c>
      <c r="B1426" t="s">
        <v>4906</v>
      </c>
      <c r="C1426" t="s">
        <v>1612</v>
      </c>
      <c r="D1426" t="s">
        <v>4907</v>
      </c>
      <c r="E1426" t="s">
        <v>14</v>
      </c>
      <c r="F1426" t="s">
        <v>15</v>
      </c>
      <c r="G1426">
        <v>28208</v>
      </c>
      <c r="H1426" t="s">
        <v>21</v>
      </c>
      <c r="I1426">
        <v>15</v>
      </c>
      <c r="J1426">
        <v>1</v>
      </c>
      <c r="K1426" t="s">
        <v>8922</v>
      </c>
    </row>
    <row r="1427" spans="1:11" x14ac:dyDescent="0.25">
      <c r="A1427" t="s">
        <v>4908</v>
      </c>
      <c r="B1427" t="s">
        <v>4909</v>
      </c>
      <c r="C1427" t="s">
        <v>4910</v>
      </c>
      <c r="D1427" t="s">
        <v>889</v>
      </c>
      <c r="E1427" t="s">
        <v>14</v>
      </c>
      <c r="F1427" t="s">
        <v>15</v>
      </c>
      <c r="G1427">
        <v>28210</v>
      </c>
      <c r="H1427" t="s">
        <v>21</v>
      </c>
      <c r="I1427">
        <v>62</v>
      </c>
      <c r="J1427">
        <v>1</v>
      </c>
      <c r="K1427" t="s">
        <v>8926</v>
      </c>
    </row>
    <row r="1428" spans="1:11" x14ac:dyDescent="0.25">
      <c r="A1428" t="s">
        <v>4911</v>
      </c>
      <c r="B1428" t="s">
        <v>4912</v>
      </c>
      <c r="C1428" t="s">
        <v>4913</v>
      </c>
      <c r="D1428" t="s">
        <v>4914</v>
      </c>
      <c r="E1428" t="s">
        <v>14</v>
      </c>
      <c r="F1428" t="s">
        <v>15</v>
      </c>
      <c r="G1428">
        <v>28212</v>
      </c>
      <c r="H1428" t="s">
        <v>16</v>
      </c>
      <c r="I1428">
        <v>5</v>
      </c>
      <c r="J1428">
        <v>1</v>
      </c>
      <c r="K1428" t="s">
        <v>8935</v>
      </c>
    </row>
    <row r="1429" spans="1:11" x14ac:dyDescent="0.25">
      <c r="A1429" t="s">
        <v>4915</v>
      </c>
      <c r="B1429" t="s">
        <v>4916</v>
      </c>
      <c r="C1429" t="s">
        <v>546</v>
      </c>
      <c r="D1429" t="s">
        <v>4917</v>
      </c>
      <c r="E1429" t="s">
        <v>14</v>
      </c>
      <c r="F1429" t="s">
        <v>15</v>
      </c>
      <c r="G1429">
        <v>28204</v>
      </c>
      <c r="H1429" t="s">
        <v>16</v>
      </c>
      <c r="I1429">
        <v>187</v>
      </c>
      <c r="J1429">
        <v>1</v>
      </c>
      <c r="K1429" t="s">
        <v>8921</v>
      </c>
    </row>
    <row r="1430" spans="1:11" x14ac:dyDescent="0.25">
      <c r="A1430" t="s">
        <v>4918</v>
      </c>
      <c r="B1430" t="s">
        <v>4919</v>
      </c>
      <c r="C1430" t="s">
        <v>4920</v>
      </c>
      <c r="D1430" t="s">
        <v>4921</v>
      </c>
      <c r="E1430" t="s">
        <v>14</v>
      </c>
      <c r="F1430" t="s">
        <v>15</v>
      </c>
      <c r="G1430">
        <v>28204</v>
      </c>
      <c r="H1430" t="s">
        <v>21</v>
      </c>
      <c r="I1430">
        <v>196</v>
      </c>
      <c r="J1430">
        <v>1</v>
      </c>
      <c r="K1430" t="s">
        <v>8935</v>
      </c>
    </row>
    <row r="1431" spans="1:11" x14ac:dyDescent="0.25">
      <c r="A1431" t="s">
        <v>4922</v>
      </c>
      <c r="B1431" t="s">
        <v>4923</v>
      </c>
      <c r="C1431" t="s">
        <v>4924</v>
      </c>
      <c r="D1431" t="s">
        <v>4925</v>
      </c>
      <c r="E1431" t="s">
        <v>14</v>
      </c>
      <c r="F1431" t="s">
        <v>15</v>
      </c>
      <c r="G1431">
        <v>28269</v>
      </c>
      <c r="H1431" t="s">
        <v>16</v>
      </c>
      <c r="I1431">
        <v>80</v>
      </c>
      <c r="J1431">
        <v>1</v>
      </c>
      <c r="K1431" t="s">
        <v>8926</v>
      </c>
    </row>
    <row r="1432" spans="1:11" x14ac:dyDescent="0.25">
      <c r="A1432" t="s">
        <v>4926</v>
      </c>
      <c r="B1432" t="s">
        <v>4927</v>
      </c>
      <c r="C1432" t="s">
        <v>4928</v>
      </c>
      <c r="D1432" t="s">
        <v>4929</v>
      </c>
      <c r="E1432" t="s">
        <v>14</v>
      </c>
      <c r="F1432" t="s">
        <v>15</v>
      </c>
      <c r="G1432">
        <v>28270</v>
      </c>
      <c r="H1432" t="s">
        <v>39</v>
      </c>
      <c r="I1432">
        <v>88</v>
      </c>
      <c r="J1432">
        <v>1</v>
      </c>
      <c r="K1432" t="s">
        <v>8920</v>
      </c>
    </row>
    <row r="1433" spans="1:11" x14ac:dyDescent="0.25">
      <c r="A1433" t="s">
        <v>4930</v>
      </c>
      <c r="B1433" t="s">
        <v>4931</v>
      </c>
      <c r="C1433" t="s">
        <v>4932</v>
      </c>
      <c r="D1433" t="s">
        <v>4933</v>
      </c>
      <c r="E1433" t="s">
        <v>14</v>
      </c>
      <c r="F1433" t="s">
        <v>15</v>
      </c>
      <c r="G1433">
        <v>28203</v>
      </c>
      <c r="H1433" t="s">
        <v>16</v>
      </c>
      <c r="I1433">
        <v>16</v>
      </c>
      <c r="J1433">
        <v>0</v>
      </c>
      <c r="K1433" t="s">
        <v>8935</v>
      </c>
    </row>
    <row r="1434" spans="1:11" x14ac:dyDescent="0.25">
      <c r="A1434" t="s">
        <v>4934</v>
      </c>
      <c r="B1434" t="s">
        <v>4935</v>
      </c>
      <c r="C1434" t="s">
        <v>4936</v>
      </c>
      <c r="D1434" t="s">
        <v>1523</v>
      </c>
      <c r="E1434" t="s">
        <v>14</v>
      </c>
      <c r="F1434" t="s">
        <v>15</v>
      </c>
      <c r="G1434">
        <v>28211</v>
      </c>
      <c r="H1434" t="s">
        <v>48</v>
      </c>
      <c r="I1434">
        <v>5</v>
      </c>
      <c r="J1434">
        <v>0</v>
      </c>
      <c r="K1434" t="s">
        <v>8935</v>
      </c>
    </row>
    <row r="1435" spans="1:11" x14ac:dyDescent="0.25">
      <c r="A1435" t="s">
        <v>4937</v>
      </c>
      <c r="B1435" t="s">
        <v>4938</v>
      </c>
      <c r="C1435" t="s">
        <v>4939</v>
      </c>
      <c r="D1435" t="s">
        <v>4940</v>
      </c>
      <c r="E1435" t="s">
        <v>14</v>
      </c>
      <c r="F1435" t="s">
        <v>15</v>
      </c>
      <c r="G1435">
        <v>28277</v>
      </c>
      <c r="H1435" t="s">
        <v>21</v>
      </c>
      <c r="I1435">
        <v>186</v>
      </c>
      <c r="J1435">
        <v>1</v>
      </c>
      <c r="K1435" t="s">
        <v>8935</v>
      </c>
    </row>
    <row r="1436" spans="1:11" x14ac:dyDescent="0.25">
      <c r="A1436" t="s">
        <v>4941</v>
      </c>
      <c r="B1436" t="s">
        <v>4942</v>
      </c>
      <c r="C1436" t="s">
        <v>4943</v>
      </c>
      <c r="D1436" t="s">
        <v>4944</v>
      </c>
      <c r="E1436" t="s">
        <v>14</v>
      </c>
      <c r="F1436" t="s">
        <v>15</v>
      </c>
      <c r="G1436">
        <v>28209</v>
      </c>
      <c r="H1436" t="s">
        <v>21</v>
      </c>
      <c r="I1436">
        <v>31</v>
      </c>
      <c r="J1436">
        <v>1</v>
      </c>
      <c r="K1436" t="s">
        <v>8935</v>
      </c>
    </row>
    <row r="1437" spans="1:11" x14ac:dyDescent="0.25">
      <c r="A1437" t="s">
        <v>4945</v>
      </c>
      <c r="B1437" t="s">
        <v>4946</v>
      </c>
      <c r="C1437" t="s">
        <v>4947</v>
      </c>
      <c r="D1437" t="s">
        <v>4948</v>
      </c>
      <c r="E1437" t="s">
        <v>14</v>
      </c>
      <c r="F1437" t="s">
        <v>15</v>
      </c>
      <c r="G1437">
        <v>28269</v>
      </c>
      <c r="H1437" t="s">
        <v>21</v>
      </c>
      <c r="I1437">
        <v>89</v>
      </c>
      <c r="J1437">
        <v>1</v>
      </c>
      <c r="K1437" t="s">
        <v>8920</v>
      </c>
    </row>
    <row r="1438" spans="1:11" x14ac:dyDescent="0.25">
      <c r="A1438" t="s">
        <v>4949</v>
      </c>
      <c r="B1438" t="s">
        <v>4950</v>
      </c>
      <c r="C1438" t="s">
        <v>4951</v>
      </c>
      <c r="D1438" t="s">
        <v>4952</v>
      </c>
      <c r="E1438" t="s">
        <v>14</v>
      </c>
      <c r="F1438" t="s">
        <v>15</v>
      </c>
      <c r="G1438">
        <v>28027</v>
      </c>
      <c r="H1438" t="s">
        <v>21</v>
      </c>
      <c r="I1438">
        <v>77</v>
      </c>
      <c r="J1438">
        <v>1</v>
      </c>
      <c r="K1438" t="s">
        <v>8935</v>
      </c>
    </row>
    <row r="1439" spans="1:11" x14ac:dyDescent="0.25">
      <c r="A1439" t="s">
        <v>4953</v>
      </c>
      <c r="B1439" t="s">
        <v>760</v>
      </c>
      <c r="C1439" t="s">
        <v>622</v>
      </c>
      <c r="D1439" t="s">
        <v>4954</v>
      </c>
      <c r="E1439" t="s">
        <v>14</v>
      </c>
      <c r="F1439" t="s">
        <v>15</v>
      </c>
      <c r="G1439">
        <v>28211</v>
      </c>
      <c r="H1439" t="s">
        <v>101</v>
      </c>
      <c r="I1439">
        <v>17</v>
      </c>
      <c r="J1439">
        <v>1</v>
      </c>
      <c r="K1439" t="s">
        <v>8935</v>
      </c>
    </row>
    <row r="1440" spans="1:11" x14ac:dyDescent="0.25">
      <c r="A1440" t="s">
        <v>4955</v>
      </c>
      <c r="B1440" t="s">
        <v>4956</v>
      </c>
      <c r="C1440" t="s">
        <v>4957</v>
      </c>
      <c r="D1440" t="s">
        <v>4958</v>
      </c>
      <c r="E1440" t="s">
        <v>14</v>
      </c>
      <c r="F1440" t="s">
        <v>15</v>
      </c>
      <c r="G1440">
        <v>28217</v>
      </c>
      <c r="H1440" t="s">
        <v>16</v>
      </c>
      <c r="I1440">
        <v>123</v>
      </c>
      <c r="J1440">
        <v>1</v>
      </c>
      <c r="K1440" t="s">
        <v>8935</v>
      </c>
    </row>
    <row r="1441" spans="1:11" x14ac:dyDescent="0.25">
      <c r="A1441" t="s">
        <v>4959</v>
      </c>
      <c r="B1441" t="s">
        <v>4960</v>
      </c>
      <c r="C1441" t="s">
        <v>4961</v>
      </c>
      <c r="D1441" t="s">
        <v>4962</v>
      </c>
      <c r="E1441" t="s">
        <v>14</v>
      </c>
      <c r="F1441" t="s">
        <v>15</v>
      </c>
      <c r="G1441">
        <v>28277</v>
      </c>
      <c r="H1441" t="s">
        <v>48</v>
      </c>
      <c r="I1441">
        <v>114</v>
      </c>
      <c r="J1441">
        <v>0</v>
      </c>
      <c r="K1441" t="s">
        <v>8935</v>
      </c>
    </row>
    <row r="1442" spans="1:11" x14ac:dyDescent="0.25">
      <c r="A1442" t="s">
        <v>4963</v>
      </c>
      <c r="B1442" t="s">
        <v>4964</v>
      </c>
      <c r="C1442" t="s">
        <v>4965</v>
      </c>
      <c r="D1442" t="s">
        <v>4966</v>
      </c>
      <c r="E1442" t="s">
        <v>14</v>
      </c>
      <c r="F1442" t="s">
        <v>15</v>
      </c>
      <c r="G1442">
        <v>28210</v>
      </c>
      <c r="H1442" t="s">
        <v>21</v>
      </c>
      <c r="I1442">
        <v>3</v>
      </c>
      <c r="J1442">
        <v>0</v>
      </c>
      <c r="K1442" t="s">
        <v>8935</v>
      </c>
    </row>
    <row r="1443" spans="1:11" x14ac:dyDescent="0.25">
      <c r="A1443" t="s">
        <v>4967</v>
      </c>
      <c r="B1443" t="s">
        <v>4968</v>
      </c>
      <c r="C1443" t="s">
        <v>467</v>
      </c>
      <c r="D1443" t="s">
        <v>4969</v>
      </c>
      <c r="E1443" t="s">
        <v>14</v>
      </c>
      <c r="F1443" t="s">
        <v>15</v>
      </c>
      <c r="G1443">
        <v>28212</v>
      </c>
      <c r="H1443" t="s">
        <v>26</v>
      </c>
      <c r="I1443">
        <v>24</v>
      </c>
      <c r="J1443">
        <v>1</v>
      </c>
      <c r="K1443" t="s">
        <v>8935</v>
      </c>
    </row>
    <row r="1444" spans="1:11" x14ac:dyDescent="0.25">
      <c r="A1444" t="s">
        <v>4970</v>
      </c>
      <c r="B1444" t="s">
        <v>4971</v>
      </c>
      <c r="C1444" t="s">
        <v>4972</v>
      </c>
      <c r="D1444" t="s">
        <v>4973</v>
      </c>
      <c r="E1444" t="s">
        <v>14</v>
      </c>
      <c r="F1444" t="s">
        <v>15</v>
      </c>
      <c r="G1444">
        <v>28203</v>
      </c>
      <c r="H1444" t="s">
        <v>39</v>
      </c>
      <c r="I1444">
        <v>81</v>
      </c>
      <c r="J1444">
        <v>1</v>
      </c>
      <c r="K1444" t="s">
        <v>8935</v>
      </c>
    </row>
    <row r="1445" spans="1:11" x14ac:dyDescent="0.25">
      <c r="A1445" t="s">
        <v>4974</v>
      </c>
      <c r="B1445" t="s">
        <v>316</v>
      </c>
      <c r="C1445" t="s">
        <v>4975</v>
      </c>
      <c r="D1445" t="s">
        <v>84</v>
      </c>
      <c r="E1445" t="s">
        <v>14</v>
      </c>
      <c r="F1445" t="s">
        <v>15</v>
      </c>
      <c r="G1445">
        <v>28208</v>
      </c>
      <c r="H1445" t="s">
        <v>48</v>
      </c>
      <c r="I1445">
        <v>49</v>
      </c>
      <c r="J1445">
        <v>1</v>
      </c>
      <c r="K1445" t="s">
        <v>8935</v>
      </c>
    </row>
    <row r="1446" spans="1:11" x14ac:dyDescent="0.25">
      <c r="A1446" t="s">
        <v>4976</v>
      </c>
      <c r="B1446" t="s">
        <v>811</v>
      </c>
      <c r="C1446" t="s">
        <v>4977</v>
      </c>
      <c r="D1446" t="s">
        <v>4978</v>
      </c>
      <c r="E1446" t="s">
        <v>14</v>
      </c>
      <c r="F1446" t="s">
        <v>15</v>
      </c>
      <c r="G1446">
        <v>28208</v>
      </c>
      <c r="H1446" t="s">
        <v>16</v>
      </c>
      <c r="I1446">
        <v>94</v>
      </c>
      <c r="J1446">
        <v>1</v>
      </c>
      <c r="K1446" t="s">
        <v>8925</v>
      </c>
    </row>
    <row r="1447" spans="1:11" x14ac:dyDescent="0.25">
      <c r="A1447" t="s">
        <v>4979</v>
      </c>
      <c r="B1447" t="s">
        <v>1333</v>
      </c>
      <c r="C1447" t="s">
        <v>3808</v>
      </c>
      <c r="D1447" t="s">
        <v>4980</v>
      </c>
      <c r="E1447" t="s">
        <v>14</v>
      </c>
      <c r="F1447" t="s">
        <v>15</v>
      </c>
      <c r="G1447">
        <v>28202</v>
      </c>
      <c r="H1447" t="s">
        <v>16</v>
      </c>
      <c r="I1447">
        <v>184</v>
      </c>
      <c r="J1447">
        <v>1</v>
      </c>
      <c r="K1447" t="s">
        <v>8935</v>
      </c>
    </row>
    <row r="1448" spans="1:11" x14ac:dyDescent="0.25">
      <c r="A1448" t="s">
        <v>4981</v>
      </c>
      <c r="B1448" t="s">
        <v>4982</v>
      </c>
      <c r="C1448" t="s">
        <v>4983</v>
      </c>
      <c r="D1448" t="s">
        <v>4984</v>
      </c>
      <c r="E1448" t="s">
        <v>14</v>
      </c>
      <c r="F1448" t="s">
        <v>15</v>
      </c>
      <c r="G1448">
        <v>28262</v>
      </c>
      <c r="H1448" t="s">
        <v>48</v>
      </c>
      <c r="I1448">
        <v>44</v>
      </c>
      <c r="J1448">
        <v>1</v>
      </c>
      <c r="K1448" t="s">
        <v>8935</v>
      </c>
    </row>
    <row r="1449" spans="1:11" x14ac:dyDescent="0.25">
      <c r="A1449" t="s">
        <v>4985</v>
      </c>
      <c r="B1449" t="s">
        <v>4986</v>
      </c>
      <c r="C1449" t="s">
        <v>4987</v>
      </c>
      <c r="D1449" t="s">
        <v>4988</v>
      </c>
      <c r="E1449" t="s">
        <v>14</v>
      </c>
      <c r="F1449" t="s">
        <v>15</v>
      </c>
      <c r="G1449">
        <v>28217</v>
      </c>
      <c r="H1449" t="s">
        <v>21</v>
      </c>
      <c r="I1449">
        <v>151</v>
      </c>
      <c r="J1449">
        <v>1</v>
      </c>
      <c r="K1449" t="s">
        <v>8930</v>
      </c>
    </row>
    <row r="1450" spans="1:11" x14ac:dyDescent="0.25">
      <c r="A1450" t="s">
        <v>4989</v>
      </c>
      <c r="B1450" t="s">
        <v>172</v>
      </c>
      <c r="C1450" t="s">
        <v>4990</v>
      </c>
      <c r="D1450" t="s">
        <v>4991</v>
      </c>
      <c r="E1450" t="s">
        <v>14</v>
      </c>
      <c r="F1450" t="s">
        <v>15</v>
      </c>
      <c r="G1450">
        <v>28205</v>
      </c>
      <c r="H1450" t="s">
        <v>26</v>
      </c>
      <c r="I1450">
        <v>10</v>
      </c>
      <c r="J1450">
        <v>1</v>
      </c>
      <c r="K1450" t="s">
        <v>8927</v>
      </c>
    </row>
    <row r="1451" spans="1:11" x14ac:dyDescent="0.25">
      <c r="A1451" t="s">
        <v>4992</v>
      </c>
      <c r="B1451" t="s">
        <v>4993</v>
      </c>
      <c r="C1451" t="s">
        <v>4994</v>
      </c>
      <c r="D1451" t="s">
        <v>4995</v>
      </c>
      <c r="E1451" t="s">
        <v>14</v>
      </c>
      <c r="F1451" t="s">
        <v>15</v>
      </c>
      <c r="G1451">
        <v>28202</v>
      </c>
      <c r="H1451" t="s">
        <v>21</v>
      </c>
      <c r="I1451">
        <v>3</v>
      </c>
      <c r="J1451">
        <v>0</v>
      </c>
      <c r="K1451" t="s">
        <v>8935</v>
      </c>
    </row>
    <row r="1452" spans="1:11" x14ac:dyDescent="0.25">
      <c r="A1452" t="s">
        <v>4996</v>
      </c>
      <c r="B1452" t="s">
        <v>2898</v>
      </c>
      <c r="C1452" t="s">
        <v>4997</v>
      </c>
      <c r="D1452" t="s">
        <v>4998</v>
      </c>
      <c r="E1452" t="s">
        <v>14</v>
      </c>
      <c r="F1452" t="s">
        <v>15</v>
      </c>
      <c r="G1452">
        <v>28202</v>
      </c>
      <c r="H1452" t="s">
        <v>39</v>
      </c>
      <c r="I1452">
        <v>71</v>
      </c>
      <c r="J1452">
        <v>0</v>
      </c>
      <c r="K1452" t="s">
        <v>8935</v>
      </c>
    </row>
    <row r="1453" spans="1:11" x14ac:dyDescent="0.25">
      <c r="A1453" t="s">
        <v>4999</v>
      </c>
      <c r="B1453" t="s">
        <v>811</v>
      </c>
      <c r="C1453" t="s">
        <v>5000</v>
      </c>
      <c r="D1453" t="s">
        <v>4037</v>
      </c>
      <c r="E1453" t="s">
        <v>14</v>
      </c>
      <c r="F1453" t="s">
        <v>15</v>
      </c>
      <c r="G1453">
        <v>28277</v>
      </c>
      <c r="H1453" t="s">
        <v>16</v>
      </c>
      <c r="I1453">
        <v>22</v>
      </c>
      <c r="J1453">
        <v>0</v>
      </c>
      <c r="K1453" t="s">
        <v>8925</v>
      </c>
    </row>
    <row r="1454" spans="1:11" x14ac:dyDescent="0.25">
      <c r="A1454" t="s">
        <v>5001</v>
      </c>
      <c r="B1454" t="s">
        <v>5002</v>
      </c>
      <c r="C1454" t="s">
        <v>5003</v>
      </c>
      <c r="D1454" t="s">
        <v>5004</v>
      </c>
      <c r="E1454" t="s">
        <v>14</v>
      </c>
      <c r="F1454" t="s">
        <v>15</v>
      </c>
      <c r="G1454">
        <v>28213</v>
      </c>
      <c r="H1454" t="s">
        <v>21</v>
      </c>
      <c r="I1454">
        <v>24</v>
      </c>
      <c r="J1454">
        <v>1</v>
      </c>
      <c r="K1454" t="s">
        <v>8935</v>
      </c>
    </row>
    <row r="1455" spans="1:11" x14ac:dyDescent="0.25">
      <c r="A1455" t="s">
        <v>5005</v>
      </c>
      <c r="B1455" t="s">
        <v>5006</v>
      </c>
      <c r="C1455" t="s">
        <v>5007</v>
      </c>
      <c r="D1455" t="s">
        <v>5008</v>
      </c>
      <c r="E1455" t="s">
        <v>14</v>
      </c>
      <c r="F1455" t="s">
        <v>15</v>
      </c>
      <c r="G1455">
        <v>28215</v>
      </c>
      <c r="H1455" t="s">
        <v>16</v>
      </c>
      <c r="I1455">
        <v>38</v>
      </c>
      <c r="J1455">
        <v>1</v>
      </c>
      <c r="K1455" t="s">
        <v>8935</v>
      </c>
    </row>
    <row r="1456" spans="1:11" x14ac:dyDescent="0.25">
      <c r="A1456" t="s">
        <v>5009</v>
      </c>
      <c r="B1456" t="s">
        <v>316</v>
      </c>
      <c r="C1456" t="s">
        <v>5010</v>
      </c>
      <c r="D1456" t="s">
        <v>5011</v>
      </c>
      <c r="E1456" t="s">
        <v>14</v>
      </c>
      <c r="F1456" t="s">
        <v>15</v>
      </c>
      <c r="G1456">
        <v>28204</v>
      </c>
      <c r="H1456" t="s">
        <v>16</v>
      </c>
      <c r="I1456">
        <v>5</v>
      </c>
      <c r="J1456">
        <v>0</v>
      </c>
      <c r="K1456" t="s">
        <v>8935</v>
      </c>
    </row>
    <row r="1457" spans="1:11" x14ac:dyDescent="0.25">
      <c r="A1457" t="s">
        <v>5012</v>
      </c>
      <c r="B1457" t="s">
        <v>5013</v>
      </c>
      <c r="C1457" t="s">
        <v>5014</v>
      </c>
      <c r="D1457" t="s">
        <v>5015</v>
      </c>
      <c r="E1457" t="s">
        <v>14</v>
      </c>
      <c r="F1457" t="s">
        <v>15</v>
      </c>
      <c r="G1457">
        <v>28277</v>
      </c>
      <c r="H1457" t="s">
        <v>16</v>
      </c>
      <c r="I1457">
        <v>165</v>
      </c>
      <c r="J1457">
        <v>1</v>
      </c>
      <c r="K1457" t="s">
        <v>8935</v>
      </c>
    </row>
    <row r="1458" spans="1:11" x14ac:dyDescent="0.25">
      <c r="A1458" t="s">
        <v>5016</v>
      </c>
      <c r="B1458" t="s">
        <v>98</v>
      </c>
      <c r="C1458" t="s">
        <v>221</v>
      </c>
      <c r="D1458" t="s">
        <v>5017</v>
      </c>
      <c r="E1458" t="s">
        <v>14</v>
      </c>
      <c r="F1458" t="s">
        <v>15</v>
      </c>
      <c r="G1458">
        <v>28273</v>
      </c>
      <c r="H1458" t="s">
        <v>195</v>
      </c>
      <c r="I1458">
        <v>13</v>
      </c>
      <c r="J1458">
        <v>1</v>
      </c>
      <c r="K1458" t="s">
        <v>8935</v>
      </c>
    </row>
    <row r="1459" spans="1:11" x14ac:dyDescent="0.25">
      <c r="A1459" t="s">
        <v>5018</v>
      </c>
      <c r="B1459" t="s">
        <v>379</v>
      </c>
      <c r="C1459" t="s">
        <v>5019</v>
      </c>
      <c r="D1459" t="s">
        <v>5020</v>
      </c>
      <c r="E1459" t="s">
        <v>14</v>
      </c>
      <c r="F1459" t="s">
        <v>15</v>
      </c>
      <c r="G1459">
        <v>28277</v>
      </c>
      <c r="H1459" t="s">
        <v>39</v>
      </c>
      <c r="I1459">
        <v>9</v>
      </c>
      <c r="J1459">
        <v>1</v>
      </c>
      <c r="K1459" t="s">
        <v>8930</v>
      </c>
    </row>
    <row r="1460" spans="1:11" x14ac:dyDescent="0.25">
      <c r="A1460" t="s">
        <v>5021</v>
      </c>
      <c r="B1460" t="s">
        <v>316</v>
      </c>
      <c r="C1460" t="s">
        <v>738</v>
      </c>
      <c r="D1460" t="s">
        <v>5022</v>
      </c>
      <c r="E1460" t="s">
        <v>14</v>
      </c>
      <c r="F1460" t="s">
        <v>15</v>
      </c>
      <c r="G1460">
        <v>28212</v>
      </c>
      <c r="H1460" t="s">
        <v>48</v>
      </c>
      <c r="I1460">
        <v>7</v>
      </c>
      <c r="J1460">
        <v>1</v>
      </c>
      <c r="K1460" t="s">
        <v>8935</v>
      </c>
    </row>
    <row r="1461" spans="1:11" x14ac:dyDescent="0.25">
      <c r="A1461" t="s">
        <v>5023</v>
      </c>
      <c r="B1461" t="s">
        <v>5024</v>
      </c>
      <c r="C1461" t="s">
        <v>5025</v>
      </c>
      <c r="D1461" t="s">
        <v>5026</v>
      </c>
      <c r="E1461" t="s">
        <v>14</v>
      </c>
      <c r="F1461" t="s">
        <v>15</v>
      </c>
      <c r="G1461">
        <v>28277</v>
      </c>
      <c r="H1461" t="s">
        <v>16</v>
      </c>
      <c r="I1461">
        <v>95</v>
      </c>
      <c r="J1461">
        <v>0</v>
      </c>
      <c r="K1461" t="s">
        <v>8935</v>
      </c>
    </row>
    <row r="1462" spans="1:11" x14ac:dyDescent="0.25">
      <c r="A1462" t="s">
        <v>5027</v>
      </c>
      <c r="B1462" t="s">
        <v>5028</v>
      </c>
      <c r="C1462" t="s">
        <v>5029</v>
      </c>
      <c r="D1462" t="s">
        <v>5030</v>
      </c>
      <c r="E1462" t="s">
        <v>14</v>
      </c>
      <c r="F1462" t="s">
        <v>15</v>
      </c>
      <c r="G1462">
        <v>28202</v>
      </c>
      <c r="H1462" t="s">
        <v>39</v>
      </c>
      <c r="I1462">
        <v>68</v>
      </c>
      <c r="J1462">
        <v>1</v>
      </c>
      <c r="K1462" t="s">
        <v>8935</v>
      </c>
    </row>
    <row r="1463" spans="1:11" x14ac:dyDescent="0.25">
      <c r="A1463" t="s">
        <v>5031</v>
      </c>
      <c r="B1463" t="s">
        <v>312</v>
      </c>
      <c r="C1463" t="s">
        <v>5032</v>
      </c>
      <c r="D1463" t="s">
        <v>3628</v>
      </c>
      <c r="E1463" t="s">
        <v>14</v>
      </c>
      <c r="F1463" t="s">
        <v>15</v>
      </c>
      <c r="G1463">
        <v>28205</v>
      </c>
      <c r="H1463" t="s">
        <v>26</v>
      </c>
      <c r="I1463">
        <v>11</v>
      </c>
      <c r="J1463">
        <v>0</v>
      </c>
      <c r="K1463" t="s">
        <v>8925</v>
      </c>
    </row>
    <row r="1464" spans="1:11" x14ac:dyDescent="0.25">
      <c r="A1464" t="s">
        <v>5033</v>
      </c>
      <c r="B1464" t="s">
        <v>5034</v>
      </c>
      <c r="C1464" t="s">
        <v>5035</v>
      </c>
      <c r="D1464" t="s">
        <v>5036</v>
      </c>
      <c r="E1464" t="s">
        <v>14</v>
      </c>
      <c r="F1464" t="s">
        <v>15</v>
      </c>
      <c r="G1464">
        <v>28262</v>
      </c>
      <c r="H1464" t="s">
        <v>26</v>
      </c>
      <c r="I1464">
        <v>8</v>
      </c>
      <c r="J1464">
        <v>0</v>
      </c>
      <c r="K1464" t="s">
        <v>8935</v>
      </c>
    </row>
    <row r="1465" spans="1:11" x14ac:dyDescent="0.25">
      <c r="A1465" t="s">
        <v>5037</v>
      </c>
      <c r="B1465" t="s">
        <v>5038</v>
      </c>
      <c r="C1465" t="s">
        <v>5039</v>
      </c>
      <c r="D1465" t="s">
        <v>875</v>
      </c>
      <c r="E1465" t="s">
        <v>14</v>
      </c>
      <c r="F1465" t="s">
        <v>15</v>
      </c>
      <c r="G1465">
        <v>28282</v>
      </c>
      <c r="H1465" t="s">
        <v>26</v>
      </c>
      <c r="I1465">
        <v>8</v>
      </c>
      <c r="J1465">
        <v>0</v>
      </c>
      <c r="K1465" t="s">
        <v>8935</v>
      </c>
    </row>
    <row r="1466" spans="1:11" x14ac:dyDescent="0.25">
      <c r="A1466" t="s">
        <v>5040</v>
      </c>
      <c r="B1466" t="s">
        <v>5041</v>
      </c>
      <c r="C1466" t="s">
        <v>5042</v>
      </c>
      <c r="D1466" t="s">
        <v>5043</v>
      </c>
      <c r="E1466" t="s">
        <v>14</v>
      </c>
      <c r="F1466" t="s">
        <v>15</v>
      </c>
      <c r="G1466">
        <v>28227</v>
      </c>
      <c r="H1466" t="s">
        <v>21</v>
      </c>
      <c r="I1466">
        <v>25</v>
      </c>
      <c r="J1466">
        <v>1</v>
      </c>
      <c r="K1466" t="s">
        <v>8935</v>
      </c>
    </row>
    <row r="1467" spans="1:11" x14ac:dyDescent="0.25">
      <c r="A1467" t="s">
        <v>5044</v>
      </c>
      <c r="B1467" t="s">
        <v>1862</v>
      </c>
      <c r="C1467" t="s">
        <v>5045</v>
      </c>
      <c r="D1467" t="s">
        <v>5046</v>
      </c>
      <c r="E1467" t="s">
        <v>14</v>
      </c>
      <c r="F1467" t="s">
        <v>15</v>
      </c>
      <c r="G1467">
        <v>28217</v>
      </c>
      <c r="H1467" t="s">
        <v>146</v>
      </c>
      <c r="I1467">
        <v>20</v>
      </c>
      <c r="J1467">
        <v>1</v>
      </c>
      <c r="K1467" t="s">
        <v>8925</v>
      </c>
    </row>
    <row r="1468" spans="1:11" x14ac:dyDescent="0.25">
      <c r="A1468" t="s">
        <v>5047</v>
      </c>
      <c r="B1468" t="s">
        <v>5048</v>
      </c>
      <c r="C1468" t="s">
        <v>5049</v>
      </c>
      <c r="D1468" t="s">
        <v>5050</v>
      </c>
      <c r="E1468" t="s">
        <v>14</v>
      </c>
      <c r="F1468" t="s">
        <v>15</v>
      </c>
      <c r="G1468">
        <v>28203</v>
      </c>
      <c r="H1468" t="s">
        <v>16</v>
      </c>
      <c r="I1468">
        <v>178</v>
      </c>
      <c r="J1468">
        <v>1</v>
      </c>
      <c r="K1468" t="s">
        <v>8935</v>
      </c>
    </row>
    <row r="1469" spans="1:11" x14ac:dyDescent="0.25">
      <c r="A1469" t="s">
        <v>5051</v>
      </c>
      <c r="B1469" t="s">
        <v>5052</v>
      </c>
      <c r="C1469" t="s">
        <v>5053</v>
      </c>
      <c r="D1469" t="s">
        <v>5054</v>
      </c>
      <c r="E1469" t="s">
        <v>14</v>
      </c>
      <c r="F1469" t="s">
        <v>15</v>
      </c>
      <c r="G1469">
        <v>28217</v>
      </c>
      <c r="H1469" t="s">
        <v>265</v>
      </c>
      <c r="I1469">
        <v>9</v>
      </c>
      <c r="J1469">
        <v>1</v>
      </c>
      <c r="K1469" t="s">
        <v>8935</v>
      </c>
    </row>
    <row r="1470" spans="1:11" x14ac:dyDescent="0.25">
      <c r="A1470" t="s">
        <v>5055</v>
      </c>
      <c r="B1470" t="s">
        <v>5056</v>
      </c>
      <c r="C1470" t="s">
        <v>5057</v>
      </c>
      <c r="D1470" t="s">
        <v>5058</v>
      </c>
      <c r="E1470" t="s">
        <v>14</v>
      </c>
      <c r="F1470" t="s">
        <v>15</v>
      </c>
      <c r="G1470">
        <v>28217</v>
      </c>
      <c r="H1470" t="s">
        <v>21</v>
      </c>
      <c r="I1470">
        <v>144</v>
      </c>
      <c r="J1470">
        <v>1</v>
      </c>
      <c r="K1470" t="s">
        <v>8935</v>
      </c>
    </row>
    <row r="1471" spans="1:11" x14ac:dyDescent="0.25">
      <c r="A1471" t="s">
        <v>5059</v>
      </c>
      <c r="B1471" t="s">
        <v>5060</v>
      </c>
      <c r="C1471" t="s">
        <v>5061</v>
      </c>
      <c r="D1471" t="s">
        <v>5062</v>
      </c>
      <c r="E1471" t="s">
        <v>14</v>
      </c>
      <c r="F1471" t="s">
        <v>15</v>
      </c>
      <c r="G1471">
        <v>28273</v>
      </c>
      <c r="H1471" t="s">
        <v>16</v>
      </c>
      <c r="I1471">
        <v>167</v>
      </c>
      <c r="J1471">
        <v>1</v>
      </c>
      <c r="K1471" t="s">
        <v>8935</v>
      </c>
    </row>
    <row r="1472" spans="1:11" x14ac:dyDescent="0.25">
      <c r="A1472" t="s">
        <v>5063</v>
      </c>
      <c r="B1472" t="s">
        <v>5064</v>
      </c>
      <c r="C1472" t="s">
        <v>5065</v>
      </c>
      <c r="D1472" t="s">
        <v>4626</v>
      </c>
      <c r="E1472" t="s">
        <v>14</v>
      </c>
      <c r="F1472" t="s">
        <v>15</v>
      </c>
      <c r="G1472">
        <v>28202</v>
      </c>
      <c r="H1472" t="s">
        <v>39</v>
      </c>
      <c r="I1472">
        <v>390</v>
      </c>
      <c r="J1472">
        <v>1</v>
      </c>
      <c r="K1472" t="s">
        <v>8935</v>
      </c>
    </row>
    <row r="1473" spans="1:11" x14ac:dyDescent="0.25">
      <c r="A1473" t="s">
        <v>5066</v>
      </c>
      <c r="B1473" t="s">
        <v>5067</v>
      </c>
      <c r="C1473" t="s">
        <v>5068</v>
      </c>
      <c r="D1473" t="s">
        <v>5069</v>
      </c>
      <c r="E1473" t="s">
        <v>14</v>
      </c>
      <c r="F1473" t="s">
        <v>15</v>
      </c>
      <c r="G1473">
        <v>28204</v>
      </c>
      <c r="H1473" t="s">
        <v>21</v>
      </c>
      <c r="I1473">
        <v>53</v>
      </c>
      <c r="J1473">
        <v>1</v>
      </c>
      <c r="K1473" t="s">
        <v>8935</v>
      </c>
    </row>
    <row r="1474" spans="1:11" x14ac:dyDescent="0.25">
      <c r="A1474" t="s">
        <v>5070</v>
      </c>
      <c r="B1474" t="s">
        <v>5071</v>
      </c>
      <c r="C1474" t="s">
        <v>5072</v>
      </c>
      <c r="D1474" t="s">
        <v>565</v>
      </c>
      <c r="E1474" t="s">
        <v>14</v>
      </c>
      <c r="F1474" t="s">
        <v>15</v>
      </c>
      <c r="G1474">
        <v>28246</v>
      </c>
      <c r="H1474" t="s">
        <v>16</v>
      </c>
      <c r="I1474">
        <v>63</v>
      </c>
      <c r="J1474">
        <v>0</v>
      </c>
      <c r="K1474" t="s">
        <v>8920</v>
      </c>
    </row>
    <row r="1475" spans="1:11" x14ac:dyDescent="0.25">
      <c r="A1475" t="s">
        <v>5073</v>
      </c>
      <c r="B1475" t="s">
        <v>691</v>
      </c>
      <c r="C1475" t="s">
        <v>5074</v>
      </c>
      <c r="D1475" t="s">
        <v>5075</v>
      </c>
      <c r="E1475" t="s">
        <v>14</v>
      </c>
      <c r="F1475" t="s">
        <v>15</v>
      </c>
      <c r="G1475">
        <v>28211</v>
      </c>
      <c r="H1475" t="s">
        <v>16</v>
      </c>
      <c r="I1475">
        <v>15</v>
      </c>
      <c r="J1475">
        <v>0</v>
      </c>
      <c r="K1475" t="s">
        <v>8935</v>
      </c>
    </row>
    <row r="1476" spans="1:11" x14ac:dyDescent="0.25">
      <c r="A1476" t="s">
        <v>5076</v>
      </c>
      <c r="B1476" t="s">
        <v>5077</v>
      </c>
      <c r="C1476" t="s">
        <v>5078</v>
      </c>
      <c r="D1476" t="s">
        <v>5079</v>
      </c>
      <c r="E1476" t="s">
        <v>14</v>
      </c>
      <c r="F1476" t="s">
        <v>15</v>
      </c>
      <c r="G1476">
        <v>28205</v>
      </c>
      <c r="H1476" t="s">
        <v>39</v>
      </c>
      <c r="I1476">
        <v>10</v>
      </c>
      <c r="J1476">
        <v>1</v>
      </c>
      <c r="K1476" t="s">
        <v>8932</v>
      </c>
    </row>
    <row r="1477" spans="1:11" x14ac:dyDescent="0.25">
      <c r="A1477" t="s">
        <v>5080</v>
      </c>
      <c r="B1477" t="s">
        <v>90</v>
      </c>
      <c r="C1477" t="s">
        <v>5081</v>
      </c>
      <c r="D1477" t="s">
        <v>5082</v>
      </c>
      <c r="E1477" t="s">
        <v>14</v>
      </c>
      <c r="F1477" t="s">
        <v>15</v>
      </c>
      <c r="G1477">
        <v>28208</v>
      </c>
      <c r="H1477" t="s">
        <v>21</v>
      </c>
      <c r="I1477">
        <v>11</v>
      </c>
      <c r="J1477">
        <v>0</v>
      </c>
      <c r="K1477" t="s">
        <v>8935</v>
      </c>
    </row>
    <row r="1478" spans="1:11" x14ac:dyDescent="0.25">
      <c r="A1478" t="s">
        <v>5083</v>
      </c>
      <c r="B1478" t="s">
        <v>5084</v>
      </c>
      <c r="C1478" t="s">
        <v>5085</v>
      </c>
      <c r="D1478" t="s">
        <v>4309</v>
      </c>
      <c r="E1478" t="s">
        <v>14</v>
      </c>
      <c r="F1478" t="s">
        <v>15</v>
      </c>
      <c r="G1478">
        <v>28204</v>
      </c>
      <c r="H1478" t="s">
        <v>21</v>
      </c>
      <c r="I1478">
        <v>8</v>
      </c>
      <c r="J1478">
        <v>0</v>
      </c>
      <c r="K1478" t="s">
        <v>8935</v>
      </c>
    </row>
    <row r="1479" spans="1:11" x14ac:dyDescent="0.25">
      <c r="A1479" t="s">
        <v>5086</v>
      </c>
      <c r="B1479" t="s">
        <v>811</v>
      </c>
      <c r="C1479" t="s">
        <v>5087</v>
      </c>
      <c r="D1479" t="s">
        <v>5088</v>
      </c>
      <c r="E1479" t="s">
        <v>14</v>
      </c>
      <c r="F1479" t="s">
        <v>15</v>
      </c>
      <c r="G1479">
        <v>28262</v>
      </c>
      <c r="H1479" t="s">
        <v>21</v>
      </c>
      <c r="I1479">
        <v>74</v>
      </c>
      <c r="J1479">
        <v>1</v>
      </c>
      <c r="K1479" t="s">
        <v>8925</v>
      </c>
    </row>
    <row r="1480" spans="1:11" x14ac:dyDescent="0.25">
      <c r="A1480" t="s">
        <v>5089</v>
      </c>
      <c r="B1480" t="s">
        <v>5090</v>
      </c>
      <c r="C1480" t="s">
        <v>5091</v>
      </c>
      <c r="D1480" t="s">
        <v>1508</v>
      </c>
      <c r="E1480" t="s">
        <v>14</v>
      </c>
      <c r="F1480" t="s">
        <v>15</v>
      </c>
      <c r="G1480">
        <v>28205</v>
      </c>
      <c r="H1480" t="s">
        <v>39</v>
      </c>
      <c r="I1480">
        <v>12</v>
      </c>
      <c r="J1480">
        <v>0</v>
      </c>
      <c r="K1480" t="s">
        <v>8935</v>
      </c>
    </row>
    <row r="1481" spans="1:11" x14ac:dyDescent="0.25">
      <c r="A1481" t="s">
        <v>5092</v>
      </c>
      <c r="B1481" t="s">
        <v>5093</v>
      </c>
      <c r="C1481" t="s">
        <v>5094</v>
      </c>
      <c r="D1481" t="s">
        <v>565</v>
      </c>
      <c r="E1481" t="s">
        <v>14</v>
      </c>
      <c r="F1481" t="s">
        <v>15</v>
      </c>
      <c r="G1481">
        <v>28246</v>
      </c>
      <c r="H1481" t="s">
        <v>21</v>
      </c>
      <c r="I1481">
        <v>11</v>
      </c>
      <c r="J1481">
        <v>1</v>
      </c>
      <c r="K1481" t="s">
        <v>8935</v>
      </c>
    </row>
    <row r="1482" spans="1:11" x14ac:dyDescent="0.25">
      <c r="A1482" t="s">
        <v>5095</v>
      </c>
      <c r="B1482" t="s">
        <v>1188</v>
      </c>
      <c r="C1482" t="s">
        <v>5096</v>
      </c>
      <c r="D1482" t="s">
        <v>5097</v>
      </c>
      <c r="E1482" t="s">
        <v>14</v>
      </c>
      <c r="F1482" t="s">
        <v>15</v>
      </c>
      <c r="G1482">
        <v>28213</v>
      </c>
      <c r="H1482" t="s">
        <v>21</v>
      </c>
      <c r="I1482">
        <v>39</v>
      </c>
      <c r="J1482">
        <v>1</v>
      </c>
      <c r="K1482" t="s">
        <v>8935</v>
      </c>
    </row>
    <row r="1483" spans="1:11" x14ac:dyDescent="0.25">
      <c r="A1483" t="s">
        <v>5098</v>
      </c>
      <c r="B1483" t="s">
        <v>811</v>
      </c>
      <c r="C1483" t="s">
        <v>5099</v>
      </c>
      <c r="D1483" t="s">
        <v>5100</v>
      </c>
      <c r="E1483" t="s">
        <v>14</v>
      </c>
      <c r="F1483" t="s">
        <v>15</v>
      </c>
      <c r="G1483">
        <v>28212</v>
      </c>
      <c r="H1483" t="s">
        <v>39</v>
      </c>
      <c r="I1483">
        <v>41</v>
      </c>
      <c r="J1483">
        <v>1</v>
      </c>
      <c r="K1483" t="s">
        <v>8925</v>
      </c>
    </row>
    <row r="1484" spans="1:11" x14ac:dyDescent="0.25">
      <c r="A1484" t="s">
        <v>5101</v>
      </c>
      <c r="B1484" t="s">
        <v>5102</v>
      </c>
      <c r="C1484" t="s">
        <v>5103</v>
      </c>
      <c r="D1484" t="s">
        <v>5104</v>
      </c>
      <c r="E1484" t="s">
        <v>14</v>
      </c>
      <c r="F1484" t="s">
        <v>15</v>
      </c>
      <c r="G1484">
        <v>28214</v>
      </c>
      <c r="H1484" t="s">
        <v>16</v>
      </c>
      <c r="I1484">
        <v>7</v>
      </c>
      <c r="J1484">
        <v>1</v>
      </c>
      <c r="K1484" t="s">
        <v>8931</v>
      </c>
    </row>
    <row r="1485" spans="1:11" x14ac:dyDescent="0.25">
      <c r="A1485" t="s">
        <v>5105</v>
      </c>
      <c r="B1485" t="s">
        <v>5106</v>
      </c>
      <c r="C1485" t="s">
        <v>5107</v>
      </c>
      <c r="D1485" t="s">
        <v>5108</v>
      </c>
      <c r="E1485" t="s">
        <v>14</v>
      </c>
      <c r="F1485" t="s">
        <v>15</v>
      </c>
      <c r="G1485">
        <v>28211</v>
      </c>
      <c r="H1485" t="s">
        <v>39</v>
      </c>
      <c r="I1485">
        <v>5</v>
      </c>
      <c r="J1485">
        <v>1</v>
      </c>
      <c r="K1485" t="s">
        <v>8936</v>
      </c>
    </row>
    <row r="1486" spans="1:11" x14ac:dyDescent="0.25">
      <c r="A1486" t="s">
        <v>5109</v>
      </c>
      <c r="B1486" t="s">
        <v>5110</v>
      </c>
      <c r="C1486" t="s">
        <v>5111</v>
      </c>
      <c r="D1486" t="s">
        <v>5112</v>
      </c>
      <c r="E1486" t="s">
        <v>14</v>
      </c>
      <c r="F1486" t="s">
        <v>15</v>
      </c>
      <c r="G1486">
        <v>28205</v>
      </c>
      <c r="H1486" t="s">
        <v>26</v>
      </c>
      <c r="I1486">
        <v>21</v>
      </c>
      <c r="J1486">
        <v>1</v>
      </c>
      <c r="K1486" t="s">
        <v>8931</v>
      </c>
    </row>
    <row r="1487" spans="1:11" x14ac:dyDescent="0.25">
      <c r="A1487" t="s">
        <v>5113</v>
      </c>
      <c r="B1487" t="s">
        <v>279</v>
      </c>
      <c r="C1487" t="s">
        <v>5114</v>
      </c>
      <c r="D1487" t="s">
        <v>5115</v>
      </c>
      <c r="E1487" t="s">
        <v>14</v>
      </c>
      <c r="F1487" t="s">
        <v>15</v>
      </c>
      <c r="G1487">
        <v>28273</v>
      </c>
      <c r="H1487" t="s">
        <v>21</v>
      </c>
      <c r="I1487">
        <v>83</v>
      </c>
      <c r="J1487">
        <v>1</v>
      </c>
      <c r="K1487" t="s">
        <v>8926</v>
      </c>
    </row>
    <row r="1488" spans="1:11" x14ac:dyDescent="0.25">
      <c r="A1488" t="s">
        <v>5116</v>
      </c>
      <c r="B1488" t="s">
        <v>741</v>
      </c>
      <c r="C1488" t="s">
        <v>221</v>
      </c>
      <c r="D1488" t="s">
        <v>5117</v>
      </c>
      <c r="E1488" t="s">
        <v>14</v>
      </c>
      <c r="F1488" t="s">
        <v>15</v>
      </c>
      <c r="G1488">
        <v>28210</v>
      </c>
      <c r="H1488" t="s">
        <v>48</v>
      </c>
      <c r="I1488">
        <v>21</v>
      </c>
      <c r="J1488">
        <v>1</v>
      </c>
      <c r="K1488" t="s">
        <v>8935</v>
      </c>
    </row>
    <row r="1489" spans="1:11" x14ac:dyDescent="0.25">
      <c r="A1489" t="s">
        <v>5118</v>
      </c>
      <c r="B1489" t="s">
        <v>375</v>
      </c>
      <c r="C1489" t="s">
        <v>5119</v>
      </c>
      <c r="D1489" t="s">
        <v>5120</v>
      </c>
      <c r="E1489" t="s">
        <v>14</v>
      </c>
      <c r="F1489" t="s">
        <v>15</v>
      </c>
      <c r="G1489">
        <v>28205</v>
      </c>
      <c r="H1489" t="s">
        <v>26</v>
      </c>
      <c r="I1489">
        <v>72</v>
      </c>
      <c r="J1489">
        <v>1</v>
      </c>
      <c r="K1489" t="s">
        <v>8929</v>
      </c>
    </row>
    <row r="1490" spans="1:11" x14ac:dyDescent="0.25">
      <c r="A1490" t="s">
        <v>5121</v>
      </c>
      <c r="B1490" t="s">
        <v>5122</v>
      </c>
      <c r="C1490" t="s">
        <v>5123</v>
      </c>
      <c r="D1490" t="s">
        <v>5124</v>
      </c>
      <c r="E1490" t="s">
        <v>14</v>
      </c>
      <c r="F1490" t="s">
        <v>15</v>
      </c>
      <c r="G1490">
        <v>28206</v>
      </c>
      <c r="H1490" t="s">
        <v>39</v>
      </c>
      <c r="I1490">
        <v>16</v>
      </c>
      <c r="J1490">
        <v>1</v>
      </c>
      <c r="K1490" t="s">
        <v>8929</v>
      </c>
    </row>
    <row r="1491" spans="1:11" x14ac:dyDescent="0.25">
      <c r="A1491" t="s">
        <v>5125</v>
      </c>
      <c r="B1491" t="s">
        <v>1053</v>
      </c>
      <c r="C1491" t="s">
        <v>5126</v>
      </c>
      <c r="D1491" t="s">
        <v>5127</v>
      </c>
      <c r="E1491" t="s">
        <v>14</v>
      </c>
      <c r="F1491" t="s">
        <v>15</v>
      </c>
      <c r="G1491">
        <v>28208</v>
      </c>
      <c r="H1491" t="s">
        <v>16</v>
      </c>
      <c r="I1491">
        <v>110</v>
      </c>
      <c r="J1491">
        <v>1</v>
      </c>
      <c r="K1491" t="s">
        <v>8929</v>
      </c>
    </row>
    <row r="1492" spans="1:11" x14ac:dyDescent="0.25">
      <c r="A1492" t="s">
        <v>5128</v>
      </c>
      <c r="B1492" t="s">
        <v>5129</v>
      </c>
      <c r="C1492" t="s">
        <v>5130</v>
      </c>
      <c r="D1492" t="s">
        <v>5131</v>
      </c>
      <c r="E1492" t="s">
        <v>14</v>
      </c>
      <c r="F1492" t="s">
        <v>15</v>
      </c>
      <c r="G1492">
        <v>28207</v>
      </c>
      <c r="H1492" t="s">
        <v>21</v>
      </c>
      <c r="I1492">
        <v>14</v>
      </c>
      <c r="J1492">
        <v>1</v>
      </c>
      <c r="K1492" t="s">
        <v>8935</v>
      </c>
    </row>
    <row r="1493" spans="1:11" x14ac:dyDescent="0.25">
      <c r="A1493" t="s">
        <v>5132</v>
      </c>
      <c r="B1493" t="s">
        <v>1436</v>
      </c>
      <c r="C1493" t="s">
        <v>333</v>
      </c>
      <c r="D1493" t="s">
        <v>5133</v>
      </c>
      <c r="E1493" t="s">
        <v>14</v>
      </c>
      <c r="F1493" t="s">
        <v>15</v>
      </c>
      <c r="G1493">
        <v>28226</v>
      </c>
      <c r="H1493" t="s">
        <v>16</v>
      </c>
      <c r="I1493">
        <v>42</v>
      </c>
      <c r="J1493">
        <v>1</v>
      </c>
      <c r="K1493" t="s">
        <v>8935</v>
      </c>
    </row>
    <row r="1494" spans="1:11" x14ac:dyDescent="0.25">
      <c r="A1494" t="s">
        <v>5134</v>
      </c>
      <c r="B1494" t="s">
        <v>176</v>
      </c>
      <c r="C1494" t="s">
        <v>5135</v>
      </c>
      <c r="D1494" t="s">
        <v>5136</v>
      </c>
      <c r="E1494" t="s">
        <v>14</v>
      </c>
      <c r="F1494" t="s">
        <v>15</v>
      </c>
      <c r="G1494">
        <v>28204</v>
      </c>
      <c r="H1494" t="s">
        <v>16</v>
      </c>
      <c r="I1494">
        <v>49</v>
      </c>
      <c r="J1494">
        <v>1</v>
      </c>
      <c r="K1494" t="s">
        <v>8935</v>
      </c>
    </row>
    <row r="1495" spans="1:11" x14ac:dyDescent="0.25">
      <c r="A1495" t="s">
        <v>5137</v>
      </c>
      <c r="B1495" t="s">
        <v>5138</v>
      </c>
      <c r="C1495" t="s">
        <v>5139</v>
      </c>
      <c r="D1495" t="s">
        <v>5140</v>
      </c>
      <c r="E1495" t="s">
        <v>14</v>
      </c>
      <c r="F1495" t="s">
        <v>15</v>
      </c>
      <c r="G1495">
        <v>28202</v>
      </c>
      <c r="H1495" t="s">
        <v>21</v>
      </c>
      <c r="I1495">
        <v>144</v>
      </c>
      <c r="J1495">
        <v>1</v>
      </c>
      <c r="K1495" t="s">
        <v>8931</v>
      </c>
    </row>
    <row r="1496" spans="1:11" x14ac:dyDescent="0.25">
      <c r="A1496" t="s">
        <v>5141</v>
      </c>
      <c r="B1496" t="s">
        <v>2809</v>
      </c>
      <c r="C1496" t="s">
        <v>5142</v>
      </c>
      <c r="D1496" t="s">
        <v>5143</v>
      </c>
      <c r="E1496" t="s">
        <v>14</v>
      </c>
      <c r="F1496" t="s">
        <v>15</v>
      </c>
      <c r="G1496">
        <v>28206</v>
      </c>
      <c r="H1496" t="s">
        <v>21</v>
      </c>
      <c r="I1496">
        <v>9</v>
      </c>
      <c r="J1496">
        <v>1</v>
      </c>
      <c r="K1496" t="s">
        <v>8935</v>
      </c>
    </row>
    <row r="1497" spans="1:11" x14ac:dyDescent="0.25">
      <c r="A1497" t="s">
        <v>5144</v>
      </c>
      <c r="B1497" t="s">
        <v>5145</v>
      </c>
      <c r="C1497" t="s">
        <v>5146</v>
      </c>
      <c r="D1497" t="s">
        <v>1143</v>
      </c>
      <c r="E1497" t="s">
        <v>14</v>
      </c>
      <c r="F1497" t="s">
        <v>15</v>
      </c>
      <c r="G1497">
        <v>28202</v>
      </c>
      <c r="H1497" t="s">
        <v>16</v>
      </c>
      <c r="I1497">
        <v>84</v>
      </c>
      <c r="J1497">
        <v>1</v>
      </c>
      <c r="K1497" t="s">
        <v>8935</v>
      </c>
    </row>
    <row r="1498" spans="1:11" x14ac:dyDescent="0.25">
      <c r="A1498" t="s">
        <v>5147</v>
      </c>
      <c r="B1498" t="s">
        <v>1746</v>
      </c>
      <c r="C1498" t="s">
        <v>4328</v>
      </c>
      <c r="D1498" t="s">
        <v>5148</v>
      </c>
      <c r="E1498" t="s">
        <v>14</v>
      </c>
      <c r="F1498" t="s">
        <v>15</v>
      </c>
      <c r="G1498">
        <v>28262</v>
      </c>
      <c r="H1498" t="s">
        <v>26</v>
      </c>
      <c r="I1498">
        <v>85</v>
      </c>
      <c r="J1498">
        <v>1</v>
      </c>
      <c r="K1498" t="s">
        <v>8935</v>
      </c>
    </row>
    <row r="1499" spans="1:11" x14ac:dyDescent="0.25">
      <c r="A1499" t="s">
        <v>5149</v>
      </c>
      <c r="B1499" t="s">
        <v>5150</v>
      </c>
      <c r="C1499" t="s">
        <v>1415</v>
      </c>
      <c r="D1499" t="s">
        <v>4962</v>
      </c>
      <c r="E1499" t="s">
        <v>14</v>
      </c>
      <c r="F1499" t="s">
        <v>15</v>
      </c>
      <c r="G1499">
        <v>28277</v>
      </c>
      <c r="H1499" t="s">
        <v>48</v>
      </c>
      <c r="I1499">
        <v>40</v>
      </c>
      <c r="J1499">
        <v>0</v>
      </c>
      <c r="K1499" t="s">
        <v>8935</v>
      </c>
    </row>
    <row r="1500" spans="1:11" x14ac:dyDescent="0.25">
      <c r="A1500" t="s">
        <v>5151</v>
      </c>
      <c r="B1500" t="s">
        <v>1347</v>
      </c>
      <c r="C1500" t="s">
        <v>5152</v>
      </c>
      <c r="D1500" t="s">
        <v>5153</v>
      </c>
      <c r="E1500" t="s">
        <v>14</v>
      </c>
      <c r="F1500" t="s">
        <v>15</v>
      </c>
      <c r="G1500">
        <v>28262</v>
      </c>
      <c r="H1500" t="s">
        <v>21</v>
      </c>
      <c r="I1500">
        <v>9</v>
      </c>
      <c r="J1500">
        <v>0</v>
      </c>
      <c r="K1500" t="s">
        <v>8930</v>
      </c>
    </row>
    <row r="1501" spans="1:11" x14ac:dyDescent="0.25">
      <c r="A1501" t="s">
        <v>5154</v>
      </c>
      <c r="B1501" t="s">
        <v>5155</v>
      </c>
      <c r="C1501" t="s">
        <v>411</v>
      </c>
      <c r="D1501" t="s">
        <v>5156</v>
      </c>
      <c r="E1501" t="s">
        <v>14</v>
      </c>
      <c r="F1501" t="s">
        <v>15</v>
      </c>
      <c r="G1501">
        <v>28273</v>
      </c>
      <c r="H1501" t="s">
        <v>16</v>
      </c>
      <c r="I1501">
        <v>29</v>
      </c>
      <c r="J1501">
        <v>1</v>
      </c>
      <c r="K1501" t="s">
        <v>8935</v>
      </c>
    </row>
    <row r="1502" spans="1:11" x14ac:dyDescent="0.25">
      <c r="A1502" t="s">
        <v>5157</v>
      </c>
      <c r="B1502" t="s">
        <v>5158</v>
      </c>
      <c r="C1502" t="s">
        <v>5159</v>
      </c>
      <c r="D1502" t="s">
        <v>5160</v>
      </c>
      <c r="E1502" t="s">
        <v>14</v>
      </c>
      <c r="F1502" t="s">
        <v>15</v>
      </c>
      <c r="G1502">
        <v>28209</v>
      </c>
      <c r="H1502" t="s">
        <v>26</v>
      </c>
      <c r="I1502">
        <v>43</v>
      </c>
      <c r="J1502">
        <v>1</v>
      </c>
      <c r="K1502" t="s">
        <v>8926</v>
      </c>
    </row>
    <row r="1503" spans="1:11" x14ac:dyDescent="0.25">
      <c r="A1503" t="s">
        <v>5161</v>
      </c>
      <c r="B1503" t="s">
        <v>5162</v>
      </c>
      <c r="C1503" t="s">
        <v>5163</v>
      </c>
      <c r="D1503" t="s">
        <v>5164</v>
      </c>
      <c r="E1503" t="s">
        <v>14</v>
      </c>
      <c r="F1503" t="s">
        <v>15</v>
      </c>
      <c r="G1503">
        <v>28270</v>
      </c>
      <c r="H1503" t="s">
        <v>26</v>
      </c>
      <c r="I1503">
        <v>23</v>
      </c>
      <c r="J1503">
        <v>1</v>
      </c>
      <c r="K1503" t="s">
        <v>8926</v>
      </c>
    </row>
    <row r="1504" spans="1:11" x14ac:dyDescent="0.25">
      <c r="A1504" t="s">
        <v>5165</v>
      </c>
      <c r="B1504" t="s">
        <v>5166</v>
      </c>
      <c r="C1504" t="s">
        <v>5167</v>
      </c>
      <c r="D1504" t="s">
        <v>5168</v>
      </c>
      <c r="E1504" t="s">
        <v>14</v>
      </c>
      <c r="F1504" t="s">
        <v>15</v>
      </c>
      <c r="G1504">
        <v>28226</v>
      </c>
      <c r="H1504" t="s">
        <v>21</v>
      </c>
      <c r="I1504">
        <v>120</v>
      </c>
      <c r="J1504">
        <v>1</v>
      </c>
      <c r="K1504" t="s">
        <v>8935</v>
      </c>
    </row>
    <row r="1505" spans="1:11" x14ac:dyDescent="0.25">
      <c r="A1505" t="s">
        <v>5169</v>
      </c>
      <c r="B1505" t="s">
        <v>5170</v>
      </c>
      <c r="C1505" t="s">
        <v>622</v>
      </c>
      <c r="D1505" t="s">
        <v>5171</v>
      </c>
      <c r="E1505" t="s">
        <v>14</v>
      </c>
      <c r="F1505" t="s">
        <v>15</v>
      </c>
      <c r="G1505">
        <v>28202</v>
      </c>
      <c r="H1505" t="s">
        <v>21</v>
      </c>
      <c r="I1505">
        <v>8</v>
      </c>
      <c r="J1505">
        <v>1</v>
      </c>
      <c r="K1505" t="s">
        <v>8935</v>
      </c>
    </row>
    <row r="1506" spans="1:11" x14ac:dyDescent="0.25">
      <c r="A1506" t="s">
        <v>5172</v>
      </c>
      <c r="B1506" t="s">
        <v>5173</v>
      </c>
      <c r="C1506" t="s">
        <v>5174</v>
      </c>
      <c r="D1506" t="s">
        <v>5175</v>
      </c>
      <c r="E1506" t="s">
        <v>14</v>
      </c>
      <c r="F1506" t="s">
        <v>15</v>
      </c>
      <c r="G1506">
        <v>28212</v>
      </c>
      <c r="H1506" t="s">
        <v>21</v>
      </c>
      <c r="I1506">
        <v>18</v>
      </c>
      <c r="J1506">
        <v>1</v>
      </c>
      <c r="K1506" t="s">
        <v>8935</v>
      </c>
    </row>
    <row r="1507" spans="1:11" x14ac:dyDescent="0.25">
      <c r="A1507" t="s">
        <v>5176</v>
      </c>
      <c r="B1507" t="s">
        <v>5177</v>
      </c>
      <c r="C1507" t="s">
        <v>5178</v>
      </c>
      <c r="D1507" t="s">
        <v>5179</v>
      </c>
      <c r="E1507" t="s">
        <v>14</v>
      </c>
      <c r="F1507" t="s">
        <v>15</v>
      </c>
      <c r="G1507">
        <v>28205</v>
      </c>
      <c r="H1507" t="s">
        <v>26</v>
      </c>
      <c r="I1507">
        <v>140</v>
      </c>
      <c r="J1507">
        <v>0</v>
      </c>
      <c r="K1507" t="s">
        <v>8935</v>
      </c>
    </row>
    <row r="1508" spans="1:11" x14ac:dyDescent="0.25">
      <c r="A1508" t="s">
        <v>5180</v>
      </c>
      <c r="B1508" t="s">
        <v>5181</v>
      </c>
      <c r="C1508" t="s">
        <v>5135</v>
      </c>
      <c r="D1508" t="s">
        <v>5182</v>
      </c>
      <c r="E1508" t="s">
        <v>14</v>
      </c>
      <c r="F1508" t="s">
        <v>15</v>
      </c>
      <c r="G1508">
        <v>28202</v>
      </c>
      <c r="H1508" t="s">
        <v>16</v>
      </c>
      <c r="I1508">
        <v>56</v>
      </c>
      <c r="J1508">
        <v>1</v>
      </c>
      <c r="K1508" t="s">
        <v>8935</v>
      </c>
    </row>
    <row r="1509" spans="1:11" x14ac:dyDescent="0.25">
      <c r="A1509" t="s">
        <v>5183</v>
      </c>
      <c r="B1509" t="s">
        <v>5184</v>
      </c>
      <c r="C1509" t="s">
        <v>5185</v>
      </c>
      <c r="D1509" t="s">
        <v>2215</v>
      </c>
      <c r="E1509" t="s">
        <v>14</v>
      </c>
      <c r="F1509" t="s">
        <v>15</v>
      </c>
      <c r="G1509">
        <v>28217</v>
      </c>
      <c r="H1509" t="s">
        <v>26</v>
      </c>
      <c r="I1509">
        <v>14</v>
      </c>
      <c r="J1509">
        <v>0</v>
      </c>
      <c r="K1509" t="s">
        <v>8935</v>
      </c>
    </row>
    <row r="1510" spans="1:11" x14ac:dyDescent="0.25">
      <c r="A1510" t="s">
        <v>5186</v>
      </c>
      <c r="B1510" t="s">
        <v>5187</v>
      </c>
      <c r="C1510" t="s">
        <v>364</v>
      </c>
      <c r="D1510" t="s">
        <v>5188</v>
      </c>
      <c r="E1510" t="s">
        <v>14</v>
      </c>
      <c r="F1510" t="s">
        <v>15</v>
      </c>
      <c r="G1510">
        <v>28269</v>
      </c>
      <c r="H1510" t="s">
        <v>101</v>
      </c>
      <c r="I1510">
        <v>4</v>
      </c>
      <c r="J1510">
        <v>1</v>
      </c>
      <c r="K1510" t="s">
        <v>8935</v>
      </c>
    </row>
    <row r="1511" spans="1:11" x14ac:dyDescent="0.25">
      <c r="A1511" t="s">
        <v>5189</v>
      </c>
      <c r="B1511" t="s">
        <v>176</v>
      </c>
      <c r="C1511" t="s">
        <v>4635</v>
      </c>
      <c r="D1511" t="s">
        <v>5190</v>
      </c>
      <c r="E1511" t="s">
        <v>14</v>
      </c>
      <c r="F1511" t="s">
        <v>15</v>
      </c>
      <c r="G1511">
        <v>28262</v>
      </c>
      <c r="H1511" t="s">
        <v>16</v>
      </c>
      <c r="I1511">
        <v>29</v>
      </c>
      <c r="J1511">
        <v>1</v>
      </c>
      <c r="K1511" t="s">
        <v>8935</v>
      </c>
    </row>
    <row r="1512" spans="1:11" x14ac:dyDescent="0.25">
      <c r="A1512" t="s">
        <v>5191</v>
      </c>
      <c r="B1512" t="s">
        <v>5192</v>
      </c>
      <c r="C1512" t="s">
        <v>5193</v>
      </c>
      <c r="D1512" t="s">
        <v>5194</v>
      </c>
      <c r="E1512" t="s">
        <v>14</v>
      </c>
      <c r="F1512" t="s">
        <v>15</v>
      </c>
      <c r="G1512">
        <v>28277</v>
      </c>
      <c r="H1512" t="s">
        <v>39</v>
      </c>
      <c r="I1512">
        <v>413</v>
      </c>
      <c r="J1512">
        <v>1</v>
      </c>
      <c r="K1512" t="s">
        <v>8931</v>
      </c>
    </row>
    <row r="1513" spans="1:11" x14ac:dyDescent="0.25">
      <c r="A1513" t="s">
        <v>5195</v>
      </c>
      <c r="B1513" t="s">
        <v>5196</v>
      </c>
      <c r="C1513" t="s">
        <v>5197</v>
      </c>
      <c r="D1513" t="s">
        <v>5198</v>
      </c>
      <c r="E1513" t="s">
        <v>14</v>
      </c>
      <c r="F1513" t="s">
        <v>15</v>
      </c>
      <c r="G1513">
        <v>28208</v>
      </c>
      <c r="H1513" t="s">
        <v>101</v>
      </c>
      <c r="I1513">
        <v>125</v>
      </c>
      <c r="J1513">
        <v>1</v>
      </c>
      <c r="K1513" t="s">
        <v>8935</v>
      </c>
    </row>
    <row r="1514" spans="1:11" x14ac:dyDescent="0.25">
      <c r="A1514" t="s">
        <v>5199</v>
      </c>
      <c r="B1514" t="s">
        <v>1301</v>
      </c>
      <c r="C1514" t="s">
        <v>5200</v>
      </c>
      <c r="D1514" t="s">
        <v>5201</v>
      </c>
      <c r="E1514" t="s">
        <v>14</v>
      </c>
      <c r="F1514" t="s">
        <v>15</v>
      </c>
      <c r="G1514">
        <v>28270</v>
      </c>
      <c r="H1514" t="s">
        <v>21</v>
      </c>
      <c r="I1514">
        <v>4</v>
      </c>
      <c r="J1514">
        <v>0</v>
      </c>
      <c r="K1514" t="s">
        <v>8935</v>
      </c>
    </row>
    <row r="1515" spans="1:11" x14ac:dyDescent="0.25">
      <c r="A1515" t="s">
        <v>5202</v>
      </c>
      <c r="B1515" t="s">
        <v>5203</v>
      </c>
      <c r="C1515" t="s">
        <v>5204</v>
      </c>
      <c r="D1515" t="s">
        <v>5205</v>
      </c>
      <c r="E1515" t="s">
        <v>14</v>
      </c>
      <c r="F1515" t="s">
        <v>15</v>
      </c>
      <c r="G1515">
        <v>28202</v>
      </c>
      <c r="H1515" t="s">
        <v>16</v>
      </c>
      <c r="I1515">
        <v>17</v>
      </c>
      <c r="J1515">
        <v>0</v>
      </c>
      <c r="K1515" t="s">
        <v>8935</v>
      </c>
    </row>
    <row r="1516" spans="1:11" x14ac:dyDescent="0.25">
      <c r="A1516" t="s">
        <v>5206</v>
      </c>
      <c r="B1516" t="s">
        <v>556</v>
      </c>
      <c r="C1516" t="s">
        <v>5207</v>
      </c>
      <c r="D1516" t="s">
        <v>2829</v>
      </c>
      <c r="E1516" t="s">
        <v>14</v>
      </c>
      <c r="F1516" t="s">
        <v>15</v>
      </c>
      <c r="G1516">
        <v>28204</v>
      </c>
      <c r="H1516" t="s">
        <v>26</v>
      </c>
      <c r="I1516">
        <v>20</v>
      </c>
      <c r="J1516">
        <v>0</v>
      </c>
      <c r="K1516" t="s">
        <v>8935</v>
      </c>
    </row>
    <row r="1517" spans="1:11" x14ac:dyDescent="0.25">
      <c r="A1517" t="s">
        <v>5208</v>
      </c>
      <c r="B1517" t="s">
        <v>5209</v>
      </c>
      <c r="C1517" t="s">
        <v>5210</v>
      </c>
      <c r="D1517" t="s">
        <v>3386</v>
      </c>
      <c r="E1517" t="s">
        <v>14</v>
      </c>
      <c r="F1517" t="s">
        <v>15</v>
      </c>
      <c r="G1517">
        <v>28203</v>
      </c>
      <c r="H1517" t="s">
        <v>16</v>
      </c>
      <c r="I1517">
        <v>161</v>
      </c>
      <c r="J1517">
        <v>0</v>
      </c>
      <c r="K1517" t="s">
        <v>8935</v>
      </c>
    </row>
    <row r="1518" spans="1:11" x14ac:dyDescent="0.25">
      <c r="A1518" t="s">
        <v>5211</v>
      </c>
      <c r="B1518" t="s">
        <v>3862</v>
      </c>
      <c r="C1518" t="s">
        <v>87</v>
      </c>
      <c r="D1518" t="s">
        <v>5212</v>
      </c>
      <c r="E1518" t="s">
        <v>14</v>
      </c>
      <c r="F1518" t="s">
        <v>15</v>
      </c>
      <c r="G1518">
        <v>28273</v>
      </c>
      <c r="H1518" t="s">
        <v>101</v>
      </c>
      <c r="I1518">
        <v>12</v>
      </c>
      <c r="J1518">
        <v>1</v>
      </c>
      <c r="K1518" t="s">
        <v>8935</v>
      </c>
    </row>
    <row r="1519" spans="1:11" x14ac:dyDescent="0.25">
      <c r="A1519" t="s">
        <v>5213</v>
      </c>
      <c r="B1519" t="s">
        <v>1620</v>
      </c>
      <c r="C1519" t="s">
        <v>364</v>
      </c>
      <c r="D1519" t="s">
        <v>5214</v>
      </c>
      <c r="E1519" t="s">
        <v>14</v>
      </c>
      <c r="F1519" t="s">
        <v>15</v>
      </c>
      <c r="G1519">
        <v>28278</v>
      </c>
      <c r="H1519" t="s">
        <v>48</v>
      </c>
      <c r="I1519">
        <v>6</v>
      </c>
      <c r="J1519">
        <v>1</v>
      </c>
      <c r="K1519" t="s">
        <v>8935</v>
      </c>
    </row>
    <row r="1520" spans="1:11" x14ac:dyDescent="0.25">
      <c r="A1520" t="s">
        <v>5215</v>
      </c>
      <c r="B1520" t="s">
        <v>1898</v>
      </c>
      <c r="C1520" t="s">
        <v>5216</v>
      </c>
      <c r="D1520" t="s">
        <v>5217</v>
      </c>
      <c r="E1520" t="s">
        <v>14</v>
      </c>
      <c r="F1520" t="s">
        <v>15</v>
      </c>
      <c r="G1520">
        <v>28277</v>
      </c>
      <c r="H1520" t="s">
        <v>48</v>
      </c>
      <c r="I1520">
        <v>62</v>
      </c>
      <c r="J1520">
        <v>0</v>
      </c>
      <c r="K1520" t="s">
        <v>8936</v>
      </c>
    </row>
    <row r="1521" spans="1:11" x14ac:dyDescent="0.25">
      <c r="A1521" t="s">
        <v>5218</v>
      </c>
      <c r="B1521" t="s">
        <v>5219</v>
      </c>
      <c r="C1521" t="s">
        <v>5220</v>
      </c>
      <c r="D1521" t="s">
        <v>5221</v>
      </c>
      <c r="E1521" t="s">
        <v>14</v>
      </c>
      <c r="F1521" t="s">
        <v>15</v>
      </c>
      <c r="G1521">
        <v>28205</v>
      </c>
      <c r="H1521" t="s">
        <v>21</v>
      </c>
      <c r="I1521">
        <v>96</v>
      </c>
      <c r="J1521">
        <v>1</v>
      </c>
      <c r="K1521" t="s">
        <v>8921</v>
      </c>
    </row>
    <row r="1522" spans="1:11" x14ac:dyDescent="0.25">
      <c r="A1522" t="s">
        <v>5222</v>
      </c>
      <c r="B1522" t="s">
        <v>5223</v>
      </c>
      <c r="C1522" t="s">
        <v>5224</v>
      </c>
      <c r="D1522" t="s">
        <v>5225</v>
      </c>
      <c r="E1522" t="s">
        <v>14</v>
      </c>
      <c r="F1522" t="s">
        <v>15</v>
      </c>
      <c r="G1522">
        <v>28204</v>
      </c>
      <c r="H1522" t="s">
        <v>21</v>
      </c>
      <c r="I1522">
        <v>447</v>
      </c>
      <c r="J1522">
        <v>1</v>
      </c>
      <c r="K1522" t="s">
        <v>8921</v>
      </c>
    </row>
    <row r="1523" spans="1:11" x14ac:dyDescent="0.25">
      <c r="A1523" t="s">
        <v>5226</v>
      </c>
      <c r="B1523" t="s">
        <v>5227</v>
      </c>
      <c r="C1523" t="s">
        <v>5228</v>
      </c>
      <c r="D1523" t="s">
        <v>3424</v>
      </c>
      <c r="E1523" t="s">
        <v>14</v>
      </c>
      <c r="F1523" t="s">
        <v>15</v>
      </c>
      <c r="G1523">
        <v>28209</v>
      </c>
      <c r="H1523" t="s">
        <v>21</v>
      </c>
      <c r="I1523">
        <v>171</v>
      </c>
      <c r="J1523">
        <v>1</v>
      </c>
      <c r="K1523" t="s">
        <v>8928</v>
      </c>
    </row>
    <row r="1524" spans="1:11" x14ac:dyDescent="0.25">
      <c r="A1524" t="s">
        <v>5229</v>
      </c>
      <c r="B1524" t="s">
        <v>2809</v>
      </c>
      <c r="C1524" t="s">
        <v>5230</v>
      </c>
      <c r="D1524" t="s">
        <v>5231</v>
      </c>
      <c r="E1524" t="s">
        <v>14</v>
      </c>
      <c r="F1524" t="s">
        <v>15</v>
      </c>
      <c r="G1524">
        <v>28273</v>
      </c>
      <c r="H1524" t="s">
        <v>21</v>
      </c>
      <c r="I1524">
        <v>41</v>
      </c>
      <c r="J1524">
        <v>0</v>
      </c>
      <c r="K1524" t="s">
        <v>8935</v>
      </c>
    </row>
    <row r="1525" spans="1:11" x14ac:dyDescent="0.25">
      <c r="A1525" t="s">
        <v>5232</v>
      </c>
      <c r="B1525" t="s">
        <v>5233</v>
      </c>
      <c r="C1525" t="s">
        <v>5234</v>
      </c>
      <c r="D1525" t="s">
        <v>5235</v>
      </c>
      <c r="E1525" t="s">
        <v>14</v>
      </c>
      <c r="F1525" t="s">
        <v>15</v>
      </c>
      <c r="G1525">
        <v>28262</v>
      </c>
      <c r="H1525" t="s">
        <v>21</v>
      </c>
      <c r="I1525">
        <v>68</v>
      </c>
      <c r="J1525">
        <v>1</v>
      </c>
      <c r="K1525" t="s">
        <v>8935</v>
      </c>
    </row>
    <row r="1526" spans="1:11" x14ac:dyDescent="0.25">
      <c r="A1526" t="s">
        <v>5236</v>
      </c>
      <c r="B1526" t="s">
        <v>5237</v>
      </c>
      <c r="C1526" t="s">
        <v>5238</v>
      </c>
      <c r="D1526" t="s">
        <v>5239</v>
      </c>
      <c r="E1526" t="s">
        <v>14</v>
      </c>
      <c r="F1526" t="s">
        <v>15</v>
      </c>
      <c r="G1526">
        <v>28202</v>
      </c>
      <c r="H1526" t="s">
        <v>16</v>
      </c>
      <c r="I1526">
        <v>68</v>
      </c>
      <c r="J1526">
        <v>0</v>
      </c>
      <c r="K1526" t="s">
        <v>8935</v>
      </c>
    </row>
    <row r="1527" spans="1:11" x14ac:dyDescent="0.25">
      <c r="A1527" t="s">
        <v>5240</v>
      </c>
      <c r="B1527" t="s">
        <v>139</v>
      </c>
      <c r="C1527" t="s">
        <v>956</v>
      </c>
      <c r="D1527" t="s">
        <v>5241</v>
      </c>
      <c r="E1527" t="s">
        <v>14</v>
      </c>
      <c r="F1527" t="s">
        <v>15</v>
      </c>
      <c r="G1527">
        <v>28227</v>
      </c>
      <c r="H1527" t="s">
        <v>21</v>
      </c>
      <c r="I1527">
        <v>7</v>
      </c>
      <c r="J1527">
        <v>1</v>
      </c>
      <c r="K1527" t="s">
        <v>8926</v>
      </c>
    </row>
    <row r="1528" spans="1:11" x14ac:dyDescent="0.25">
      <c r="A1528" t="s">
        <v>5242</v>
      </c>
      <c r="B1528" t="s">
        <v>5243</v>
      </c>
      <c r="C1528" t="s">
        <v>5244</v>
      </c>
      <c r="D1528" t="s">
        <v>5245</v>
      </c>
      <c r="E1528" t="s">
        <v>14</v>
      </c>
      <c r="F1528" t="s">
        <v>15</v>
      </c>
      <c r="G1528">
        <v>28205</v>
      </c>
      <c r="H1528" t="s">
        <v>16</v>
      </c>
      <c r="I1528">
        <v>44</v>
      </c>
      <c r="J1528">
        <v>1</v>
      </c>
      <c r="K1528" t="s">
        <v>8931</v>
      </c>
    </row>
    <row r="1529" spans="1:11" x14ac:dyDescent="0.25">
      <c r="A1529" t="s">
        <v>5246</v>
      </c>
      <c r="B1529" t="s">
        <v>5247</v>
      </c>
      <c r="C1529" t="s">
        <v>735</v>
      </c>
      <c r="D1529" t="s">
        <v>5248</v>
      </c>
      <c r="E1529" t="s">
        <v>14</v>
      </c>
      <c r="F1529" t="s">
        <v>15</v>
      </c>
      <c r="G1529">
        <v>28277</v>
      </c>
      <c r="H1529" t="s">
        <v>26</v>
      </c>
      <c r="I1529">
        <v>28</v>
      </c>
      <c r="J1529">
        <v>1</v>
      </c>
      <c r="K1529" t="s">
        <v>8935</v>
      </c>
    </row>
    <row r="1530" spans="1:11" x14ac:dyDescent="0.25">
      <c r="A1530" t="s">
        <v>5249</v>
      </c>
      <c r="B1530" t="s">
        <v>5250</v>
      </c>
      <c r="C1530" t="s">
        <v>5251</v>
      </c>
      <c r="D1530" t="s">
        <v>5252</v>
      </c>
      <c r="E1530" t="s">
        <v>14</v>
      </c>
      <c r="F1530" t="s">
        <v>15</v>
      </c>
      <c r="G1530">
        <v>28205</v>
      </c>
      <c r="H1530" t="s">
        <v>26</v>
      </c>
      <c r="I1530">
        <v>12</v>
      </c>
      <c r="J1530">
        <v>1</v>
      </c>
      <c r="K1530" t="s">
        <v>8931</v>
      </c>
    </row>
    <row r="1531" spans="1:11" x14ac:dyDescent="0.25">
      <c r="A1531" t="s">
        <v>5253</v>
      </c>
      <c r="B1531" t="s">
        <v>910</v>
      </c>
      <c r="C1531" t="s">
        <v>5254</v>
      </c>
      <c r="D1531" t="s">
        <v>5255</v>
      </c>
      <c r="E1531" t="s">
        <v>14</v>
      </c>
      <c r="F1531" t="s">
        <v>15</v>
      </c>
      <c r="G1531">
        <v>28280</v>
      </c>
      <c r="H1531" t="s">
        <v>101</v>
      </c>
      <c r="I1531">
        <v>11</v>
      </c>
      <c r="J1531">
        <v>0</v>
      </c>
      <c r="K1531" t="s">
        <v>8935</v>
      </c>
    </row>
    <row r="1532" spans="1:11" x14ac:dyDescent="0.25">
      <c r="A1532" t="s">
        <v>5256</v>
      </c>
      <c r="B1532" t="s">
        <v>5257</v>
      </c>
      <c r="C1532" t="s">
        <v>1153</v>
      </c>
      <c r="D1532" t="s">
        <v>5258</v>
      </c>
      <c r="E1532" t="s">
        <v>14</v>
      </c>
      <c r="F1532" t="s">
        <v>15</v>
      </c>
      <c r="G1532">
        <v>28203</v>
      </c>
      <c r="H1532" t="s">
        <v>39</v>
      </c>
      <c r="I1532">
        <v>186</v>
      </c>
      <c r="J1532">
        <v>0</v>
      </c>
      <c r="K1532" t="s">
        <v>8935</v>
      </c>
    </row>
    <row r="1533" spans="1:11" x14ac:dyDescent="0.25">
      <c r="A1533" t="s">
        <v>5259</v>
      </c>
      <c r="B1533" t="s">
        <v>5260</v>
      </c>
      <c r="C1533" t="s">
        <v>1608</v>
      </c>
      <c r="D1533" t="s">
        <v>5261</v>
      </c>
      <c r="E1533" t="s">
        <v>14</v>
      </c>
      <c r="F1533" t="s">
        <v>15</v>
      </c>
      <c r="G1533">
        <v>28216</v>
      </c>
      <c r="H1533" t="s">
        <v>195</v>
      </c>
      <c r="I1533">
        <v>16</v>
      </c>
      <c r="J1533">
        <v>1</v>
      </c>
      <c r="K1533" t="s">
        <v>8921</v>
      </c>
    </row>
    <row r="1534" spans="1:11" x14ac:dyDescent="0.25">
      <c r="A1534" t="s">
        <v>5262</v>
      </c>
      <c r="B1534" t="s">
        <v>5263</v>
      </c>
      <c r="C1534" t="s">
        <v>5264</v>
      </c>
      <c r="D1534" t="s">
        <v>5265</v>
      </c>
      <c r="E1534" t="s">
        <v>14</v>
      </c>
      <c r="F1534" t="s">
        <v>15</v>
      </c>
      <c r="G1534">
        <v>28202</v>
      </c>
      <c r="H1534" t="s">
        <v>16</v>
      </c>
      <c r="I1534">
        <v>154</v>
      </c>
      <c r="J1534">
        <v>1</v>
      </c>
      <c r="K1534" t="s">
        <v>8935</v>
      </c>
    </row>
    <row r="1535" spans="1:11" x14ac:dyDescent="0.25">
      <c r="A1535" t="s">
        <v>5266</v>
      </c>
      <c r="B1535" t="s">
        <v>5267</v>
      </c>
      <c r="C1535" t="s">
        <v>5268</v>
      </c>
      <c r="D1535" t="s">
        <v>5269</v>
      </c>
      <c r="E1535" t="s">
        <v>14</v>
      </c>
      <c r="F1535" t="s">
        <v>15</v>
      </c>
      <c r="G1535">
        <v>28213</v>
      </c>
      <c r="H1535" t="s">
        <v>21</v>
      </c>
      <c r="I1535">
        <v>60</v>
      </c>
      <c r="J1535">
        <v>0</v>
      </c>
      <c r="K1535" t="s">
        <v>8935</v>
      </c>
    </row>
    <row r="1536" spans="1:11" x14ac:dyDescent="0.25">
      <c r="A1536" t="s">
        <v>5270</v>
      </c>
      <c r="B1536" t="s">
        <v>5271</v>
      </c>
      <c r="C1536" t="s">
        <v>5272</v>
      </c>
      <c r="E1536" t="s">
        <v>14</v>
      </c>
      <c r="F1536" t="s">
        <v>15</v>
      </c>
      <c r="G1536">
        <v>28202</v>
      </c>
      <c r="H1536" t="s">
        <v>26</v>
      </c>
      <c r="I1536">
        <v>4</v>
      </c>
      <c r="J1536">
        <v>1</v>
      </c>
      <c r="K1536" t="s">
        <v>8935</v>
      </c>
    </row>
    <row r="1537" spans="1:11" x14ac:dyDescent="0.25">
      <c r="A1537" t="s">
        <v>5273</v>
      </c>
      <c r="B1537" t="s">
        <v>5274</v>
      </c>
      <c r="C1537" t="s">
        <v>5275</v>
      </c>
      <c r="D1537" t="s">
        <v>1284</v>
      </c>
      <c r="E1537" t="s">
        <v>14</v>
      </c>
      <c r="F1537" t="s">
        <v>15</v>
      </c>
      <c r="G1537">
        <v>28202</v>
      </c>
      <c r="H1537" t="s">
        <v>21</v>
      </c>
      <c r="I1537">
        <v>35</v>
      </c>
      <c r="J1537">
        <v>1</v>
      </c>
      <c r="K1537" t="s">
        <v>8935</v>
      </c>
    </row>
    <row r="1538" spans="1:11" x14ac:dyDescent="0.25">
      <c r="A1538" t="s">
        <v>5276</v>
      </c>
      <c r="B1538" t="s">
        <v>5277</v>
      </c>
      <c r="C1538" t="s">
        <v>1612</v>
      </c>
      <c r="D1538" t="s">
        <v>5278</v>
      </c>
      <c r="E1538" t="s">
        <v>14</v>
      </c>
      <c r="F1538" t="s">
        <v>15</v>
      </c>
      <c r="G1538">
        <v>28244</v>
      </c>
      <c r="H1538" t="s">
        <v>21</v>
      </c>
      <c r="I1538">
        <v>24</v>
      </c>
      <c r="J1538">
        <v>1</v>
      </c>
      <c r="K1538" t="s">
        <v>8922</v>
      </c>
    </row>
    <row r="1539" spans="1:11" x14ac:dyDescent="0.25">
      <c r="A1539" t="s">
        <v>5279</v>
      </c>
      <c r="B1539" t="s">
        <v>5280</v>
      </c>
      <c r="C1539" t="s">
        <v>2653</v>
      </c>
      <c r="D1539" t="s">
        <v>5281</v>
      </c>
      <c r="E1539" t="s">
        <v>14</v>
      </c>
      <c r="F1539" t="s">
        <v>15</v>
      </c>
      <c r="G1539">
        <v>28211</v>
      </c>
      <c r="H1539" t="s">
        <v>16</v>
      </c>
      <c r="I1539">
        <v>315</v>
      </c>
      <c r="J1539">
        <v>1</v>
      </c>
      <c r="K1539" t="s">
        <v>8935</v>
      </c>
    </row>
    <row r="1540" spans="1:11" x14ac:dyDescent="0.25">
      <c r="A1540" t="s">
        <v>5282</v>
      </c>
      <c r="B1540" t="s">
        <v>5283</v>
      </c>
      <c r="C1540" t="s">
        <v>1362</v>
      </c>
      <c r="D1540" t="s">
        <v>5284</v>
      </c>
      <c r="E1540" t="s">
        <v>14</v>
      </c>
      <c r="F1540" t="s">
        <v>15</v>
      </c>
      <c r="G1540">
        <v>28202</v>
      </c>
      <c r="H1540" t="s">
        <v>21</v>
      </c>
      <c r="I1540">
        <v>341</v>
      </c>
      <c r="J1540">
        <v>1</v>
      </c>
      <c r="K1540" t="s">
        <v>8935</v>
      </c>
    </row>
    <row r="1541" spans="1:11" x14ac:dyDescent="0.25">
      <c r="A1541" t="s">
        <v>5285</v>
      </c>
      <c r="B1541" t="s">
        <v>5286</v>
      </c>
      <c r="C1541" t="s">
        <v>2723</v>
      </c>
      <c r="D1541" t="s">
        <v>5287</v>
      </c>
      <c r="E1541" t="s">
        <v>14</v>
      </c>
      <c r="F1541" t="s">
        <v>15</v>
      </c>
      <c r="G1541">
        <v>28210</v>
      </c>
      <c r="H1541" t="s">
        <v>26</v>
      </c>
      <c r="I1541">
        <v>53</v>
      </c>
      <c r="J1541">
        <v>1</v>
      </c>
      <c r="K1541" t="s">
        <v>8935</v>
      </c>
    </row>
    <row r="1542" spans="1:11" x14ac:dyDescent="0.25">
      <c r="A1542" t="s">
        <v>5288</v>
      </c>
      <c r="B1542" t="s">
        <v>5289</v>
      </c>
      <c r="C1542" t="s">
        <v>5290</v>
      </c>
      <c r="D1542" t="s">
        <v>5291</v>
      </c>
      <c r="E1542" t="s">
        <v>14</v>
      </c>
      <c r="F1542" t="s">
        <v>15</v>
      </c>
      <c r="G1542">
        <v>28211</v>
      </c>
      <c r="H1542" t="s">
        <v>39</v>
      </c>
      <c r="I1542">
        <v>3</v>
      </c>
      <c r="J1542">
        <v>0</v>
      </c>
      <c r="K1542" t="s">
        <v>8935</v>
      </c>
    </row>
    <row r="1543" spans="1:11" x14ac:dyDescent="0.25">
      <c r="A1543" t="s">
        <v>5292</v>
      </c>
      <c r="B1543" t="s">
        <v>316</v>
      </c>
      <c r="C1543" t="s">
        <v>5293</v>
      </c>
      <c r="D1543" t="s">
        <v>5294</v>
      </c>
      <c r="E1543" t="s">
        <v>14</v>
      </c>
      <c r="F1543" t="s">
        <v>15</v>
      </c>
      <c r="G1543">
        <v>28211</v>
      </c>
      <c r="H1543" t="s">
        <v>101</v>
      </c>
      <c r="I1543">
        <v>4</v>
      </c>
      <c r="J1543">
        <v>1</v>
      </c>
      <c r="K1543" t="s">
        <v>8935</v>
      </c>
    </row>
    <row r="1544" spans="1:11" x14ac:dyDescent="0.25">
      <c r="A1544" t="s">
        <v>5295</v>
      </c>
      <c r="B1544" t="s">
        <v>5296</v>
      </c>
      <c r="C1544" t="s">
        <v>5297</v>
      </c>
      <c r="D1544" t="s">
        <v>2432</v>
      </c>
      <c r="E1544" t="s">
        <v>14</v>
      </c>
      <c r="F1544" t="s">
        <v>15</v>
      </c>
      <c r="G1544">
        <v>28273</v>
      </c>
      <c r="H1544" t="s">
        <v>21</v>
      </c>
      <c r="I1544">
        <v>51</v>
      </c>
      <c r="J1544">
        <v>1</v>
      </c>
      <c r="K1544" t="s">
        <v>8935</v>
      </c>
    </row>
    <row r="1545" spans="1:11" x14ac:dyDescent="0.25">
      <c r="A1545" t="s">
        <v>5298</v>
      </c>
      <c r="B1545" t="s">
        <v>316</v>
      </c>
      <c r="C1545" t="s">
        <v>317</v>
      </c>
      <c r="D1545" t="s">
        <v>3881</v>
      </c>
      <c r="E1545" t="s">
        <v>14</v>
      </c>
      <c r="F1545" t="s">
        <v>15</v>
      </c>
      <c r="G1545">
        <v>28204</v>
      </c>
      <c r="H1545" t="s">
        <v>101</v>
      </c>
      <c r="I1545">
        <v>28</v>
      </c>
      <c r="J1545">
        <v>1</v>
      </c>
      <c r="K1545" t="s">
        <v>8935</v>
      </c>
    </row>
    <row r="1546" spans="1:11" x14ac:dyDescent="0.25">
      <c r="A1546" t="s">
        <v>5299</v>
      </c>
      <c r="B1546" t="s">
        <v>4140</v>
      </c>
      <c r="C1546" t="s">
        <v>5300</v>
      </c>
      <c r="D1546" t="s">
        <v>1410</v>
      </c>
      <c r="E1546" t="s">
        <v>14</v>
      </c>
      <c r="F1546" t="s">
        <v>15</v>
      </c>
      <c r="G1546">
        <v>28263</v>
      </c>
      <c r="H1546" t="s">
        <v>48</v>
      </c>
      <c r="I1546">
        <v>78</v>
      </c>
      <c r="J1546">
        <v>0</v>
      </c>
      <c r="K1546" t="s">
        <v>8925</v>
      </c>
    </row>
    <row r="1547" spans="1:11" x14ac:dyDescent="0.25">
      <c r="A1547" t="s">
        <v>5301</v>
      </c>
      <c r="B1547" t="s">
        <v>4402</v>
      </c>
      <c r="C1547" t="s">
        <v>1812</v>
      </c>
      <c r="D1547" t="s">
        <v>5302</v>
      </c>
      <c r="E1547" t="s">
        <v>14</v>
      </c>
      <c r="F1547" t="s">
        <v>15</v>
      </c>
      <c r="G1547">
        <v>28213</v>
      </c>
      <c r="H1547" t="s">
        <v>16</v>
      </c>
      <c r="I1547">
        <v>12</v>
      </c>
      <c r="J1547">
        <v>1</v>
      </c>
      <c r="K1547" t="s">
        <v>8935</v>
      </c>
    </row>
    <row r="1548" spans="1:11" x14ac:dyDescent="0.25">
      <c r="A1548" t="s">
        <v>5303</v>
      </c>
      <c r="B1548" t="s">
        <v>5304</v>
      </c>
      <c r="C1548" t="s">
        <v>193</v>
      </c>
      <c r="D1548" t="s">
        <v>5305</v>
      </c>
      <c r="E1548" t="s">
        <v>14</v>
      </c>
      <c r="F1548" t="s">
        <v>15</v>
      </c>
      <c r="G1548">
        <v>28205</v>
      </c>
      <c r="H1548" t="s">
        <v>195</v>
      </c>
      <c r="I1548">
        <v>11</v>
      </c>
      <c r="J1548">
        <v>1</v>
      </c>
      <c r="K1548" t="s">
        <v>8935</v>
      </c>
    </row>
    <row r="1549" spans="1:11" x14ac:dyDescent="0.25">
      <c r="A1549" t="s">
        <v>5306</v>
      </c>
      <c r="B1549" t="s">
        <v>5307</v>
      </c>
      <c r="C1549" t="s">
        <v>622</v>
      </c>
      <c r="D1549" t="s">
        <v>84</v>
      </c>
      <c r="E1549" t="s">
        <v>14</v>
      </c>
      <c r="F1549" t="s">
        <v>15</v>
      </c>
      <c r="G1549">
        <v>28208</v>
      </c>
      <c r="H1549" t="s">
        <v>21</v>
      </c>
      <c r="I1549">
        <v>192</v>
      </c>
      <c r="J1549">
        <v>1</v>
      </c>
      <c r="K1549" t="s">
        <v>8935</v>
      </c>
    </row>
    <row r="1550" spans="1:11" x14ac:dyDescent="0.25">
      <c r="A1550" t="s">
        <v>5308</v>
      </c>
      <c r="B1550" t="s">
        <v>5309</v>
      </c>
      <c r="C1550" t="s">
        <v>5310</v>
      </c>
      <c r="D1550" t="s">
        <v>5311</v>
      </c>
      <c r="E1550" t="s">
        <v>14</v>
      </c>
      <c r="F1550" t="s">
        <v>15</v>
      </c>
      <c r="G1550">
        <v>28273</v>
      </c>
      <c r="H1550" t="s">
        <v>146</v>
      </c>
      <c r="I1550">
        <v>6</v>
      </c>
      <c r="J1550">
        <v>0</v>
      </c>
      <c r="K1550" t="s">
        <v>8935</v>
      </c>
    </row>
    <row r="1551" spans="1:11" x14ac:dyDescent="0.25">
      <c r="A1551" t="s">
        <v>5312</v>
      </c>
      <c r="B1551" t="s">
        <v>1188</v>
      </c>
      <c r="C1551" t="s">
        <v>5313</v>
      </c>
      <c r="D1551" t="s">
        <v>5314</v>
      </c>
      <c r="E1551" t="s">
        <v>14</v>
      </c>
      <c r="F1551" t="s">
        <v>15</v>
      </c>
      <c r="G1551">
        <v>28277</v>
      </c>
      <c r="H1551" t="s">
        <v>26</v>
      </c>
      <c r="I1551">
        <v>53</v>
      </c>
      <c r="J1551">
        <v>0</v>
      </c>
      <c r="K1551" t="s">
        <v>8935</v>
      </c>
    </row>
    <row r="1552" spans="1:11" x14ac:dyDescent="0.25">
      <c r="A1552" t="s">
        <v>5315</v>
      </c>
      <c r="B1552" t="s">
        <v>5316</v>
      </c>
      <c r="C1552" t="s">
        <v>5317</v>
      </c>
      <c r="D1552" t="s">
        <v>4573</v>
      </c>
      <c r="E1552" t="s">
        <v>14</v>
      </c>
      <c r="F1552" t="s">
        <v>15</v>
      </c>
      <c r="G1552">
        <v>28202</v>
      </c>
      <c r="H1552" t="s">
        <v>26</v>
      </c>
      <c r="I1552">
        <v>12</v>
      </c>
      <c r="J1552">
        <v>0</v>
      </c>
      <c r="K1552" t="s">
        <v>8935</v>
      </c>
    </row>
    <row r="1553" spans="1:11" x14ac:dyDescent="0.25">
      <c r="A1553" t="s">
        <v>5318</v>
      </c>
      <c r="B1553" t="s">
        <v>450</v>
      </c>
      <c r="C1553" t="s">
        <v>501</v>
      </c>
      <c r="D1553" t="s">
        <v>5319</v>
      </c>
      <c r="E1553" t="s">
        <v>14</v>
      </c>
      <c r="F1553" t="s">
        <v>15</v>
      </c>
      <c r="G1553">
        <v>28277</v>
      </c>
      <c r="H1553" t="s">
        <v>39</v>
      </c>
      <c r="I1553">
        <v>199</v>
      </c>
      <c r="J1553">
        <v>1</v>
      </c>
      <c r="K1553" t="s">
        <v>8923</v>
      </c>
    </row>
    <row r="1554" spans="1:11" x14ac:dyDescent="0.25">
      <c r="A1554" t="s">
        <v>5320</v>
      </c>
      <c r="B1554" t="s">
        <v>5321</v>
      </c>
      <c r="C1554" t="s">
        <v>5322</v>
      </c>
      <c r="D1554" t="s">
        <v>5323</v>
      </c>
      <c r="E1554" t="s">
        <v>14</v>
      </c>
      <c r="F1554" t="s">
        <v>15</v>
      </c>
      <c r="G1554">
        <v>28217</v>
      </c>
      <c r="H1554" t="s">
        <v>16</v>
      </c>
      <c r="I1554">
        <v>214</v>
      </c>
      <c r="J1554">
        <v>1</v>
      </c>
      <c r="K1554" t="s">
        <v>8923</v>
      </c>
    </row>
    <row r="1555" spans="1:11" x14ac:dyDescent="0.25">
      <c r="A1555" t="s">
        <v>5324</v>
      </c>
      <c r="B1555" t="s">
        <v>5325</v>
      </c>
      <c r="C1555" t="s">
        <v>5326</v>
      </c>
      <c r="D1555" t="s">
        <v>5327</v>
      </c>
      <c r="E1555" t="s">
        <v>14</v>
      </c>
      <c r="F1555" t="s">
        <v>15</v>
      </c>
      <c r="G1555">
        <v>28226</v>
      </c>
      <c r="H1555" t="s">
        <v>26</v>
      </c>
      <c r="I1555">
        <v>85</v>
      </c>
      <c r="J1555">
        <v>1</v>
      </c>
      <c r="K1555" t="s">
        <v>8920</v>
      </c>
    </row>
    <row r="1556" spans="1:11" x14ac:dyDescent="0.25">
      <c r="A1556" t="s">
        <v>5328</v>
      </c>
      <c r="B1556" t="s">
        <v>139</v>
      </c>
      <c r="C1556" t="s">
        <v>5329</v>
      </c>
      <c r="D1556" t="s">
        <v>5330</v>
      </c>
      <c r="E1556" t="s">
        <v>14</v>
      </c>
      <c r="F1556" t="s">
        <v>15</v>
      </c>
      <c r="G1556">
        <v>28216</v>
      </c>
      <c r="H1556" t="s">
        <v>21</v>
      </c>
      <c r="I1556">
        <v>16</v>
      </c>
      <c r="J1556">
        <v>1</v>
      </c>
      <c r="K1556" t="s">
        <v>8926</v>
      </c>
    </row>
    <row r="1557" spans="1:11" x14ac:dyDescent="0.25">
      <c r="A1557" t="s">
        <v>5331</v>
      </c>
      <c r="B1557" t="s">
        <v>5332</v>
      </c>
      <c r="C1557" t="s">
        <v>5333</v>
      </c>
      <c r="D1557" t="s">
        <v>5334</v>
      </c>
      <c r="E1557" t="s">
        <v>14</v>
      </c>
      <c r="F1557" t="s">
        <v>15</v>
      </c>
      <c r="G1557">
        <v>28262</v>
      </c>
      <c r="H1557" t="s">
        <v>39</v>
      </c>
      <c r="I1557">
        <v>86</v>
      </c>
      <c r="J1557">
        <v>1</v>
      </c>
      <c r="K1557" t="s">
        <v>8929</v>
      </c>
    </row>
    <row r="1558" spans="1:11" x14ac:dyDescent="0.25">
      <c r="A1558" t="s">
        <v>5335</v>
      </c>
      <c r="B1558" t="s">
        <v>556</v>
      </c>
      <c r="C1558" t="s">
        <v>5336</v>
      </c>
      <c r="D1558" t="s">
        <v>5337</v>
      </c>
      <c r="E1558" t="s">
        <v>14</v>
      </c>
      <c r="F1558" t="s">
        <v>15</v>
      </c>
      <c r="G1558">
        <v>28210</v>
      </c>
      <c r="H1558" t="s">
        <v>16</v>
      </c>
      <c r="I1558">
        <v>12</v>
      </c>
      <c r="J1558">
        <v>1</v>
      </c>
      <c r="K1558" t="s">
        <v>8935</v>
      </c>
    </row>
    <row r="1559" spans="1:11" x14ac:dyDescent="0.25">
      <c r="A1559" t="s">
        <v>5338</v>
      </c>
      <c r="B1559" t="s">
        <v>5339</v>
      </c>
      <c r="C1559" t="s">
        <v>2907</v>
      </c>
      <c r="D1559" t="s">
        <v>5340</v>
      </c>
      <c r="E1559" t="s">
        <v>14</v>
      </c>
      <c r="F1559" t="s">
        <v>15</v>
      </c>
      <c r="G1559">
        <v>28212</v>
      </c>
      <c r="H1559" t="s">
        <v>101</v>
      </c>
      <c r="I1559">
        <v>27</v>
      </c>
      <c r="J1559">
        <v>1</v>
      </c>
      <c r="K1559" t="s">
        <v>8935</v>
      </c>
    </row>
    <row r="1560" spans="1:11" x14ac:dyDescent="0.25">
      <c r="A1560" t="s">
        <v>5341</v>
      </c>
      <c r="B1560" t="s">
        <v>5342</v>
      </c>
      <c r="C1560" t="s">
        <v>5343</v>
      </c>
      <c r="D1560" t="s">
        <v>5344</v>
      </c>
      <c r="E1560" t="s">
        <v>14</v>
      </c>
      <c r="F1560" t="s">
        <v>15</v>
      </c>
      <c r="G1560">
        <v>28285</v>
      </c>
      <c r="H1560" t="s">
        <v>21</v>
      </c>
      <c r="I1560">
        <v>7</v>
      </c>
      <c r="J1560">
        <v>0</v>
      </c>
      <c r="K1560" t="s">
        <v>8935</v>
      </c>
    </row>
    <row r="1561" spans="1:11" x14ac:dyDescent="0.25">
      <c r="A1561" t="s">
        <v>5345</v>
      </c>
      <c r="B1561" t="s">
        <v>5346</v>
      </c>
      <c r="C1561" t="s">
        <v>59</v>
      </c>
      <c r="D1561" t="s">
        <v>5347</v>
      </c>
      <c r="E1561" t="s">
        <v>14</v>
      </c>
      <c r="F1561" t="s">
        <v>15</v>
      </c>
      <c r="G1561">
        <v>28216</v>
      </c>
      <c r="H1561" t="s">
        <v>26</v>
      </c>
      <c r="I1561">
        <v>5</v>
      </c>
      <c r="J1561">
        <v>1</v>
      </c>
      <c r="K1561" t="s">
        <v>8935</v>
      </c>
    </row>
    <row r="1562" spans="1:11" x14ac:dyDescent="0.25">
      <c r="A1562" t="s">
        <v>5348</v>
      </c>
      <c r="B1562" t="s">
        <v>5349</v>
      </c>
      <c r="C1562" t="s">
        <v>5350</v>
      </c>
      <c r="D1562" t="s">
        <v>5351</v>
      </c>
      <c r="E1562" t="s">
        <v>14</v>
      </c>
      <c r="F1562" t="s">
        <v>15</v>
      </c>
      <c r="G1562">
        <v>28277</v>
      </c>
      <c r="H1562" t="s">
        <v>16</v>
      </c>
      <c r="I1562">
        <v>118</v>
      </c>
      <c r="J1562">
        <v>1</v>
      </c>
      <c r="K1562" t="s">
        <v>8936</v>
      </c>
    </row>
    <row r="1563" spans="1:11" x14ac:dyDescent="0.25">
      <c r="A1563" t="s">
        <v>5352</v>
      </c>
      <c r="B1563" t="s">
        <v>5353</v>
      </c>
      <c r="C1563" t="s">
        <v>5193</v>
      </c>
      <c r="D1563" t="s">
        <v>5354</v>
      </c>
      <c r="E1563" t="s">
        <v>14</v>
      </c>
      <c r="F1563" t="s">
        <v>15</v>
      </c>
      <c r="G1563">
        <v>28277</v>
      </c>
      <c r="H1563" t="s">
        <v>16</v>
      </c>
      <c r="I1563">
        <v>51</v>
      </c>
      <c r="J1563">
        <v>1</v>
      </c>
      <c r="K1563" t="s">
        <v>8931</v>
      </c>
    </row>
    <row r="1564" spans="1:11" x14ac:dyDescent="0.25">
      <c r="A1564" t="s">
        <v>5355</v>
      </c>
      <c r="B1564" t="s">
        <v>5356</v>
      </c>
      <c r="C1564" t="s">
        <v>5357</v>
      </c>
      <c r="D1564" t="s">
        <v>1378</v>
      </c>
      <c r="E1564" t="s">
        <v>14</v>
      </c>
      <c r="F1564" t="s">
        <v>15</v>
      </c>
      <c r="G1564">
        <v>28203</v>
      </c>
      <c r="H1564" t="s">
        <v>16</v>
      </c>
      <c r="I1564">
        <v>144</v>
      </c>
      <c r="J1564">
        <v>1</v>
      </c>
      <c r="K1564" t="s">
        <v>8935</v>
      </c>
    </row>
    <row r="1565" spans="1:11" x14ac:dyDescent="0.25">
      <c r="A1565" t="s">
        <v>5358</v>
      </c>
      <c r="B1565" t="s">
        <v>5359</v>
      </c>
      <c r="C1565" t="s">
        <v>5360</v>
      </c>
      <c r="D1565" t="s">
        <v>3491</v>
      </c>
      <c r="E1565" t="s">
        <v>14</v>
      </c>
      <c r="F1565" t="s">
        <v>15</v>
      </c>
      <c r="G1565">
        <v>28202</v>
      </c>
      <c r="H1565" t="s">
        <v>39</v>
      </c>
      <c r="I1565">
        <v>50</v>
      </c>
      <c r="J1565">
        <v>1</v>
      </c>
      <c r="K1565" t="s">
        <v>8935</v>
      </c>
    </row>
    <row r="1566" spans="1:11" x14ac:dyDescent="0.25">
      <c r="A1566" t="s">
        <v>5361</v>
      </c>
      <c r="B1566" t="s">
        <v>5362</v>
      </c>
      <c r="C1566" t="s">
        <v>337</v>
      </c>
      <c r="D1566" t="s">
        <v>5363</v>
      </c>
      <c r="E1566" t="s">
        <v>14</v>
      </c>
      <c r="F1566" t="s">
        <v>15</v>
      </c>
      <c r="G1566">
        <v>28209</v>
      </c>
      <c r="H1566" t="s">
        <v>48</v>
      </c>
      <c r="I1566">
        <v>42</v>
      </c>
      <c r="J1566">
        <v>1</v>
      </c>
      <c r="K1566" t="s">
        <v>8935</v>
      </c>
    </row>
    <row r="1567" spans="1:11" x14ac:dyDescent="0.25">
      <c r="A1567" t="s">
        <v>5364</v>
      </c>
      <c r="B1567" t="s">
        <v>5365</v>
      </c>
      <c r="C1567" t="s">
        <v>321</v>
      </c>
      <c r="D1567" t="s">
        <v>5366</v>
      </c>
      <c r="E1567" t="s">
        <v>14</v>
      </c>
      <c r="F1567" t="s">
        <v>15</v>
      </c>
      <c r="G1567">
        <v>28216</v>
      </c>
      <c r="H1567" t="s">
        <v>26</v>
      </c>
      <c r="I1567">
        <v>20</v>
      </c>
      <c r="J1567">
        <v>1</v>
      </c>
      <c r="K1567" t="s">
        <v>8935</v>
      </c>
    </row>
    <row r="1568" spans="1:11" x14ac:dyDescent="0.25">
      <c r="A1568" t="s">
        <v>5367</v>
      </c>
      <c r="B1568" t="s">
        <v>3225</v>
      </c>
      <c r="C1568" t="s">
        <v>1200</v>
      </c>
      <c r="D1568" t="s">
        <v>5368</v>
      </c>
      <c r="E1568" t="s">
        <v>14</v>
      </c>
      <c r="F1568" t="s">
        <v>15</v>
      </c>
      <c r="G1568">
        <v>28277</v>
      </c>
      <c r="H1568" t="s">
        <v>48</v>
      </c>
      <c r="I1568">
        <v>20</v>
      </c>
      <c r="J1568">
        <v>1</v>
      </c>
      <c r="K1568" t="s">
        <v>8935</v>
      </c>
    </row>
    <row r="1569" spans="1:11" x14ac:dyDescent="0.25">
      <c r="A1569" t="s">
        <v>5369</v>
      </c>
      <c r="B1569" t="s">
        <v>5370</v>
      </c>
      <c r="C1569" t="s">
        <v>5371</v>
      </c>
      <c r="D1569" t="s">
        <v>746</v>
      </c>
      <c r="E1569" t="s">
        <v>14</v>
      </c>
      <c r="F1569" t="s">
        <v>15</v>
      </c>
      <c r="G1569">
        <v>28205</v>
      </c>
      <c r="H1569" t="s">
        <v>21</v>
      </c>
      <c r="I1569">
        <v>3</v>
      </c>
      <c r="J1569">
        <v>0</v>
      </c>
      <c r="K1569" t="s">
        <v>8935</v>
      </c>
    </row>
    <row r="1570" spans="1:11" x14ac:dyDescent="0.25">
      <c r="A1570" t="s">
        <v>5372</v>
      </c>
      <c r="B1570" t="s">
        <v>5373</v>
      </c>
      <c r="C1570" t="s">
        <v>5374</v>
      </c>
      <c r="D1570" t="s">
        <v>5375</v>
      </c>
      <c r="E1570" t="s">
        <v>14</v>
      </c>
      <c r="F1570" t="s">
        <v>15</v>
      </c>
      <c r="G1570">
        <v>28203</v>
      </c>
      <c r="H1570" t="s">
        <v>21</v>
      </c>
      <c r="I1570">
        <v>168</v>
      </c>
      <c r="J1570">
        <v>0</v>
      </c>
      <c r="K1570" t="s">
        <v>8936</v>
      </c>
    </row>
    <row r="1571" spans="1:11" x14ac:dyDescent="0.25">
      <c r="A1571" t="s">
        <v>5376</v>
      </c>
      <c r="B1571" t="s">
        <v>5377</v>
      </c>
      <c r="C1571" t="s">
        <v>3226</v>
      </c>
      <c r="D1571" t="s">
        <v>5378</v>
      </c>
      <c r="E1571" t="s">
        <v>14</v>
      </c>
      <c r="F1571" t="s">
        <v>15</v>
      </c>
      <c r="G1571">
        <v>28216</v>
      </c>
      <c r="H1571" t="s">
        <v>21</v>
      </c>
      <c r="I1571">
        <v>16</v>
      </c>
      <c r="J1571">
        <v>1</v>
      </c>
      <c r="K1571" t="s">
        <v>8935</v>
      </c>
    </row>
    <row r="1572" spans="1:11" x14ac:dyDescent="0.25">
      <c r="A1572" t="s">
        <v>5379</v>
      </c>
      <c r="B1572" t="s">
        <v>5380</v>
      </c>
      <c r="C1572" t="s">
        <v>5381</v>
      </c>
      <c r="D1572" t="s">
        <v>5382</v>
      </c>
      <c r="E1572" t="s">
        <v>14</v>
      </c>
      <c r="F1572" t="s">
        <v>15</v>
      </c>
      <c r="G1572">
        <v>28211</v>
      </c>
      <c r="H1572" t="s">
        <v>26</v>
      </c>
      <c r="I1572">
        <v>9</v>
      </c>
      <c r="J1572">
        <v>1</v>
      </c>
      <c r="K1572" t="s">
        <v>8935</v>
      </c>
    </row>
    <row r="1573" spans="1:11" x14ac:dyDescent="0.25">
      <c r="A1573" t="s">
        <v>5383</v>
      </c>
      <c r="B1573" t="s">
        <v>5384</v>
      </c>
      <c r="C1573" t="s">
        <v>4851</v>
      </c>
      <c r="D1573" t="s">
        <v>5385</v>
      </c>
      <c r="E1573" t="s">
        <v>14</v>
      </c>
      <c r="F1573" t="s">
        <v>15</v>
      </c>
      <c r="G1573">
        <v>28213</v>
      </c>
      <c r="H1573" t="s">
        <v>101</v>
      </c>
      <c r="I1573">
        <v>16</v>
      </c>
      <c r="J1573">
        <v>1</v>
      </c>
      <c r="K1573" t="s">
        <v>8935</v>
      </c>
    </row>
    <row r="1574" spans="1:11" x14ac:dyDescent="0.25">
      <c r="A1574" t="s">
        <v>5386</v>
      </c>
      <c r="B1574" t="s">
        <v>5387</v>
      </c>
      <c r="C1574" t="s">
        <v>5388</v>
      </c>
      <c r="D1574" t="s">
        <v>2703</v>
      </c>
      <c r="E1574" t="s">
        <v>14</v>
      </c>
      <c r="F1574" t="s">
        <v>15</v>
      </c>
      <c r="G1574">
        <v>28210</v>
      </c>
      <c r="H1574" t="s">
        <v>21</v>
      </c>
      <c r="I1574">
        <v>79</v>
      </c>
      <c r="J1574">
        <v>0</v>
      </c>
      <c r="K1574" t="s">
        <v>8936</v>
      </c>
    </row>
    <row r="1575" spans="1:11" x14ac:dyDescent="0.25">
      <c r="A1575" t="s">
        <v>5389</v>
      </c>
      <c r="B1575" t="s">
        <v>770</v>
      </c>
      <c r="C1575" t="s">
        <v>5390</v>
      </c>
      <c r="D1575" t="s">
        <v>1491</v>
      </c>
      <c r="E1575" t="s">
        <v>14</v>
      </c>
      <c r="F1575" t="s">
        <v>15</v>
      </c>
      <c r="G1575">
        <v>28203</v>
      </c>
      <c r="H1575" t="s">
        <v>21</v>
      </c>
      <c r="I1575">
        <v>92</v>
      </c>
      <c r="J1575">
        <v>0</v>
      </c>
      <c r="K1575" t="s">
        <v>8935</v>
      </c>
    </row>
    <row r="1576" spans="1:11" x14ac:dyDescent="0.25">
      <c r="A1576" t="s">
        <v>5391</v>
      </c>
      <c r="B1576" t="s">
        <v>3314</v>
      </c>
      <c r="C1576" t="s">
        <v>5392</v>
      </c>
      <c r="D1576" t="s">
        <v>5393</v>
      </c>
      <c r="E1576" t="s">
        <v>14</v>
      </c>
      <c r="F1576" t="s">
        <v>15</v>
      </c>
      <c r="G1576">
        <v>28203</v>
      </c>
      <c r="H1576" t="s">
        <v>16</v>
      </c>
      <c r="I1576">
        <v>4</v>
      </c>
      <c r="J1576">
        <v>1</v>
      </c>
      <c r="K1576" t="s">
        <v>8925</v>
      </c>
    </row>
    <row r="1577" spans="1:11" x14ac:dyDescent="0.25">
      <c r="A1577" t="s">
        <v>5394</v>
      </c>
      <c r="B1577" t="s">
        <v>5395</v>
      </c>
      <c r="C1577" t="s">
        <v>5396</v>
      </c>
      <c r="D1577" t="s">
        <v>5397</v>
      </c>
      <c r="E1577" t="s">
        <v>14</v>
      </c>
      <c r="F1577" t="s">
        <v>15</v>
      </c>
      <c r="G1577">
        <v>28213</v>
      </c>
      <c r="H1577" t="s">
        <v>21</v>
      </c>
      <c r="I1577">
        <v>96</v>
      </c>
      <c r="J1577">
        <v>0</v>
      </c>
      <c r="K1577" t="s">
        <v>8920</v>
      </c>
    </row>
    <row r="1578" spans="1:11" x14ac:dyDescent="0.25">
      <c r="A1578" t="s">
        <v>5398</v>
      </c>
      <c r="B1578" t="s">
        <v>5399</v>
      </c>
      <c r="C1578" t="s">
        <v>5400</v>
      </c>
      <c r="D1578" t="s">
        <v>5401</v>
      </c>
      <c r="E1578" t="s">
        <v>14</v>
      </c>
      <c r="F1578" t="s">
        <v>15</v>
      </c>
      <c r="G1578">
        <v>28202</v>
      </c>
      <c r="H1578" t="s">
        <v>21</v>
      </c>
      <c r="I1578">
        <v>11</v>
      </c>
      <c r="J1578">
        <v>1</v>
      </c>
      <c r="K1578" t="s">
        <v>8935</v>
      </c>
    </row>
    <row r="1579" spans="1:11" x14ac:dyDescent="0.25">
      <c r="A1579" t="s">
        <v>5402</v>
      </c>
      <c r="B1579" t="s">
        <v>5403</v>
      </c>
      <c r="C1579" t="s">
        <v>2847</v>
      </c>
      <c r="D1579" t="s">
        <v>5404</v>
      </c>
      <c r="E1579" t="s">
        <v>14</v>
      </c>
      <c r="F1579" t="s">
        <v>15</v>
      </c>
      <c r="G1579">
        <v>28204</v>
      </c>
      <c r="H1579" t="s">
        <v>21</v>
      </c>
      <c r="I1579">
        <v>189</v>
      </c>
      <c r="J1579">
        <v>1</v>
      </c>
      <c r="K1579" t="s">
        <v>8922</v>
      </c>
    </row>
    <row r="1580" spans="1:11" x14ac:dyDescent="0.25">
      <c r="A1580" t="s">
        <v>5405</v>
      </c>
      <c r="B1580" t="s">
        <v>4410</v>
      </c>
      <c r="C1580" t="s">
        <v>5374</v>
      </c>
      <c r="D1580" t="s">
        <v>5406</v>
      </c>
      <c r="E1580" t="s">
        <v>14</v>
      </c>
      <c r="F1580" t="s">
        <v>15</v>
      </c>
      <c r="G1580">
        <v>28203</v>
      </c>
      <c r="H1580" t="s">
        <v>26</v>
      </c>
      <c r="I1580">
        <v>113</v>
      </c>
      <c r="J1580">
        <v>1</v>
      </c>
      <c r="K1580" t="s">
        <v>8920</v>
      </c>
    </row>
    <row r="1581" spans="1:11" x14ac:dyDescent="0.25">
      <c r="A1581" t="s">
        <v>5407</v>
      </c>
      <c r="B1581" t="s">
        <v>5408</v>
      </c>
      <c r="C1581" t="s">
        <v>5409</v>
      </c>
      <c r="D1581" t="s">
        <v>5410</v>
      </c>
      <c r="E1581" t="s">
        <v>14</v>
      </c>
      <c r="F1581" t="s">
        <v>15</v>
      </c>
      <c r="G1581">
        <v>28273</v>
      </c>
      <c r="H1581" t="s">
        <v>16</v>
      </c>
      <c r="I1581">
        <v>315</v>
      </c>
      <c r="J1581">
        <v>1</v>
      </c>
      <c r="K1581" t="s">
        <v>8935</v>
      </c>
    </row>
    <row r="1582" spans="1:11" x14ac:dyDescent="0.25">
      <c r="A1582" t="s">
        <v>5411</v>
      </c>
      <c r="B1582" t="s">
        <v>442</v>
      </c>
      <c r="C1582" t="s">
        <v>5412</v>
      </c>
      <c r="D1582" t="s">
        <v>5413</v>
      </c>
      <c r="E1582" t="s">
        <v>14</v>
      </c>
      <c r="F1582" t="s">
        <v>15</v>
      </c>
      <c r="G1582">
        <v>28262</v>
      </c>
      <c r="H1582" t="s">
        <v>21</v>
      </c>
      <c r="I1582">
        <v>105</v>
      </c>
      <c r="J1582">
        <v>1</v>
      </c>
      <c r="K1582" t="s">
        <v>8935</v>
      </c>
    </row>
    <row r="1583" spans="1:11" x14ac:dyDescent="0.25">
      <c r="A1583" t="s">
        <v>5414</v>
      </c>
      <c r="B1583" t="s">
        <v>5415</v>
      </c>
      <c r="C1583" t="s">
        <v>622</v>
      </c>
      <c r="D1583" t="s">
        <v>5416</v>
      </c>
      <c r="E1583" t="s">
        <v>14</v>
      </c>
      <c r="F1583" t="s">
        <v>15</v>
      </c>
      <c r="G1583">
        <v>28216</v>
      </c>
      <c r="H1583" t="s">
        <v>101</v>
      </c>
      <c r="I1583">
        <v>21</v>
      </c>
      <c r="J1583">
        <v>1</v>
      </c>
      <c r="K1583" t="s">
        <v>8935</v>
      </c>
    </row>
    <row r="1584" spans="1:11" x14ac:dyDescent="0.25">
      <c r="A1584" t="s">
        <v>5417</v>
      </c>
      <c r="B1584" t="s">
        <v>5418</v>
      </c>
      <c r="C1584" t="s">
        <v>5419</v>
      </c>
      <c r="D1584" t="s">
        <v>944</v>
      </c>
      <c r="E1584" t="s">
        <v>14</v>
      </c>
      <c r="F1584" t="s">
        <v>15</v>
      </c>
      <c r="G1584">
        <v>28208</v>
      </c>
      <c r="H1584" t="s">
        <v>26</v>
      </c>
      <c r="I1584">
        <v>4</v>
      </c>
      <c r="J1584">
        <v>1</v>
      </c>
      <c r="K1584" t="s">
        <v>8935</v>
      </c>
    </row>
    <row r="1585" spans="1:11" x14ac:dyDescent="0.25">
      <c r="A1585" t="s">
        <v>5420</v>
      </c>
      <c r="B1585" t="s">
        <v>5421</v>
      </c>
      <c r="C1585" t="s">
        <v>5422</v>
      </c>
      <c r="D1585" t="s">
        <v>1974</v>
      </c>
      <c r="E1585" t="s">
        <v>14</v>
      </c>
      <c r="F1585" t="s">
        <v>15</v>
      </c>
      <c r="G1585">
        <v>28202</v>
      </c>
      <c r="H1585" t="s">
        <v>26</v>
      </c>
      <c r="I1585">
        <v>20</v>
      </c>
      <c r="J1585">
        <v>0</v>
      </c>
      <c r="K1585" t="s">
        <v>8935</v>
      </c>
    </row>
    <row r="1586" spans="1:11" x14ac:dyDescent="0.25">
      <c r="A1586" t="s">
        <v>5423</v>
      </c>
      <c r="B1586" t="s">
        <v>5424</v>
      </c>
      <c r="C1586" t="s">
        <v>193</v>
      </c>
      <c r="D1586" t="s">
        <v>5425</v>
      </c>
      <c r="E1586" t="s">
        <v>14</v>
      </c>
      <c r="F1586" t="s">
        <v>15</v>
      </c>
      <c r="G1586">
        <v>28210</v>
      </c>
      <c r="H1586" t="s">
        <v>101</v>
      </c>
      <c r="I1586">
        <v>22</v>
      </c>
      <c r="J1586">
        <v>1</v>
      </c>
      <c r="K1586" t="s">
        <v>8935</v>
      </c>
    </row>
    <row r="1587" spans="1:11" x14ac:dyDescent="0.25">
      <c r="A1587" t="s">
        <v>5426</v>
      </c>
      <c r="B1587" t="s">
        <v>5427</v>
      </c>
      <c r="C1587" t="s">
        <v>5428</v>
      </c>
      <c r="D1587" t="s">
        <v>5429</v>
      </c>
      <c r="E1587" t="s">
        <v>14</v>
      </c>
      <c r="F1587" t="s">
        <v>15</v>
      </c>
      <c r="G1587">
        <v>28205</v>
      </c>
      <c r="H1587" t="s">
        <v>16</v>
      </c>
      <c r="I1587">
        <v>79</v>
      </c>
      <c r="J1587">
        <v>1</v>
      </c>
      <c r="K1587" t="s">
        <v>8935</v>
      </c>
    </row>
    <row r="1588" spans="1:11" x14ac:dyDescent="0.25">
      <c r="A1588" t="s">
        <v>5430</v>
      </c>
      <c r="B1588" t="s">
        <v>5431</v>
      </c>
      <c r="C1588" t="s">
        <v>5432</v>
      </c>
      <c r="D1588" t="s">
        <v>944</v>
      </c>
      <c r="E1588" t="s">
        <v>14</v>
      </c>
      <c r="F1588" t="s">
        <v>15</v>
      </c>
      <c r="G1588">
        <v>28208</v>
      </c>
      <c r="H1588" t="s">
        <v>48</v>
      </c>
      <c r="I1588">
        <v>43</v>
      </c>
      <c r="J1588">
        <v>1</v>
      </c>
      <c r="K1588" t="s">
        <v>8935</v>
      </c>
    </row>
    <row r="1589" spans="1:11" x14ac:dyDescent="0.25">
      <c r="A1589" t="s">
        <v>5433</v>
      </c>
      <c r="B1589" t="s">
        <v>5434</v>
      </c>
      <c r="C1589" t="s">
        <v>5435</v>
      </c>
      <c r="D1589" t="s">
        <v>5436</v>
      </c>
      <c r="E1589" t="s">
        <v>14</v>
      </c>
      <c r="F1589" t="s">
        <v>15</v>
      </c>
      <c r="G1589">
        <v>28205</v>
      </c>
      <c r="H1589" t="s">
        <v>16</v>
      </c>
      <c r="I1589">
        <v>4</v>
      </c>
      <c r="J1589">
        <v>1</v>
      </c>
      <c r="K1589" t="s">
        <v>8929</v>
      </c>
    </row>
    <row r="1590" spans="1:11" x14ac:dyDescent="0.25">
      <c r="A1590" t="s">
        <v>5437</v>
      </c>
      <c r="B1590" t="s">
        <v>5438</v>
      </c>
      <c r="C1590" t="s">
        <v>5439</v>
      </c>
      <c r="E1590" t="s">
        <v>14</v>
      </c>
      <c r="F1590" t="s">
        <v>15</v>
      </c>
      <c r="G1590">
        <v>28262</v>
      </c>
      <c r="H1590" t="s">
        <v>146</v>
      </c>
      <c r="I1590">
        <v>41</v>
      </c>
      <c r="J1590">
        <v>1</v>
      </c>
      <c r="K1590" t="s">
        <v>8935</v>
      </c>
    </row>
    <row r="1591" spans="1:11" x14ac:dyDescent="0.25">
      <c r="A1591" t="s">
        <v>5440</v>
      </c>
      <c r="B1591" t="s">
        <v>5441</v>
      </c>
      <c r="C1591" t="s">
        <v>4932</v>
      </c>
      <c r="D1591" t="s">
        <v>5442</v>
      </c>
      <c r="E1591" t="s">
        <v>14</v>
      </c>
      <c r="F1591" t="s">
        <v>15</v>
      </c>
      <c r="G1591">
        <v>28207</v>
      </c>
      <c r="H1591" t="s">
        <v>39</v>
      </c>
      <c r="I1591">
        <v>88</v>
      </c>
      <c r="J1591">
        <v>1</v>
      </c>
      <c r="K1591" t="s">
        <v>8935</v>
      </c>
    </row>
    <row r="1592" spans="1:11" x14ac:dyDescent="0.25">
      <c r="A1592" t="s">
        <v>5443</v>
      </c>
      <c r="B1592" t="s">
        <v>5444</v>
      </c>
      <c r="C1592" t="s">
        <v>5445</v>
      </c>
      <c r="D1592" t="s">
        <v>5446</v>
      </c>
      <c r="E1592" t="s">
        <v>14</v>
      </c>
      <c r="F1592" t="s">
        <v>15</v>
      </c>
      <c r="G1592">
        <v>28277</v>
      </c>
      <c r="H1592" t="s">
        <v>21</v>
      </c>
      <c r="I1592">
        <v>81</v>
      </c>
      <c r="J1592">
        <v>1</v>
      </c>
      <c r="K1592" t="s">
        <v>8936</v>
      </c>
    </row>
    <row r="1593" spans="1:11" x14ac:dyDescent="0.25">
      <c r="A1593" t="s">
        <v>5447</v>
      </c>
      <c r="B1593" t="s">
        <v>2530</v>
      </c>
      <c r="C1593" t="s">
        <v>221</v>
      </c>
      <c r="D1593" t="s">
        <v>5448</v>
      </c>
      <c r="E1593" t="s">
        <v>14</v>
      </c>
      <c r="F1593" t="s">
        <v>15</v>
      </c>
      <c r="G1593">
        <v>28277</v>
      </c>
      <c r="H1593" t="s">
        <v>101</v>
      </c>
      <c r="I1593">
        <v>15</v>
      </c>
      <c r="J1593">
        <v>1</v>
      </c>
      <c r="K1593" t="s">
        <v>8935</v>
      </c>
    </row>
    <row r="1594" spans="1:11" x14ac:dyDescent="0.25">
      <c r="A1594" t="s">
        <v>5449</v>
      </c>
      <c r="B1594" t="s">
        <v>4645</v>
      </c>
      <c r="C1594" t="s">
        <v>1608</v>
      </c>
      <c r="D1594" t="s">
        <v>5450</v>
      </c>
      <c r="E1594" t="s">
        <v>14</v>
      </c>
      <c r="F1594" t="s">
        <v>15</v>
      </c>
      <c r="G1594">
        <v>28226</v>
      </c>
      <c r="H1594" t="s">
        <v>195</v>
      </c>
      <c r="I1594">
        <v>14</v>
      </c>
      <c r="J1594">
        <v>1</v>
      </c>
      <c r="K1594" t="s">
        <v>8921</v>
      </c>
    </row>
    <row r="1595" spans="1:11" x14ac:dyDescent="0.25">
      <c r="A1595" t="s">
        <v>5451</v>
      </c>
      <c r="B1595" t="s">
        <v>5452</v>
      </c>
      <c r="C1595" t="s">
        <v>5453</v>
      </c>
      <c r="E1595" t="s">
        <v>14</v>
      </c>
      <c r="F1595" t="s">
        <v>15</v>
      </c>
      <c r="G1595">
        <v>28262</v>
      </c>
      <c r="H1595" t="s">
        <v>21</v>
      </c>
      <c r="I1595">
        <v>3</v>
      </c>
      <c r="J1595">
        <v>1</v>
      </c>
      <c r="K1595" t="s">
        <v>8935</v>
      </c>
    </row>
    <row r="1596" spans="1:11" x14ac:dyDescent="0.25">
      <c r="A1596" t="s">
        <v>5454</v>
      </c>
      <c r="B1596" t="s">
        <v>5455</v>
      </c>
      <c r="C1596" t="s">
        <v>5456</v>
      </c>
      <c r="D1596" t="s">
        <v>5457</v>
      </c>
      <c r="E1596" t="s">
        <v>14</v>
      </c>
      <c r="F1596" t="s">
        <v>15</v>
      </c>
      <c r="G1596">
        <v>28217</v>
      </c>
      <c r="H1596" t="s">
        <v>26</v>
      </c>
      <c r="I1596">
        <v>5</v>
      </c>
      <c r="J1596">
        <v>0</v>
      </c>
      <c r="K1596" t="s">
        <v>8923</v>
      </c>
    </row>
    <row r="1597" spans="1:11" x14ac:dyDescent="0.25">
      <c r="A1597" t="s">
        <v>5458</v>
      </c>
      <c r="B1597" t="s">
        <v>5459</v>
      </c>
      <c r="C1597" t="s">
        <v>5460</v>
      </c>
      <c r="D1597" t="s">
        <v>5461</v>
      </c>
      <c r="E1597" t="s">
        <v>14</v>
      </c>
      <c r="F1597" t="s">
        <v>15</v>
      </c>
      <c r="G1597">
        <v>28278</v>
      </c>
      <c r="H1597" t="s">
        <v>16</v>
      </c>
      <c r="I1597">
        <v>25</v>
      </c>
      <c r="J1597">
        <v>1</v>
      </c>
      <c r="K1597" t="s">
        <v>8935</v>
      </c>
    </row>
    <row r="1598" spans="1:11" x14ac:dyDescent="0.25">
      <c r="A1598" t="s">
        <v>5462</v>
      </c>
      <c r="B1598" t="s">
        <v>5463</v>
      </c>
      <c r="C1598" t="s">
        <v>1135</v>
      </c>
      <c r="D1598" t="s">
        <v>1523</v>
      </c>
      <c r="E1598" t="s">
        <v>14</v>
      </c>
      <c r="F1598" t="s">
        <v>15</v>
      </c>
      <c r="G1598">
        <v>28211</v>
      </c>
      <c r="H1598" t="s">
        <v>16</v>
      </c>
      <c r="I1598">
        <v>8</v>
      </c>
      <c r="J1598">
        <v>1</v>
      </c>
      <c r="K1598" t="s">
        <v>8935</v>
      </c>
    </row>
    <row r="1599" spans="1:11" x14ac:dyDescent="0.25">
      <c r="A1599" t="s">
        <v>5464</v>
      </c>
      <c r="B1599" t="s">
        <v>5465</v>
      </c>
      <c r="C1599" t="s">
        <v>5466</v>
      </c>
      <c r="D1599" t="s">
        <v>5467</v>
      </c>
      <c r="E1599" t="s">
        <v>14</v>
      </c>
      <c r="F1599" t="s">
        <v>15</v>
      </c>
      <c r="G1599">
        <v>28205</v>
      </c>
      <c r="H1599" t="s">
        <v>21</v>
      </c>
      <c r="I1599">
        <v>57</v>
      </c>
      <c r="J1599">
        <v>1</v>
      </c>
      <c r="K1599" t="s">
        <v>8935</v>
      </c>
    </row>
    <row r="1600" spans="1:11" x14ac:dyDescent="0.25">
      <c r="A1600" t="s">
        <v>5468</v>
      </c>
      <c r="B1600" t="s">
        <v>2757</v>
      </c>
      <c r="C1600" t="s">
        <v>364</v>
      </c>
      <c r="D1600" t="s">
        <v>5469</v>
      </c>
      <c r="E1600" t="s">
        <v>14</v>
      </c>
      <c r="F1600" t="s">
        <v>15</v>
      </c>
      <c r="G1600">
        <v>28216</v>
      </c>
      <c r="H1600" t="s">
        <v>21</v>
      </c>
      <c r="I1600">
        <v>3</v>
      </c>
      <c r="J1600">
        <v>1</v>
      </c>
      <c r="K1600" t="s">
        <v>8935</v>
      </c>
    </row>
    <row r="1601" spans="1:11" x14ac:dyDescent="0.25">
      <c r="A1601" t="s">
        <v>5470</v>
      </c>
      <c r="B1601" t="s">
        <v>5471</v>
      </c>
      <c r="C1601" t="s">
        <v>5472</v>
      </c>
      <c r="D1601" t="s">
        <v>5473</v>
      </c>
      <c r="E1601" t="s">
        <v>14</v>
      </c>
      <c r="F1601" t="s">
        <v>15</v>
      </c>
      <c r="G1601">
        <v>28280</v>
      </c>
      <c r="H1601" t="s">
        <v>21</v>
      </c>
      <c r="I1601">
        <v>375</v>
      </c>
      <c r="J1601">
        <v>1</v>
      </c>
      <c r="K1601" t="s">
        <v>8923</v>
      </c>
    </row>
    <row r="1602" spans="1:11" x14ac:dyDescent="0.25">
      <c r="A1602" t="s">
        <v>5474</v>
      </c>
      <c r="B1602" t="s">
        <v>5475</v>
      </c>
      <c r="C1602" t="s">
        <v>5476</v>
      </c>
      <c r="D1602" t="s">
        <v>5477</v>
      </c>
      <c r="E1602" t="s">
        <v>14</v>
      </c>
      <c r="F1602" t="s">
        <v>15</v>
      </c>
      <c r="G1602">
        <v>28217</v>
      </c>
      <c r="H1602" t="s">
        <v>16</v>
      </c>
      <c r="I1602">
        <v>76</v>
      </c>
      <c r="J1602">
        <v>1</v>
      </c>
      <c r="K1602" t="s">
        <v>8931</v>
      </c>
    </row>
    <row r="1603" spans="1:11" x14ac:dyDescent="0.25">
      <c r="A1603" t="s">
        <v>5478</v>
      </c>
      <c r="B1603" t="s">
        <v>1004</v>
      </c>
      <c r="C1603" t="s">
        <v>5479</v>
      </c>
      <c r="D1603" t="s">
        <v>3787</v>
      </c>
      <c r="E1603" t="s">
        <v>14</v>
      </c>
      <c r="F1603" t="s">
        <v>15</v>
      </c>
      <c r="G1603">
        <v>28227</v>
      </c>
      <c r="H1603" t="s">
        <v>195</v>
      </c>
      <c r="I1603">
        <v>3</v>
      </c>
      <c r="J1603">
        <v>0</v>
      </c>
      <c r="K1603" t="s">
        <v>8935</v>
      </c>
    </row>
    <row r="1604" spans="1:11" x14ac:dyDescent="0.25">
      <c r="A1604" t="s">
        <v>5480</v>
      </c>
      <c r="B1604" t="s">
        <v>5481</v>
      </c>
      <c r="C1604" t="s">
        <v>5482</v>
      </c>
      <c r="D1604" t="s">
        <v>5483</v>
      </c>
      <c r="E1604" t="s">
        <v>14</v>
      </c>
      <c r="F1604" t="s">
        <v>15</v>
      </c>
      <c r="G1604">
        <v>28206</v>
      </c>
      <c r="H1604" t="s">
        <v>48</v>
      </c>
      <c r="I1604">
        <v>8</v>
      </c>
      <c r="J1604">
        <v>1</v>
      </c>
      <c r="K1604" t="s">
        <v>8935</v>
      </c>
    </row>
    <row r="1605" spans="1:11" x14ac:dyDescent="0.25">
      <c r="A1605" t="s">
        <v>5484</v>
      </c>
      <c r="B1605" t="s">
        <v>316</v>
      </c>
      <c r="C1605" t="s">
        <v>1608</v>
      </c>
      <c r="D1605" t="s">
        <v>5485</v>
      </c>
      <c r="E1605" t="s">
        <v>14</v>
      </c>
      <c r="F1605" t="s">
        <v>15</v>
      </c>
      <c r="G1605">
        <v>28213</v>
      </c>
      <c r="H1605" t="s">
        <v>265</v>
      </c>
      <c r="I1605">
        <v>4</v>
      </c>
      <c r="J1605">
        <v>0</v>
      </c>
      <c r="K1605" t="s">
        <v>8935</v>
      </c>
    </row>
    <row r="1606" spans="1:11" x14ac:dyDescent="0.25">
      <c r="A1606" t="s">
        <v>5486</v>
      </c>
      <c r="B1606" t="s">
        <v>5487</v>
      </c>
      <c r="C1606" t="s">
        <v>5488</v>
      </c>
      <c r="D1606" t="s">
        <v>5489</v>
      </c>
      <c r="E1606" t="s">
        <v>14</v>
      </c>
      <c r="F1606" t="s">
        <v>15</v>
      </c>
      <c r="G1606">
        <v>28226</v>
      </c>
      <c r="H1606" t="s">
        <v>26</v>
      </c>
      <c r="I1606">
        <v>7</v>
      </c>
      <c r="J1606">
        <v>0</v>
      </c>
      <c r="K1606" t="s">
        <v>8935</v>
      </c>
    </row>
    <row r="1607" spans="1:11" x14ac:dyDescent="0.25">
      <c r="A1607" t="s">
        <v>5490</v>
      </c>
      <c r="B1607" t="s">
        <v>5491</v>
      </c>
      <c r="C1607" t="s">
        <v>5492</v>
      </c>
      <c r="D1607" t="s">
        <v>3356</v>
      </c>
      <c r="E1607" t="s">
        <v>14</v>
      </c>
      <c r="F1607" t="s">
        <v>15</v>
      </c>
      <c r="G1607">
        <v>28277</v>
      </c>
      <c r="H1607" t="s">
        <v>21</v>
      </c>
      <c r="I1607">
        <v>123</v>
      </c>
      <c r="J1607">
        <v>0</v>
      </c>
      <c r="K1607" t="s">
        <v>8921</v>
      </c>
    </row>
    <row r="1608" spans="1:11" x14ac:dyDescent="0.25">
      <c r="A1608" t="s">
        <v>5493</v>
      </c>
      <c r="B1608" t="s">
        <v>228</v>
      </c>
      <c r="C1608" t="s">
        <v>5494</v>
      </c>
      <c r="D1608" t="s">
        <v>1839</v>
      </c>
      <c r="E1608" t="s">
        <v>14</v>
      </c>
      <c r="F1608" t="s">
        <v>15</v>
      </c>
      <c r="G1608">
        <v>28203</v>
      </c>
      <c r="H1608" t="s">
        <v>21</v>
      </c>
      <c r="I1608">
        <v>304</v>
      </c>
      <c r="J1608">
        <v>0</v>
      </c>
      <c r="K1608" t="s">
        <v>8935</v>
      </c>
    </row>
    <row r="1609" spans="1:11" x14ac:dyDescent="0.25">
      <c r="A1609" t="s">
        <v>5495</v>
      </c>
      <c r="B1609" t="s">
        <v>5496</v>
      </c>
      <c r="C1609" t="s">
        <v>5497</v>
      </c>
      <c r="D1609" t="s">
        <v>2070</v>
      </c>
      <c r="E1609" t="s">
        <v>14</v>
      </c>
      <c r="F1609" t="s">
        <v>15</v>
      </c>
      <c r="G1609">
        <v>28277</v>
      </c>
      <c r="H1609" t="s">
        <v>101</v>
      </c>
      <c r="I1609">
        <v>29</v>
      </c>
      <c r="J1609">
        <v>0</v>
      </c>
      <c r="K1609" t="s">
        <v>8930</v>
      </c>
    </row>
    <row r="1610" spans="1:11" x14ac:dyDescent="0.25">
      <c r="A1610" t="s">
        <v>5498</v>
      </c>
      <c r="B1610" t="s">
        <v>5499</v>
      </c>
      <c r="C1610" t="s">
        <v>5500</v>
      </c>
      <c r="D1610" t="s">
        <v>5501</v>
      </c>
      <c r="E1610" t="s">
        <v>14</v>
      </c>
      <c r="F1610" t="s">
        <v>15</v>
      </c>
      <c r="G1610">
        <v>28209</v>
      </c>
      <c r="H1610" t="s">
        <v>39</v>
      </c>
      <c r="I1610">
        <v>671</v>
      </c>
      <c r="J1610">
        <v>1</v>
      </c>
      <c r="K1610" t="s">
        <v>8935</v>
      </c>
    </row>
    <row r="1611" spans="1:11" x14ac:dyDescent="0.25">
      <c r="A1611" t="s">
        <v>5502</v>
      </c>
      <c r="B1611" t="s">
        <v>5503</v>
      </c>
      <c r="C1611" t="s">
        <v>1494</v>
      </c>
      <c r="D1611" t="s">
        <v>5504</v>
      </c>
      <c r="E1611" t="s">
        <v>14</v>
      </c>
      <c r="F1611" t="s">
        <v>15</v>
      </c>
      <c r="G1611">
        <v>28262</v>
      </c>
      <c r="H1611" t="s">
        <v>48</v>
      </c>
      <c r="I1611">
        <v>42</v>
      </c>
      <c r="J1611">
        <v>1</v>
      </c>
      <c r="K1611" t="s">
        <v>8935</v>
      </c>
    </row>
    <row r="1612" spans="1:11" x14ac:dyDescent="0.25">
      <c r="A1612" t="s">
        <v>5505</v>
      </c>
      <c r="B1612" t="s">
        <v>5506</v>
      </c>
      <c r="C1612" t="s">
        <v>3461</v>
      </c>
      <c r="D1612" t="s">
        <v>2513</v>
      </c>
      <c r="E1612" t="s">
        <v>14</v>
      </c>
      <c r="F1612" t="s">
        <v>15</v>
      </c>
      <c r="G1612">
        <v>28203</v>
      </c>
      <c r="H1612" t="s">
        <v>21</v>
      </c>
      <c r="I1612">
        <v>75</v>
      </c>
      <c r="J1612">
        <v>0</v>
      </c>
      <c r="K1612" t="s">
        <v>8926</v>
      </c>
    </row>
    <row r="1613" spans="1:11" x14ac:dyDescent="0.25">
      <c r="A1613" t="s">
        <v>5507</v>
      </c>
      <c r="B1613" t="s">
        <v>5508</v>
      </c>
      <c r="C1613" t="s">
        <v>1683</v>
      </c>
      <c r="D1613" t="s">
        <v>5509</v>
      </c>
      <c r="E1613" t="s">
        <v>14</v>
      </c>
      <c r="F1613" t="s">
        <v>15</v>
      </c>
      <c r="G1613">
        <v>28277</v>
      </c>
      <c r="H1613" t="s">
        <v>16</v>
      </c>
      <c r="I1613">
        <v>7</v>
      </c>
      <c r="J1613">
        <v>1</v>
      </c>
      <c r="K1613" t="s">
        <v>8935</v>
      </c>
    </row>
    <row r="1614" spans="1:11" x14ac:dyDescent="0.25">
      <c r="A1614" t="s">
        <v>5510</v>
      </c>
      <c r="B1614" t="s">
        <v>312</v>
      </c>
      <c r="C1614" t="s">
        <v>5511</v>
      </c>
      <c r="D1614" t="s">
        <v>3619</v>
      </c>
      <c r="E1614" t="s">
        <v>14</v>
      </c>
      <c r="F1614" t="s">
        <v>15</v>
      </c>
      <c r="G1614">
        <v>28209</v>
      </c>
      <c r="H1614" t="s">
        <v>26</v>
      </c>
      <c r="I1614">
        <v>9</v>
      </c>
      <c r="J1614">
        <v>1</v>
      </c>
      <c r="K1614" t="s">
        <v>8925</v>
      </c>
    </row>
    <row r="1615" spans="1:11" x14ac:dyDescent="0.25">
      <c r="A1615" t="s">
        <v>5512</v>
      </c>
      <c r="B1615" t="s">
        <v>359</v>
      </c>
      <c r="C1615" t="s">
        <v>5513</v>
      </c>
      <c r="D1615" t="s">
        <v>5514</v>
      </c>
      <c r="E1615" t="s">
        <v>14</v>
      </c>
      <c r="F1615" t="s">
        <v>15</v>
      </c>
      <c r="G1615">
        <v>28204</v>
      </c>
      <c r="H1615" t="s">
        <v>16</v>
      </c>
      <c r="I1615">
        <v>56</v>
      </c>
      <c r="J1615">
        <v>1</v>
      </c>
      <c r="K1615" t="s">
        <v>8935</v>
      </c>
    </row>
    <row r="1616" spans="1:11" x14ac:dyDescent="0.25">
      <c r="A1616" t="s">
        <v>5515</v>
      </c>
      <c r="B1616" t="s">
        <v>5516</v>
      </c>
      <c r="C1616" t="s">
        <v>46</v>
      </c>
      <c r="D1616" t="s">
        <v>5517</v>
      </c>
      <c r="E1616" t="s">
        <v>14</v>
      </c>
      <c r="F1616" t="s">
        <v>15</v>
      </c>
      <c r="G1616">
        <v>28216</v>
      </c>
      <c r="H1616" t="s">
        <v>101</v>
      </c>
      <c r="I1616">
        <v>66</v>
      </c>
      <c r="J1616">
        <v>1</v>
      </c>
      <c r="K1616" t="s">
        <v>8935</v>
      </c>
    </row>
    <row r="1617" spans="1:11" x14ac:dyDescent="0.25">
      <c r="A1617" t="s">
        <v>5518</v>
      </c>
      <c r="B1617" t="s">
        <v>5519</v>
      </c>
      <c r="C1617" t="s">
        <v>1094</v>
      </c>
      <c r="D1617" t="s">
        <v>5520</v>
      </c>
      <c r="E1617" t="s">
        <v>14</v>
      </c>
      <c r="F1617" t="s">
        <v>15</v>
      </c>
      <c r="G1617">
        <v>28277</v>
      </c>
      <c r="H1617" t="s">
        <v>48</v>
      </c>
      <c r="I1617">
        <v>27</v>
      </c>
      <c r="J1617">
        <v>1</v>
      </c>
      <c r="K1617" t="s">
        <v>8925</v>
      </c>
    </row>
    <row r="1618" spans="1:11" x14ac:dyDescent="0.25">
      <c r="A1618" t="s">
        <v>5521</v>
      </c>
      <c r="B1618" t="s">
        <v>5522</v>
      </c>
      <c r="C1618" t="s">
        <v>5523</v>
      </c>
      <c r="D1618" t="s">
        <v>4860</v>
      </c>
      <c r="E1618" t="s">
        <v>14</v>
      </c>
      <c r="F1618" t="s">
        <v>15</v>
      </c>
      <c r="G1618">
        <v>28202</v>
      </c>
      <c r="H1618" t="s">
        <v>21</v>
      </c>
      <c r="I1618">
        <v>639</v>
      </c>
      <c r="J1618">
        <v>1</v>
      </c>
      <c r="K1618" t="s">
        <v>8935</v>
      </c>
    </row>
    <row r="1619" spans="1:11" x14ac:dyDescent="0.25">
      <c r="A1619" t="s">
        <v>5524</v>
      </c>
      <c r="B1619" t="s">
        <v>312</v>
      </c>
      <c r="C1619" t="s">
        <v>5525</v>
      </c>
      <c r="D1619" t="s">
        <v>5526</v>
      </c>
      <c r="E1619" t="s">
        <v>14</v>
      </c>
      <c r="F1619" t="s">
        <v>15</v>
      </c>
      <c r="G1619">
        <v>28217</v>
      </c>
      <c r="H1619" t="s">
        <v>39</v>
      </c>
      <c r="I1619">
        <v>23</v>
      </c>
      <c r="J1619">
        <v>1</v>
      </c>
      <c r="K1619" t="s">
        <v>8925</v>
      </c>
    </row>
    <row r="1620" spans="1:11" x14ac:dyDescent="0.25">
      <c r="A1620" t="s">
        <v>5527</v>
      </c>
      <c r="B1620" t="s">
        <v>5528</v>
      </c>
      <c r="C1620" t="s">
        <v>622</v>
      </c>
      <c r="D1620" t="s">
        <v>5529</v>
      </c>
      <c r="E1620" t="s">
        <v>14</v>
      </c>
      <c r="F1620" t="s">
        <v>15</v>
      </c>
      <c r="G1620">
        <v>28203</v>
      </c>
      <c r="H1620" t="s">
        <v>48</v>
      </c>
      <c r="I1620">
        <v>23</v>
      </c>
      <c r="J1620">
        <v>1</v>
      </c>
      <c r="K1620" t="s">
        <v>8935</v>
      </c>
    </row>
    <row r="1621" spans="1:11" x14ac:dyDescent="0.25">
      <c r="A1621" t="s">
        <v>5530</v>
      </c>
      <c r="B1621" t="s">
        <v>5531</v>
      </c>
      <c r="C1621" t="s">
        <v>5532</v>
      </c>
      <c r="D1621" t="s">
        <v>5533</v>
      </c>
      <c r="E1621" t="s">
        <v>14</v>
      </c>
      <c r="F1621" t="s">
        <v>15</v>
      </c>
      <c r="G1621">
        <v>28277</v>
      </c>
      <c r="H1621" t="s">
        <v>16</v>
      </c>
      <c r="I1621">
        <v>45</v>
      </c>
      <c r="J1621">
        <v>1</v>
      </c>
      <c r="K1621" t="s">
        <v>8921</v>
      </c>
    </row>
    <row r="1622" spans="1:11" x14ac:dyDescent="0.25">
      <c r="A1622" t="s">
        <v>5534</v>
      </c>
      <c r="B1622" t="s">
        <v>5535</v>
      </c>
      <c r="C1622" t="s">
        <v>5536</v>
      </c>
      <c r="D1622" t="s">
        <v>5537</v>
      </c>
      <c r="E1622" t="s">
        <v>14</v>
      </c>
      <c r="F1622" t="s">
        <v>15</v>
      </c>
      <c r="G1622">
        <v>28202</v>
      </c>
      <c r="H1622" t="s">
        <v>26</v>
      </c>
      <c r="I1622">
        <v>29</v>
      </c>
      <c r="J1622">
        <v>1</v>
      </c>
      <c r="K1622" t="s">
        <v>8935</v>
      </c>
    </row>
    <row r="1623" spans="1:11" x14ac:dyDescent="0.25">
      <c r="A1623" t="s">
        <v>5538</v>
      </c>
      <c r="B1623" t="s">
        <v>5539</v>
      </c>
      <c r="C1623" t="s">
        <v>5540</v>
      </c>
      <c r="D1623" t="s">
        <v>306</v>
      </c>
      <c r="E1623" t="s">
        <v>14</v>
      </c>
      <c r="F1623" t="s">
        <v>15</v>
      </c>
      <c r="G1623">
        <v>28204</v>
      </c>
      <c r="H1623" t="s">
        <v>39</v>
      </c>
      <c r="I1623">
        <v>765</v>
      </c>
      <c r="J1623">
        <v>1</v>
      </c>
      <c r="K1623" t="s">
        <v>8925</v>
      </c>
    </row>
    <row r="1624" spans="1:11" x14ac:dyDescent="0.25">
      <c r="A1624" t="s">
        <v>5541</v>
      </c>
      <c r="B1624" t="s">
        <v>5542</v>
      </c>
      <c r="C1624" t="s">
        <v>1534</v>
      </c>
      <c r="D1624" t="s">
        <v>5543</v>
      </c>
      <c r="E1624" t="s">
        <v>14</v>
      </c>
      <c r="F1624" t="s">
        <v>15</v>
      </c>
      <c r="G1624">
        <v>28208</v>
      </c>
      <c r="H1624" t="s">
        <v>26</v>
      </c>
      <c r="I1624">
        <v>352</v>
      </c>
      <c r="J1624">
        <v>1</v>
      </c>
      <c r="K1624" t="s">
        <v>8935</v>
      </c>
    </row>
    <row r="1625" spans="1:11" x14ac:dyDescent="0.25">
      <c r="A1625" t="s">
        <v>5544</v>
      </c>
      <c r="B1625" t="s">
        <v>5545</v>
      </c>
      <c r="C1625" t="s">
        <v>5546</v>
      </c>
      <c r="D1625" t="s">
        <v>5547</v>
      </c>
      <c r="E1625" t="s">
        <v>14</v>
      </c>
      <c r="F1625" t="s">
        <v>15</v>
      </c>
      <c r="G1625">
        <v>28209</v>
      </c>
      <c r="H1625" t="s">
        <v>21</v>
      </c>
      <c r="I1625">
        <v>107</v>
      </c>
      <c r="J1625">
        <v>1</v>
      </c>
      <c r="K1625" t="s">
        <v>8935</v>
      </c>
    </row>
    <row r="1626" spans="1:11" x14ac:dyDescent="0.25">
      <c r="A1626" t="s">
        <v>5548</v>
      </c>
      <c r="B1626" t="s">
        <v>5549</v>
      </c>
      <c r="C1626" t="s">
        <v>3243</v>
      </c>
      <c r="D1626" t="s">
        <v>5550</v>
      </c>
      <c r="E1626" t="s">
        <v>14</v>
      </c>
      <c r="F1626" t="s">
        <v>15</v>
      </c>
      <c r="G1626">
        <v>28209</v>
      </c>
      <c r="H1626" t="s">
        <v>21</v>
      </c>
      <c r="I1626">
        <v>183</v>
      </c>
      <c r="J1626">
        <v>1</v>
      </c>
      <c r="K1626" t="s">
        <v>8935</v>
      </c>
    </row>
    <row r="1627" spans="1:11" x14ac:dyDescent="0.25">
      <c r="A1627" t="s">
        <v>5551</v>
      </c>
      <c r="B1627" t="s">
        <v>5552</v>
      </c>
      <c r="C1627" t="s">
        <v>5553</v>
      </c>
      <c r="D1627" t="s">
        <v>1822</v>
      </c>
      <c r="E1627" t="s">
        <v>14</v>
      </c>
      <c r="F1627" t="s">
        <v>15</v>
      </c>
      <c r="G1627">
        <v>28216</v>
      </c>
      <c r="H1627" t="s">
        <v>16</v>
      </c>
      <c r="I1627">
        <v>249</v>
      </c>
      <c r="J1627">
        <v>1</v>
      </c>
      <c r="K1627" t="s">
        <v>8935</v>
      </c>
    </row>
    <row r="1628" spans="1:11" x14ac:dyDescent="0.25">
      <c r="A1628" t="s">
        <v>5554</v>
      </c>
      <c r="B1628" t="s">
        <v>5555</v>
      </c>
      <c r="C1628" t="s">
        <v>5556</v>
      </c>
      <c r="D1628" t="s">
        <v>5557</v>
      </c>
      <c r="E1628" t="s">
        <v>14</v>
      </c>
      <c r="F1628" t="s">
        <v>15</v>
      </c>
      <c r="G1628">
        <v>28206</v>
      </c>
      <c r="H1628" t="s">
        <v>16</v>
      </c>
      <c r="I1628">
        <v>10</v>
      </c>
      <c r="J1628">
        <v>1</v>
      </c>
      <c r="K1628" t="s">
        <v>8932</v>
      </c>
    </row>
    <row r="1629" spans="1:11" x14ac:dyDescent="0.25">
      <c r="A1629" t="s">
        <v>5558</v>
      </c>
      <c r="B1629" t="s">
        <v>5559</v>
      </c>
      <c r="C1629" t="s">
        <v>5560</v>
      </c>
      <c r="D1629" t="s">
        <v>5561</v>
      </c>
      <c r="E1629" t="s">
        <v>14</v>
      </c>
      <c r="F1629" t="s">
        <v>15</v>
      </c>
      <c r="G1629">
        <v>28277</v>
      </c>
      <c r="H1629" t="s">
        <v>26</v>
      </c>
      <c r="I1629">
        <v>16</v>
      </c>
      <c r="J1629">
        <v>0</v>
      </c>
      <c r="K1629" t="s">
        <v>8935</v>
      </c>
    </row>
    <row r="1630" spans="1:11" x14ac:dyDescent="0.25">
      <c r="A1630" t="s">
        <v>5562</v>
      </c>
      <c r="B1630" t="s">
        <v>5563</v>
      </c>
      <c r="C1630" t="s">
        <v>3075</v>
      </c>
      <c r="D1630" t="s">
        <v>5564</v>
      </c>
      <c r="E1630" t="s">
        <v>14</v>
      </c>
      <c r="F1630" t="s">
        <v>15</v>
      </c>
      <c r="G1630">
        <v>28202</v>
      </c>
      <c r="H1630" t="s">
        <v>48</v>
      </c>
      <c r="I1630">
        <v>5</v>
      </c>
      <c r="J1630">
        <v>0</v>
      </c>
      <c r="K1630" t="s">
        <v>8930</v>
      </c>
    </row>
    <row r="1631" spans="1:11" x14ac:dyDescent="0.25">
      <c r="A1631" t="s">
        <v>5565</v>
      </c>
      <c r="B1631" t="s">
        <v>5566</v>
      </c>
      <c r="C1631" t="s">
        <v>5567</v>
      </c>
      <c r="D1631" t="s">
        <v>2717</v>
      </c>
      <c r="E1631" t="s">
        <v>14</v>
      </c>
      <c r="F1631" t="s">
        <v>15</v>
      </c>
      <c r="G1631">
        <v>28211</v>
      </c>
      <c r="H1631" t="s">
        <v>16</v>
      </c>
      <c r="I1631">
        <v>40</v>
      </c>
      <c r="J1631">
        <v>1</v>
      </c>
      <c r="K1631" t="s">
        <v>8935</v>
      </c>
    </row>
    <row r="1632" spans="1:11" x14ac:dyDescent="0.25">
      <c r="A1632" t="s">
        <v>5568</v>
      </c>
      <c r="B1632" t="s">
        <v>4410</v>
      </c>
      <c r="C1632" t="s">
        <v>5569</v>
      </c>
      <c r="D1632" t="s">
        <v>3098</v>
      </c>
      <c r="E1632" t="s">
        <v>14</v>
      </c>
      <c r="F1632" t="s">
        <v>15</v>
      </c>
      <c r="G1632">
        <v>28213</v>
      </c>
      <c r="H1632" t="s">
        <v>26</v>
      </c>
      <c r="I1632">
        <v>6</v>
      </c>
      <c r="J1632">
        <v>0</v>
      </c>
      <c r="K1632" t="s">
        <v>8920</v>
      </c>
    </row>
    <row r="1633" spans="1:11" x14ac:dyDescent="0.25">
      <c r="A1633" t="s">
        <v>5570</v>
      </c>
      <c r="B1633" t="s">
        <v>172</v>
      </c>
      <c r="C1633" t="s">
        <v>5571</v>
      </c>
      <c r="D1633" t="s">
        <v>5572</v>
      </c>
      <c r="E1633" t="s">
        <v>14</v>
      </c>
      <c r="F1633" t="s">
        <v>15</v>
      </c>
      <c r="G1633">
        <v>28205</v>
      </c>
      <c r="H1633" t="s">
        <v>16</v>
      </c>
      <c r="I1633">
        <v>59</v>
      </c>
      <c r="J1633">
        <v>1</v>
      </c>
      <c r="K1633" t="s">
        <v>8927</v>
      </c>
    </row>
    <row r="1634" spans="1:11" x14ac:dyDescent="0.25">
      <c r="A1634" t="s">
        <v>5573</v>
      </c>
      <c r="B1634" t="s">
        <v>5574</v>
      </c>
      <c r="C1634" t="s">
        <v>5575</v>
      </c>
      <c r="D1634" t="s">
        <v>5576</v>
      </c>
      <c r="E1634" t="s">
        <v>14</v>
      </c>
      <c r="F1634" t="s">
        <v>15</v>
      </c>
      <c r="G1634">
        <v>28262</v>
      </c>
      <c r="H1634" t="s">
        <v>146</v>
      </c>
      <c r="I1634">
        <v>6</v>
      </c>
      <c r="J1634">
        <v>1</v>
      </c>
      <c r="K1634" t="s">
        <v>8925</v>
      </c>
    </row>
    <row r="1635" spans="1:11" x14ac:dyDescent="0.25">
      <c r="A1635" t="s">
        <v>5577</v>
      </c>
      <c r="B1635" t="s">
        <v>5578</v>
      </c>
      <c r="C1635" t="s">
        <v>5579</v>
      </c>
      <c r="D1635" t="s">
        <v>3276</v>
      </c>
      <c r="E1635" t="s">
        <v>14</v>
      </c>
      <c r="F1635" t="s">
        <v>15</v>
      </c>
      <c r="G1635">
        <v>28277</v>
      </c>
      <c r="H1635" t="s">
        <v>21</v>
      </c>
      <c r="I1635">
        <v>36</v>
      </c>
      <c r="J1635">
        <v>0</v>
      </c>
      <c r="K1635" t="s">
        <v>8935</v>
      </c>
    </row>
    <row r="1636" spans="1:11" x14ac:dyDescent="0.25">
      <c r="A1636" t="s">
        <v>5580</v>
      </c>
      <c r="B1636" t="s">
        <v>5581</v>
      </c>
      <c r="C1636" t="s">
        <v>4189</v>
      </c>
      <c r="D1636" t="s">
        <v>5582</v>
      </c>
      <c r="E1636" t="s">
        <v>14</v>
      </c>
      <c r="F1636" t="s">
        <v>15</v>
      </c>
      <c r="G1636">
        <v>28217</v>
      </c>
      <c r="H1636" t="s">
        <v>26</v>
      </c>
      <c r="I1636">
        <v>16</v>
      </c>
      <c r="J1636">
        <v>1</v>
      </c>
      <c r="K1636" t="s">
        <v>8935</v>
      </c>
    </row>
    <row r="1637" spans="1:11" x14ac:dyDescent="0.25">
      <c r="A1637" t="s">
        <v>5583</v>
      </c>
      <c r="B1637" t="s">
        <v>5584</v>
      </c>
      <c r="C1637" t="s">
        <v>5585</v>
      </c>
      <c r="D1637" t="s">
        <v>3366</v>
      </c>
      <c r="E1637" t="s">
        <v>14</v>
      </c>
      <c r="F1637" t="s">
        <v>15</v>
      </c>
      <c r="G1637">
        <v>28212</v>
      </c>
      <c r="H1637" t="s">
        <v>48</v>
      </c>
      <c r="I1637">
        <v>10</v>
      </c>
      <c r="J1637">
        <v>1</v>
      </c>
      <c r="K1637" t="s">
        <v>8931</v>
      </c>
    </row>
    <row r="1638" spans="1:11" x14ac:dyDescent="0.25">
      <c r="A1638" t="s">
        <v>5586</v>
      </c>
      <c r="B1638" t="s">
        <v>5587</v>
      </c>
      <c r="C1638" t="s">
        <v>5588</v>
      </c>
      <c r="D1638" t="s">
        <v>5589</v>
      </c>
      <c r="E1638" t="s">
        <v>14</v>
      </c>
      <c r="F1638" t="s">
        <v>15</v>
      </c>
      <c r="G1638">
        <v>28262</v>
      </c>
      <c r="H1638" t="s">
        <v>16</v>
      </c>
      <c r="I1638">
        <v>32</v>
      </c>
      <c r="J1638">
        <v>1</v>
      </c>
      <c r="K1638" t="s">
        <v>8935</v>
      </c>
    </row>
    <row r="1639" spans="1:11" x14ac:dyDescent="0.25">
      <c r="A1639" t="s">
        <v>5590</v>
      </c>
      <c r="B1639" t="s">
        <v>5591</v>
      </c>
      <c r="C1639" t="s">
        <v>5592</v>
      </c>
      <c r="D1639" t="s">
        <v>5593</v>
      </c>
      <c r="E1639" t="s">
        <v>14</v>
      </c>
      <c r="F1639" t="s">
        <v>15</v>
      </c>
      <c r="G1639">
        <v>28212</v>
      </c>
      <c r="H1639" t="s">
        <v>16</v>
      </c>
      <c r="I1639">
        <v>5</v>
      </c>
      <c r="J1639">
        <v>0</v>
      </c>
      <c r="K1639" t="s">
        <v>8935</v>
      </c>
    </row>
    <row r="1640" spans="1:11" x14ac:dyDescent="0.25">
      <c r="A1640" t="s">
        <v>5594</v>
      </c>
      <c r="B1640" t="s">
        <v>176</v>
      </c>
      <c r="C1640" t="s">
        <v>2127</v>
      </c>
      <c r="D1640" t="s">
        <v>5595</v>
      </c>
      <c r="E1640" t="s">
        <v>14</v>
      </c>
      <c r="F1640" t="s">
        <v>15</v>
      </c>
      <c r="G1640">
        <v>28202</v>
      </c>
      <c r="H1640" t="s">
        <v>26</v>
      </c>
      <c r="I1640">
        <v>6</v>
      </c>
      <c r="J1640">
        <v>0</v>
      </c>
      <c r="K1640" t="s">
        <v>8935</v>
      </c>
    </row>
    <row r="1641" spans="1:11" x14ac:dyDescent="0.25">
      <c r="A1641" t="s">
        <v>5596</v>
      </c>
      <c r="B1641" t="s">
        <v>5597</v>
      </c>
      <c r="C1641" t="s">
        <v>615</v>
      </c>
      <c r="D1641" t="s">
        <v>5598</v>
      </c>
      <c r="E1641" t="s">
        <v>14</v>
      </c>
      <c r="F1641" t="s">
        <v>15</v>
      </c>
      <c r="G1641">
        <v>28262</v>
      </c>
      <c r="H1641" t="s">
        <v>16</v>
      </c>
      <c r="I1641">
        <v>14</v>
      </c>
      <c r="J1641">
        <v>1</v>
      </c>
      <c r="K1641" t="s">
        <v>8922</v>
      </c>
    </row>
    <row r="1642" spans="1:11" x14ac:dyDescent="0.25">
      <c r="A1642" t="s">
        <v>5599</v>
      </c>
      <c r="B1642" t="s">
        <v>176</v>
      </c>
      <c r="C1642" t="s">
        <v>177</v>
      </c>
      <c r="D1642" t="s">
        <v>5600</v>
      </c>
      <c r="E1642" t="s">
        <v>14</v>
      </c>
      <c r="F1642" t="s">
        <v>15</v>
      </c>
      <c r="G1642">
        <v>28273</v>
      </c>
      <c r="H1642" t="s">
        <v>26</v>
      </c>
      <c r="I1642">
        <v>23</v>
      </c>
      <c r="J1642">
        <v>1</v>
      </c>
      <c r="K1642" t="s">
        <v>8935</v>
      </c>
    </row>
    <row r="1643" spans="1:11" x14ac:dyDescent="0.25">
      <c r="A1643" t="s">
        <v>5601</v>
      </c>
      <c r="B1643" t="s">
        <v>5602</v>
      </c>
      <c r="C1643" t="s">
        <v>5603</v>
      </c>
      <c r="D1643" t="s">
        <v>853</v>
      </c>
      <c r="E1643" t="s">
        <v>14</v>
      </c>
      <c r="F1643" t="s">
        <v>15</v>
      </c>
      <c r="G1643">
        <v>28202</v>
      </c>
      <c r="H1643" t="s">
        <v>21</v>
      </c>
      <c r="I1643">
        <v>63</v>
      </c>
      <c r="J1643">
        <v>1</v>
      </c>
      <c r="K1643" t="s">
        <v>8923</v>
      </c>
    </row>
    <row r="1644" spans="1:11" x14ac:dyDescent="0.25">
      <c r="A1644" t="s">
        <v>5604</v>
      </c>
      <c r="B1644" t="s">
        <v>5605</v>
      </c>
      <c r="C1644" t="s">
        <v>5606</v>
      </c>
      <c r="E1644" t="s">
        <v>14</v>
      </c>
      <c r="F1644" t="s">
        <v>15</v>
      </c>
      <c r="H1644" t="s">
        <v>146</v>
      </c>
      <c r="I1644">
        <v>3</v>
      </c>
      <c r="J1644">
        <v>1</v>
      </c>
      <c r="K1644" t="s">
        <v>8929</v>
      </c>
    </row>
    <row r="1645" spans="1:11" x14ac:dyDescent="0.25">
      <c r="A1645" t="s">
        <v>5607</v>
      </c>
      <c r="B1645" t="s">
        <v>5608</v>
      </c>
      <c r="C1645" t="s">
        <v>5609</v>
      </c>
      <c r="D1645" t="s">
        <v>5610</v>
      </c>
      <c r="E1645" t="s">
        <v>14</v>
      </c>
      <c r="F1645" t="s">
        <v>15</v>
      </c>
      <c r="G1645">
        <v>28213</v>
      </c>
      <c r="H1645" t="s">
        <v>16</v>
      </c>
      <c r="I1645">
        <v>9</v>
      </c>
      <c r="J1645">
        <v>1</v>
      </c>
      <c r="K1645" t="s">
        <v>8925</v>
      </c>
    </row>
    <row r="1646" spans="1:11" x14ac:dyDescent="0.25">
      <c r="A1646" t="s">
        <v>5611</v>
      </c>
      <c r="B1646" t="s">
        <v>5612</v>
      </c>
      <c r="C1646" t="s">
        <v>5613</v>
      </c>
      <c r="D1646" t="s">
        <v>5614</v>
      </c>
      <c r="E1646" t="s">
        <v>14</v>
      </c>
      <c r="F1646" t="s">
        <v>15</v>
      </c>
      <c r="G1646">
        <v>28202</v>
      </c>
      <c r="H1646" t="s">
        <v>16</v>
      </c>
      <c r="I1646">
        <v>6</v>
      </c>
      <c r="J1646">
        <v>0</v>
      </c>
      <c r="K1646" t="s">
        <v>8935</v>
      </c>
    </row>
    <row r="1647" spans="1:11" x14ac:dyDescent="0.25">
      <c r="A1647" t="s">
        <v>5615</v>
      </c>
      <c r="B1647" t="s">
        <v>316</v>
      </c>
      <c r="C1647" t="s">
        <v>5616</v>
      </c>
      <c r="D1647" t="s">
        <v>5617</v>
      </c>
      <c r="E1647" t="s">
        <v>14</v>
      </c>
      <c r="F1647" t="s">
        <v>15</v>
      </c>
      <c r="G1647">
        <v>28216</v>
      </c>
      <c r="H1647" t="s">
        <v>101</v>
      </c>
      <c r="I1647">
        <v>6</v>
      </c>
      <c r="J1647">
        <v>1</v>
      </c>
      <c r="K1647" t="s">
        <v>8935</v>
      </c>
    </row>
    <row r="1648" spans="1:11" x14ac:dyDescent="0.25">
      <c r="A1648" t="s">
        <v>5618</v>
      </c>
      <c r="B1648" t="s">
        <v>5619</v>
      </c>
      <c r="C1648" t="s">
        <v>5620</v>
      </c>
      <c r="D1648" t="s">
        <v>5621</v>
      </c>
      <c r="E1648" t="s">
        <v>14</v>
      </c>
      <c r="F1648" t="s">
        <v>15</v>
      </c>
      <c r="G1648">
        <v>28216</v>
      </c>
      <c r="H1648" t="s">
        <v>21</v>
      </c>
      <c r="I1648">
        <v>19</v>
      </c>
      <c r="J1648">
        <v>0</v>
      </c>
      <c r="K1648" t="s">
        <v>8935</v>
      </c>
    </row>
    <row r="1649" spans="1:11" x14ac:dyDescent="0.25">
      <c r="A1649" t="s">
        <v>5622</v>
      </c>
      <c r="B1649" t="s">
        <v>5623</v>
      </c>
      <c r="C1649" t="s">
        <v>5624</v>
      </c>
      <c r="D1649" t="s">
        <v>5625</v>
      </c>
      <c r="E1649" t="s">
        <v>14</v>
      </c>
      <c r="F1649" t="s">
        <v>15</v>
      </c>
      <c r="G1649">
        <v>28277</v>
      </c>
      <c r="H1649" t="s">
        <v>16</v>
      </c>
      <c r="I1649">
        <v>110</v>
      </c>
      <c r="J1649">
        <v>1</v>
      </c>
      <c r="K1649" t="s">
        <v>8921</v>
      </c>
    </row>
    <row r="1650" spans="1:11" x14ac:dyDescent="0.25">
      <c r="A1650" t="s">
        <v>5626</v>
      </c>
      <c r="B1650" t="s">
        <v>5627</v>
      </c>
      <c r="C1650" t="s">
        <v>5628</v>
      </c>
      <c r="D1650" t="s">
        <v>5629</v>
      </c>
      <c r="E1650" t="s">
        <v>14</v>
      </c>
      <c r="F1650" t="s">
        <v>15</v>
      </c>
      <c r="G1650">
        <v>28209</v>
      </c>
      <c r="H1650" t="s">
        <v>39</v>
      </c>
      <c r="I1650">
        <v>221</v>
      </c>
      <c r="J1650">
        <v>1</v>
      </c>
      <c r="K1650" t="s">
        <v>8935</v>
      </c>
    </row>
    <row r="1651" spans="1:11" x14ac:dyDescent="0.25">
      <c r="A1651" t="s">
        <v>5630</v>
      </c>
      <c r="B1651" t="s">
        <v>176</v>
      </c>
      <c r="C1651" t="s">
        <v>5631</v>
      </c>
      <c r="D1651" t="s">
        <v>5632</v>
      </c>
      <c r="E1651" t="s">
        <v>14</v>
      </c>
      <c r="F1651" t="s">
        <v>15</v>
      </c>
      <c r="G1651">
        <v>28213</v>
      </c>
      <c r="H1651" t="s">
        <v>16</v>
      </c>
      <c r="I1651">
        <v>37</v>
      </c>
      <c r="J1651">
        <v>1</v>
      </c>
      <c r="K1651" t="s">
        <v>8935</v>
      </c>
    </row>
    <row r="1652" spans="1:11" x14ac:dyDescent="0.25">
      <c r="A1652" t="s">
        <v>5633</v>
      </c>
      <c r="B1652" t="s">
        <v>422</v>
      </c>
      <c r="C1652" t="s">
        <v>5634</v>
      </c>
      <c r="D1652" t="s">
        <v>5635</v>
      </c>
      <c r="E1652" t="s">
        <v>14</v>
      </c>
      <c r="F1652" t="s">
        <v>15</v>
      </c>
      <c r="G1652">
        <v>28202</v>
      </c>
      <c r="H1652" t="s">
        <v>16</v>
      </c>
      <c r="I1652">
        <v>30</v>
      </c>
      <c r="J1652">
        <v>0</v>
      </c>
      <c r="K1652" t="s">
        <v>8920</v>
      </c>
    </row>
    <row r="1653" spans="1:11" x14ac:dyDescent="0.25">
      <c r="A1653" t="s">
        <v>5636</v>
      </c>
      <c r="B1653" t="s">
        <v>5637</v>
      </c>
      <c r="C1653" t="s">
        <v>2544</v>
      </c>
      <c r="D1653" t="s">
        <v>1760</v>
      </c>
      <c r="E1653" t="s">
        <v>14</v>
      </c>
      <c r="F1653" t="s">
        <v>15</v>
      </c>
      <c r="G1653">
        <v>28216</v>
      </c>
      <c r="H1653" t="s">
        <v>48</v>
      </c>
      <c r="I1653">
        <v>43</v>
      </c>
      <c r="J1653">
        <v>1</v>
      </c>
      <c r="K1653" t="s">
        <v>8925</v>
      </c>
    </row>
    <row r="1654" spans="1:11" x14ac:dyDescent="0.25">
      <c r="A1654" t="s">
        <v>5638</v>
      </c>
      <c r="B1654" t="s">
        <v>5639</v>
      </c>
      <c r="C1654" t="s">
        <v>5640</v>
      </c>
      <c r="E1654" t="s">
        <v>14</v>
      </c>
      <c r="F1654" t="s">
        <v>15</v>
      </c>
      <c r="G1654">
        <v>28202</v>
      </c>
      <c r="H1654" t="s">
        <v>39</v>
      </c>
      <c r="I1654">
        <v>159</v>
      </c>
      <c r="J1654">
        <v>1</v>
      </c>
      <c r="K1654" t="s">
        <v>8935</v>
      </c>
    </row>
    <row r="1655" spans="1:11" x14ac:dyDescent="0.25">
      <c r="A1655" t="s">
        <v>5641</v>
      </c>
      <c r="B1655" t="s">
        <v>5642</v>
      </c>
      <c r="C1655" t="s">
        <v>5643</v>
      </c>
      <c r="D1655" t="s">
        <v>5644</v>
      </c>
      <c r="E1655" t="s">
        <v>14</v>
      </c>
      <c r="F1655" t="s">
        <v>15</v>
      </c>
      <c r="G1655">
        <v>28205</v>
      </c>
      <c r="H1655" t="s">
        <v>21</v>
      </c>
      <c r="I1655">
        <v>593</v>
      </c>
      <c r="J1655">
        <v>1</v>
      </c>
      <c r="K1655" t="s">
        <v>8935</v>
      </c>
    </row>
    <row r="1656" spans="1:11" x14ac:dyDescent="0.25">
      <c r="A1656" t="s">
        <v>5645</v>
      </c>
      <c r="B1656" t="s">
        <v>5646</v>
      </c>
      <c r="C1656" t="s">
        <v>3837</v>
      </c>
      <c r="D1656" t="s">
        <v>2509</v>
      </c>
      <c r="E1656" t="s">
        <v>14</v>
      </c>
      <c r="F1656" t="s">
        <v>15</v>
      </c>
      <c r="G1656">
        <v>28262</v>
      </c>
      <c r="H1656" t="s">
        <v>26</v>
      </c>
      <c r="I1656">
        <v>32</v>
      </c>
      <c r="J1656">
        <v>0</v>
      </c>
      <c r="K1656" t="s">
        <v>8935</v>
      </c>
    </row>
    <row r="1657" spans="1:11" x14ac:dyDescent="0.25">
      <c r="A1657" t="s">
        <v>5647</v>
      </c>
      <c r="B1657" t="s">
        <v>5648</v>
      </c>
      <c r="C1657" t="s">
        <v>5649</v>
      </c>
      <c r="D1657" t="s">
        <v>5650</v>
      </c>
      <c r="E1657" t="s">
        <v>14</v>
      </c>
      <c r="F1657" t="s">
        <v>15</v>
      </c>
      <c r="G1657">
        <v>28277</v>
      </c>
      <c r="H1657" t="s">
        <v>16</v>
      </c>
      <c r="I1657">
        <v>321</v>
      </c>
      <c r="J1657">
        <v>1</v>
      </c>
      <c r="K1657" t="s">
        <v>8936</v>
      </c>
    </row>
    <row r="1658" spans="1:11" x14ac:dyDescent="0.25">
      <c r="A1658" t="s">
        <v>5651</v>
      </c>
      <c r="B1658" t="s">
        <v>5652</v>
      </c>
      <c r="C1658" t="s">
        <v>1094</v>
      </c>
      <c r="D1658" t="s">
        <v>5653</v>
      </c>
      <c r="E1658" t="s">
        <v>14</v>
      </c>
      <c r="F1658" t="s">
        <v>15</v>
      </c>
      <c r="G1658">
        <v>28209</v>
      </c>
      <c r="H1658" t="s">
        <v>101</v>
      </c>
      <c r="I1658">
        <v>28</v>
      </c>
      <c r="J1658">
        <v>1</v>
      </c>
      <c r="K1658" t="s">
        <v>8925</v>
      </c>
    </row>
    <row r="1659" spans="1:11" x14ac:dyDescent="0.25">
      <c r="A1659" t="s">
        <v>5654</v>
      </c>
      <c r="B1659" t="s">
        <v>5655</v>
      </c>
      <c r="C1659" t="s">
        <v>5656</v>
      </c>
      <c r="D1659" t="s">
        <v>5657</v>
      </c>
      <c r="E1659" t="s">
        <v>14</v>
      </c>
      <c r="F1659" t="s">
        <v>15</v>
      </c>
      <c r="G1659">
        <v>28203</v>
      </c>
      <c r="H1659" t="s">
        <v>26</v>
      </c>
      <c r="I1659">
        <v>54</v>
      </c>
      <c r="J1659">
        <v>0</v>
      </c>
      <c r="K1659" t="s">
        <v>8935</v>
      </c>
    </row>
    <row r="1660" spans="1:11" x14ac:dyDescent="0.25">
      <c r="A1660" t="s">
        <v>5658</v>
      </c>
      <c r="B1660" t="s">
        <v>5659</v>
      </c>
      <c r="C1660" t="s">
        <v>5660</v>
      </c>
      <c r="D1660" t="s">
        <v>5661</v>
      </c>
      <c r="E1660" t="s">
        <v>14</v>
      </c>
      <c r="F1660" t="s">
        <v>15</v>
      </c>
      <c r="G1660">
        <v>28270</v>
      </c>
      <c r="H1660" t="s">
        <v>48</v>
      </c>
      <c r="I1660">
        <v>43</v>
      </c>
      <c r="J1660">
        <v>1</v>
      </c>
      <c r="K1660" t="s">
        <v>8935</v>
      </c>
    </row>
    <row r="1661" spans="1:11" x14ac:dyDescent="0.25">
      <c r="A1661" t="s">
        <v>5662</v>
      </c>
      <c r="B1661" t="s">
        <v>2898</v>
      </c>
      <c r="C1661" t="s">
        <v>5663</v>
      </c>
      <c r="D1661" t="s">
        <v>5664</v>
      </c>
      <c r="E1661" t="s">
        <v>14</v>
      </c>
      <c r="F1661" t="s">
        <v>15</v>
      </c>
      <c r="G1661">
        <v>28215</v>
      </c>
      <c r="H1661" t="s">
        <v>26</v>
      </c>
      <c r="I1661">
        <v>3</v>
      </c>
      <c r="J1661">
        <v>0</v>
      </c>
      <c r="K1661" t="s">
        <v>8935</v>
      </c>
    </row>
    <row r="1662" spans="1:11" x14ac:dyDescent="0.25">
      <c r="A1662" t="s">
        <v>5665</v>
      </c>
      <c r="B1662" t="s">
        <v>5666</v>
      </c>
      <c r="C1662" t="s">
        <v>447</v>
      </c>
      <c r="D1662" t="s">
        <v>5667</v>
      </c>
      <c r="E1662" t="s">
        <v>14</v>
      </c>
      <c r="F1662" t="s">
        <v>15</v>
      </c>
      <c r="G1662">
        <v>28277</v>
      </c>
      <c r="H1662" t="s">
        <v>21</v>
      </c>
      <c r="I1662">
        <v>264</v>
      </c>
      <c r="J1662">
        <v>1</v>
      </c>
      <c r="K1662" t="s">
        <v>8925</v>
      </c>
    </row>
    <row r="1663" spans="1:11" x14ac:dyDescent="0.25">
      <c r="A1663" t="s">
        <v>5668</v>
      </c>
      <c r="B1663" t="s">
        <v>5669</v>
      </c>
      <c r="C1663" t="s">
        <v>5670</v>
      </c>
      <c r="D1663" t="s">
        <v>1864</v>
      </c>
      <c r="E1663" t="s">
        <v>14</v>
      </c>
      <c r="F1663" t="s">
        <v>15</v>
      </c>
      <c r="G1663">
        <v>28209</v>
      </c>
      <c r="H1663" t="s">
        <v>21</v>
      </c>
      <c r="I1663">
        <v>79</v>
      </c>
      <c r="J1663">
        <v>1</v>
      </c>
      <c r="K1663" t="s">
        <v>8935</v>
      </c>
    </row>
    <row r="1664" spans="1:11" x14ac:dyDescent="0.25">
      <c r="A1664" t="s">
        <v>5671</v>
      </c>
      <c r="B1664" t="s">
        <v>5672</v>
      </c>
      <c r="C1664" t="s">
        <v>5673</v>
      </c>
      <c r="D1664" t="s">
        <v>5674</v>
      </c>
      <c r="E1664" t="s">
        <v>14</v>
      </c>
      <c r="F1664" t="s">
        <v>15</v>
      </c>
      <c r="G1664">
        <v>28270</v>
      </c>
      <c r="H1664" t="s">
        <v>146</v>
      </c>
      <c r="I1664">
        <v>23</v>
      </c>
      <c r="J1664">
        <v>0</v>
      </c>
      <c r="K1664" t="s">
        <v>8935</v>
      </c>
    </row>
    <row r="1665" spans="1:11" x14ac:dyDescent="0.25">
      <c r="A1665" t="s">
        <v>5675</v>
      </c>
      <c r="B1665" t="s">
        <v>811</v>
      </c>
      <c r="C1665" t="s">
        <v>2009</v>
      </c>
      <c r="D1665" t="s">
        <v>5676</v>
      </c>
      <c r="E1665" t="s">
        <v>14</v>
      </c>
      <c r="F1665" t="s">
        <v>15</v>
      </c>
      <c r="G1665">
        <v>28269</v>
      </c>
      <c r="H1665" t="s">
        <v>21</v>
      </c>
      <c r="I1665">
        <v>163</v>
      </c>
      <c r="J1665">
        <v>1</v>
      </c>
      <c r="K1665" t="s">
        <v>8925</v>
      </c>
    </row>
    <row r="1666" spans="1:11" x14ac:dyDescent="0.25">
      <c r="A1666" t="s">
        <v>5677</v>
      </c>
      <c r="B1666" t="s">
        <v>312</v>
      </c>
      <c r="C1666" t="s">
        <v>5678</v>
      </c>
      <c r="D1666" t="s">
        <v>5679</v>
      </c>
      <c r="E1666" t="s">
        <v>14</v>
      </c>
      <c r="F1666" t="s">
        <v>15</v>
      </c>
      <c r="G1666">
        <v>28277</v>
      </c>
      <c r="H1666" t="s">
        <v>26</v>
      </c>
      <c r="I1666">
        <v>154</v>
      </c>
      <c r="J1666">
        <v>1</v>
      </c>
      <c r="K1666" t="s">
        <v>8925</v>
      </c>
    </row>
    <row r="1667" spans="1:11" x14ac:dyDescent="0.25">
      <c r="A1667" t="s">
        <v>5680</v>
      </c>
      <c r="B1667" t="s">
        <v>5681</v>
      </c>
      <c r="C1667" t="s">
        <v>5682</v>
      </c>
      <c r="D1667" t="s">
        <v>5683</v>
      </c>
      <c r="E1667" t="s">
        <v>14</v>
      </c>
      <c r="F1667" t="s">
        <v>15</v>
      </c>
      <c r="G1667">
        <v>28204</v>
      </c>
      <c r="H1667" t="s">
        <v>26</v>
      </c>
      <c r="I1667">
        <v>33</v>
      </c>
      <c r="J1667">
        <v>1</v>
      </c>
      <c r="K1667" t="s">
        <v>8935</v>
      </c>
    </row>
    <row r="1668" spans="1:11" x14ac:dyDescent="0.25">
      <c r="A1668" t="s">
        <v>5684</v>
      </c>
      <c r="B1668" t="s">
        <v>1343</v>
      </c>
      <c r="C1668" t="s">
        <v>2917</v>
      </c>
      <c r="D1668" t="s">
        <v>5685</v>
      </c>
      <c r="E1668" t="s">
        <v>14</v>
      </c>
      <c r="F1668" t="s">
        <v>15</v>
      </c>
      <c r="G1668">
        <v>28203</v>
      </c>
      <c r="H1668" t="s">
        <v>26</v>
      </c>
      <c r="I1668">
        <v>3</v>
      </c>
      <c r="J1668">
        <v>0</v>
      </c>
      <c r="K1668" t="s">
        <v>8935</v>
      </c>
    </row>
    <row r="1669" spans="1:11" x14ac:dyDescent="0.25">
      <c r="A1669" t="s">
        <v>5686</v>
      </c>
      <c r="B1669" t="s">
        <v>5687</v>
      </c>
      <c r="C1669" t="s">
        <v>5688</v>
      </c>
      <c r="D1669" t="s">
        <v>5689</v>
      </c>
      <c r="E1669" t="s">
        <v>14</v>
      </c>
      <c r="F1669" t="s">
        <v>15</v>
      </c>
      <c r="G1669">
        <v>28273</v>
      </c>
      <c r="H1669" t="s">
        <v>21</v>
      </c>
      <c r="I1669">
        <v>80</v>
      </c>
      <c r="J1669">
        <v>1</v>
      </c>
      <c r="K1669" t="s">
        <v>8927</v>
      </c>
    </row>
    <row r="1670" spans="1:11" x14ac:dyDescent="0.25">
      <c r="A1670" t="s">
        <v>5690</v>
      </c>
      <c r="B1670" t="s">
        <v>5691</v>
      </c>
      <c r="C1670" t="s">
        <v>5692</v>
      </c>
      <c r="D1670" t="s">
        <v>5693</v>
      </c>
      <c r="E1670" t="s">
        <v>14</v>
      </c>
      <c r="F1670" t="s">
        <v>15</v>
      </c>
      <c r="G1670">
        <v>28270</v>
      </c>
      <c r="H1670" t="s">
        <v>21</v>
      </c>
      <c r="I1670">
        <v>40</v>
      </c>
      <c r="J1670">
        <v>1</v>
      </c>
      <c r="K1670" t="s">
        <v>8921</v>
      </c>
    </row>
    <row r="1671" spans="1:11" x14ac:dyDescent="0.25">
      <c r="A1671" t="s">
        <v>5694</v>
      </c>
      <c r="B1671" t="s">
        <v>5695</v>
      </c>
      <c r="C1671" t="s">
        <v>5696</v>
      </c>
      <c r="E1671" t="s">
        <v>14</v>
      </c>
      <c r="F1671" t="s">
        <v>15</v>
      </c>
      <c r="G1671">
        <v>28205</v>
      </c>
      <c r="H1671" t="s">
        <v>146</v>
      </c>
      <c r="I1671">
        <v>4</v>
      </c>
      <c r="J1671">
        <v>1</v>
      </c>
      <c r="K1671" t="s">
        <v>8935</v>
      </c>
    </row>
    <row r="1672" spans="1:11" x14ac:dyDescent="0.25">
      <c r="A1672" t="s">
        <v>5697</v>
      </c>
      <c r="B1672" t="s">
        <v>359</v>
      </c>
      <c r="C1672" t="s">
        <v>3288</v>
      </c>
      <c r="D1672" t="s">
        <v>5698</v>
      </c>
      <c r="E1672" t="s">
        <v>14</v>
      </c>
      <c r="F1672" t="s">
        <v>15</v>
      </c>
      <c r="G1672">
        <v>28273</v>
      </c>
      <c r="H1672" t="s">
        <v>26</v>
      </c>
      <c r="I1672">
        <v>43</v>
      </c>
      <c r="J1672">
        <v>0</v>
      </c>
      <c r="K1672" t="s">
        <v>8935</v>
      </c>
    </row>
    <row r="1673" spans="1:11" x14ac:dyDescent="0.25">
      <c r="A1673" t="s">
        <v>5699</v>
      </c>
      <c r="B1673" t="s">
        <v>5700</v>
      </c>
      <c r="C1673" t="s">
        <v>5701</v>
      </c>
      <c r="E1673" t="s">
        <v>14</v>
      </c>
      <c r="F1673" t="s">
        <v>15</v>
      </c>
      <c r="H1673" t="s">
        <v>146</v>
      </c>
      <c r="I1673">
        <v>4</v>
      </c>
      <c r="J1673">
        <v>1</v>
      </c>
      <c r="K1673" t="s">
        <v>8935</v>
      </c>
    </row>
    <row r="1674" spans="1:11" x14ac:dyDescent="0.25">
      <c r="A1674" t="s">
        <v>5702</v>
      </c>
      <c r="B1674" t="s">
        <v>5703</v>
      </c>
      <c r="C1674" t="s">
        <v>5704</v>
      </c>
      <c r="D1674" t="s">
        <v>5705</v>
      </c>
      <c r="E1674" t="s">
        <v>14</v>
      </c>
      <c r="F1674" t="s">
        <v>15</v>
      </c>
      <c r="G1674">
        <v>28211</v>
      </c>
      <c r="H1674" t="s">
        <v>21</v>
      </c>
      <c r="I1674">
        <v>92</v>
      </c>
      <c r="J1674">
        <v>1</v>
      </c>
      <c r="K1674" t="s">
        <v>8936</v>
      </c>
    </row>
    <row r="1675" spans="1:11" x14ac:dyDescent="0.25">
      <c r="A1675" t="s">
        <v>5706</v>
      </c>
      <c r="B1675" t="s">
        <v>5707</v>
      </c>
      <c r="C1675" t="s">
        <v>5708</v>
      </c>
      <c r="D1675" t="s">
        <v>5709</v>
      </c>
      <c r="E1675" t="s">
        <v>14</v>
      </c>
      <c r="F1675" t="s">
        <v>15</v>
      </c>
      <c r="G1675">
        <v>28277</v>
      </c>
      <c r="H1675" t="s">
        <v>39</v>
      </c>
      <c r="I1675">
        <v>3</v>
      </c>
      <c r="J1675">
        <v>1</v>
      </c>
      <c r="K1675" t="s">
        <v>8935</v>
      </c>
    </row>
    <row r="1676" spans="1:11" x14ac:dyDescent="0.25">
      <c r="A1676" t="s">
        <v>5710</v>
      </c>
      <c r="B1676" t="s">
        <v>5711</v>
      </c>
      <c r="C1676" t="s">
        <v>5712</v>
      </c>
      <c r="D1676" t="s">
        <v>3795</v>
      </c>
      <c r="E1676" t="s">
        <v>14</v>
      </c>
      <c r="F1676" t="s">
        <v>15</v>
      </c>
      <c r="G1676">
        <v>28202</v>
      </c>
      <c r="H1676" t="s">
        <v>21</v>
      </c>
      <c r="I1676">
        <v>21</v>
      </c>
      <c r="J1676">
        <v>1</v>
      </c>
      <c r="K1676" t="s">
        <v>8935</v>
      </c>
    </row>
    <row r="1677" spans="1:11" x14ac:dyDescent="0.25">
      <c r="A1677" t="s">
        <v>5713</v>
      </c>
      <c r="B1677" t="s">
        <v>811</v>
      </c>
      <c r="C1677" t="s">
        <v>5714</v>
      </c>
      <c r="D1677" t="s">
        <v>5715</v>
      </c>
      <c r="E1677" t="s">
        <v>14</v>
      </c>
      <c r="F1677" t="s">
        <v>15</v>
      </c>
      <c r="G1677">
        <v>28213</v>
      </c>
      <c r="H1677" t="s">
        <v>16</v>
      </c>
      <c r="I1677">
        <v>43</v>
      </c>
      <c r="J1677">
        <v>1</v>
      </c>
      <c r="K1677" t="s">
        <v>8925</v>
      </c>
    </row>
    <row r="1678" spans="1:11" x14ac:dyDescent="0.25">
      <c r="A1678" t="s">
        <v>5716</v>
      </c>
      <c r="B1678" t="s">
        <v>5717</v>
      </c>
      <c r="C1678" t="s">
        <v>5718</v>
      </c>
      <c r="D1678" t="s">
        <v>5719</v>
      </c>
      <c r="E1678" t="s">
        <v>14</v>
      </c>
      <c r="F1678" t="s">
        <v>15</v>
      </c>
      <c r="G1678">
        <v>28277</v>
      </c>
      <c r="H1678" t="s">
        <v>16</v>
      </c>
      <c r="I1678">
        <v>195</v>
      </c>
      <c r="J1678">
        <v>1</v>
      </c>
      <c r="K1678" t="s">
        <v>8935</v>
      </c>
    </row>
    <row r="1679" spans="1:11" x14ac:dyDescent="0.25">
      <c r="A1679" t="s">
        <v>5720</v>
      </c>
      <c r="B1679" t="s">
        <v>279</v>
      </c>
      <c r="C1679" t="s">
        <v>5721</v>
      </c>
      <c r="D1679" t="s">
        <v>5722</v>
      </c>
      <c r="E1679" t="s">
        <v>14</v>
      </c>
      <c r="F1679" t="s">
        <v>15</v>
      </c>
      <c r="G1679">
        <v>28207</v>
      </c>
      <c r="H1679" t="s">
        <v>16</v>
      </c>
      <c r="I1679">
        <v>77</v>
      </c>
      <c r="J1679">
        <v>1</v>
      </c>
      <c r="K1679" t="s">
        <v>8926</v>
      </c>
    </row>
    <row r="1680" spans="1:11" x14ac:dyDescent="0.25">
      <c r="A1680" t="s">
        <v>5723</v>
      </c>
      <c r="B1680" t="s">
        <v>316</v>
      </c>
      <c r="C1680" t="s">
        <v>177</v>
      </c>
      <c r="D1680" t="s">
        <v>5724</v>
      </c>
      <c r="E1680" t="s">
        <v>14</v>
      </c>
      <c r="F1680" t="s">
        <v>15</v>
      </c>
      <c r="G1680">
        <v>28209</v>
      </c>
      <c r="H1680" t="s">
        <v>101</v>
      </c>
      <c r="I1680">
        <v>8</v>
      </c>
      <c r="J1680">
        <v>1</v>
      </c>
      <c r="K1680" t="s">
        <v>8935</v>
      </c>
    </row>
    <row r="1681" spans="1:11" x14ac:dyDescent="0.25">
      <c r="A1681" t="s">
        <v>5725</v>
      </c>
      <c r="B1681" t="s">
        <v>5726</v>
      </c>
      <c r="C1681" t="s">
        <v>5727</v>
      </c>
      <c r="D1681" t="s">
        <v>5728</v>
      </c>
      <c r="E1681" t="s">
        <v>14</v>
      </c>
      <c r="F1681" t="s">
        <v>15</v>
      </c>
      <c r="G1681">
        <v>28262</v>
      </c>
      <c r="H1681" t="s">
        <v>21</v>
      </c>
      <c r="I1681">
        <v>45</v>
      </c>
      <c r="J1681">
        <v>1</v>
      </c>
      <c r="K1681" t="s">
        <v>8930</v>
      </c>
    </row>
    <row r="1682" spans="1:11" x14ac:dyDescent="0.25">
      <c r="A1682" t="s">
        <v>5729</v>
      </c>
      <c r="B1682" t="s">
        <v>176</v>
      </c>
      <c r="C1682" t="s">
        <v>4635</v>
      </c>
      <c r="D1682" t="s">
        <v>5730</v>
      </c>
      <c r="E1682" t="s">
        <v>14</v>
      </c>
      <c r="F1682" t="s">
        <v>15</v>
      </c>
      <c r="G1682">
        <v>28226</v>
      </c>
      <c r="H1682" t="s">
        <v>21</v>
      </c>
      <c r="I1682">
        <v>29</v>
      </c>
      <c r="J1682">
        <v>1</v>
      </c>
      <c r="K1682" t="s">
        <v>8935</v>
      </c>
    </row>
    <row r="1683" spans="1:11" x14ac:dyDescent="0.25">
      <c r="A1683" t="s">
        <v>5731</v>
      </c>
      <c r="B1683" t="s">
        <v>5732</v>
      </c>
      <c r="C1683" t="s">
        <v>59</v>
      </c>
      <c r="D1683" t="s">
        <v>5733</v>
      </c>
      <c r="E1683" t="s">
        <v>14</v>
      </c>
      <c r="F1683" t="s">
        <v>15</v>
      </c>
      <c r="G1683">
        <v>28202</v>
      </c>
      <c r="H1683" t="s">
        <v>16</v>
      </c>
      <c r="I1683">
        <v>5</v>
      </c>
      <c r="J1683">
        <v>1</v>
      </c>
      <c r="K1683" t="s">
        <v>8935</v>
      </c>
    </row>
    <row r="1684" spans="1:11" x14ac:dyDescent="0.25">
      <c r="A1684" t="s">
        <v>5734</v>
      </c>
      <c r="B1684" t="s">
        <v>3883</v>
      </c>
      <c r="C1684" t="s">
        <v>5735</v>
      </c>
      <c r="D1684" t="s">
        <v>5736</v>
      </c>
      <c r="E1684" t="s">
        <v>14</v>
      </c>
      <c r="F1684" t="s">
        <v>15</v>
      </c>
      <c r="G1684">
        <v>28202</v>
      </c>
      <c r="H1684" t="s">
        <v>16</v>
      </c>
      <c r="I1684">
        <v>117</v>
      </c>
      <c r="J1684">
        <v>1</v>
      </c>
      <c r="K1684" t="s">
        <v>8920</v>
      </c>
    </row>
    <row r="1685" spans="1:11" x14ac:dyDescent="0.25">
      <c r="A1685" t="s">
        <v>5737</v>
      </c>
      <c r="B1685" t="s">
        <v>5738</v>
      </c>
      <c r="C1685" t="s">
        <v>5739</v>
      </c>
      <c r="D1685" t="s">
        <v>381</v>
      </c>
      <c r="E1685" t="s">
        <v>14</v>
      </c>
      <c r="F1685" t="s">
        <v>15</v>
      </c>
      <c r="G1685">
        <v>28262</v>
      </c>
      <c r="H1685" t="s">
        <v>21</v>
      </c>
      <c r="I1685">
        <v>42</v>
      </c>
      <c r="J1685">
        <v>0</v>
      </c>
      <c r="K1685" t="s">
        <v>8935</v>
      </c>
    </row>
    <row r="1686" spans="1:11" x14ac:dyDescent="0.25">
      <c r="A1686" t="s">
        <v>5740</v>
      </c>
      <c r="B1686" t="s">
        <v>5741</v>
      </c>
      <c r="C1686" t="s">
        <v>5742</v>
      </c>
      <c r="D1686" t="s">
        <v>5743</v>
      </c>
      <c r="E1686" t="s">
        <v>14</v>
      </c>
      <c r="F1686" t="s">
        <v>15</v>
      </c>
      <c r="G1686">
        <v>28202</v>
      </c>
      <c r="H1686" t="s">
        <v>21</v>
      </c>
      <c r="I1686">
        <v>543</v>
      </c>
      <c r="J1686">
        <v>1</v>
      </c>
      <c r="K1686" t="s">
        <v>8926</v>
      </c>
    </row>
    <row r="1687" spans="1:11" x14ac:dyDescent="0.25">
      <c r="A1687" t="s">
        <v>5744</v>
      </c>
      <c r="B1687" t="s">
        <v>5745</v>
      </c>
      <c r="C1687" t="s">
        <v>1759</v>
      </c>
      <c r="D1687" t="s">
        <v>5746</v>
      </c>
      <c r="E1687" t="s">
        <v>14</v>
      </c>
      <c r="F1687" t="s">
        <v>15</v>
      </c>
      <c r="G1687">
        <v>28262</v>
      </c>
      <c r="H1687" t="s">
        <v>21</v>
      </c>
      <c r="I1687">
        <v>76</v>
      </c>
      <c r="J1687">
        <v>1</v>
      </c>
      <c r="K1687" t="s">
        <v>8935</v>
      </c>
    </row>
    <row r="1688" spans="1:11" x14ac:dyDescent="0.25">
      <c r="A1688" t="s">
        <v>5747</v>
      </c>
      <c r="B1688" t="s">
        <v>5748</v>
      </c>
      <c r="C1688" t="s">
        <v>601</v>
      </c>
      <c r="D1688" t="s">
        <v>3908</v>
      </c>
      <c r="E1688" t="s">
        <v>14</v>
      </c>
      <c r="F1688" t="s">
        <v>15</v>
      </c>
      <c r="G1688">
        <v>28273</v>
      </c>
      <c r="H1688" t="s">
        <v>26</v>
      </c>
      <c r="I1688">
        <v>62</v>
      </c>
      <c r="J1688">
        <v>0</v>
      </c>
      <c r="K1688" t="s">
        <v>8935</v>
      </c>
    </row>
    <row r="1689" spans="1:11" x14ac:dyDescent="0.25">
      <c r="A1689" t="s">
        <v>5749</v>
      </c>
      <c r="B1689" t="s">
        <v>5750</v>
      </c>
      <c r="C1689" t="s">
        <v>5751</v>
      </c>
      <c r="D1689" t="s">
        <v>5752</v>
      </c>
      <c r="E1689" t="s">
        <v>14</v>
      </c>
      <c r="F1689" t="s">
        <v>15</v>
      </c>
      <c r="G1689">
        <v>28216</v>
      </c>
      <c r="H1689" t="s">
        <v>16</v>
      </c>
      <c r="I1689">
        <v>6</v>
      </c>
      <c r="J1689">
        <v>0</v>
      </c>
      <c r="K1689" t="s">
        <v>8935</v>
      </c>
    </row>
    <row r="1690" spans="1:11" x14ac:dyDescent="0.25">
      <c r="A1690" t="s">
        <v>5753</v>
      </c>
      <c r="B1690" t="s">
        <v>312</v>
      </c>
      <c r="C1690" t="s">
        <v>5754</v>
      </c>
      <c r="D1690" t="s">
        <v>5755</v>
      </c>
      <c r="E1690" t="s">
        <v>14</v>
      </c>
      <c r="F1690" t="s">
        <v>15</v>
      </c>
      <c r="G1690">
        <v>28210</v>
      </c>
      <c r="H1690" t="s">
        <v>21</v>
      </c>
      <c r="I1690">
        <v>30</v>
      </c>
      <c r="J1690">
        <v>0</v>
      </c>
      <c r="K1690" t="s">
        <v>8925</v>
      </c>
    </row>
    <row r="1691" spans="1:11" x14ac:dyDescent="0.25">
      <c r="A1691" t="s">
        <v>5756</v>
      </c>
      <c r="B1691" t="s">
        <v>5757</v>
      </c>
      <c r="C1691" t="s">
        <v>1461</v>
      </c>
      <c r="D1691" t="s">
        <v>3955</v>
      </c>
      <c r="E1691" t="s">
        <v>14</v>
      </c>
      <c r="F1691" t="s">
        <v>15</v>
      </c>
      <c r="G1691">
        <v>28203</v>
      </c>
      <c r="H1691" t="s">
        <v>26</v>
      </c>
      <c r="I1691">
        <v>8</v>
      </c>
      <c r="J1691">
        <v>0</v>
      </c>
      <c r="K1691" t="s">
        <v>8935</v>
      </c>
    </row>
    <row r="1692" spans="1:11" x14ac:dyDescent="0.25">
      <c r="A1692" t="s">
        <v>5758</v>
      </c>
      <c r="B1692" t="s">
        <v>2821</v>
      </c>
      <c r="C1692" t="s">
        <v>364</v>
      </c>
      <c r="D1692" t="s">
        <v>5759</v>
      </c>
      <c r="E1692" t="s">
        <v>14</v>
      </c>
      <c r="F1692" t="s">
        <v>15</v>
      </c>
      <c r="G1692">
        <v>28262</v>
      </c>
      <c r="H1692" t="s">
        <v>101</v>
      </c>
      <c r="I1692">
        <v>3</v>
      </c>
      <c r="J1692">
        <v>1</v>
      </c>
      <c r="K1692" t="s">
        <v>8935</v>
      </c>
    </row>
    <row r="1693" spans="1:11" x14ac:dyDescent="0.25">
      <c r="A1693" t="s">
        <v>5760</v>
      </c>
      <c r="B1693" t="s">
        <v>5761</v>
      </c>
      <c r="C1693" t="s">
        <v>193</v>
      </c>
      <c r="D1693" t="s">
        <v>5762</v>
      </c>
      <c r="E1693" t="s">
        <v>14</v>
      </c>
      <c r="F1693" t="s">
        <v>15</v>
      </c>
      <c r="G1693">
        <v>28213</v>
      </c>
      <c r="H1693" t="s">
        <v>195</v>
      </c>
      <c r="I1693">
        <v>18</v>
      </c>
      <c r="J1693">
        <v>1</v>
      </c>
      <c r="K1693" t="s">
        <v>8935</v>
      </c>
    </row>
    <row r="1694" spans="1:11" x14ac:dyDescent="0.25">
      <c r="A1694" t="s">
        <v>5763</v>
      </c>
      <c r="B1694" t="s">
        <v>5764</v>
      </c>
      <c r="C1694" t="s">
        <v>4193</v>
      </c>
      <c r="D1694" t="s">
        <v>5765</v>
      </c>
      <c r="E1694" t="s">
        <v>14</v>
      </c>
      <c r="F1694" t="s">
        <v>15</v>
      </c>
      <c r="G1694">
        <v>28210</v>
      </c>
      <c r="H1694" t="s">
        <v>16</v>
      </c>
      <c r="I1694">
        <v>12</v>
      </c>
      <c r="J1694">
        <v>1</v>
      </c>
      <c r="K1694" t="s">
        <v>8935</v>
      </c>
    </row>
    <row r="1695" spans="1:11" x14ac:dyDescent="0.25">
      <c r="A1695" t="s">
        <v>5766</v>
      </c>
      <c r="B1695" t="s">
        <v>5767</v>
      </c>
      <c r="C1695" t="s">
        <v>5768</v>
      </c>
      <c r="D1695" t="s">
        <v>4419</v>
      </c>
      <c r="E1695" t="s">
        <v>14</v>
      </c>
      <c r="F1695" t="s">
        <v>15</v>
      </c>
      <c r="G1695">
        <v>28204</v>
      </c>
      <c r="H1695" t="s">
        <v>39</v>
      </c>
      <c r="I1695">
        <v>186</v>
      </c>
      <c r="J1695">
        <v>1</v>
      </c>
      <c r="K1695" t="s">
        <v>8935</v>
      </c>
    </row>
    <row r="1696" spans="1:11" x14ac:dyDescent="0.25">
      <c r="A1696" t="s">
        <v>5769</v>
      </c>
      <c r="B1696" t="s">
        <v>5770</v>
      </c>
      <c r="C1696" t="s">
        <v>5771</v>
      </c>
      <c r="D1696" t="s">
        <v>4527</v>
      </c>
      <c r="E1696" t="s">
        <v>14</v>
      </c>
      <c r="F1696" t="s">
        <v>15</v>
      </c>
      <c r="G1696">
        <v>28277</v>
      </c>
      <c r="H1696" t="s">
        <v>21</v>
      </c>
      <c r="I1696">
        <v>93</v>
      </c>
      <c r="J1696">
        <v>1</v>
      </c>
      <c r="K1696" t="s">
        <v>8926</v>
      </c>
    </row>
    <row r="1697" spans="1:11" x14ac:dyDescent="0.25">
      <c r="A1697" t="s">
        <v>5772</v>
      </c>
      <c r="B1697" t="s">
        <v>279</v>
      </c>
      <c r="C1697" t="s">
        <v>5773</v>
      </c>
      <c r="D1697" t="s">
        <v>5774</v>
      </c>
      <c r="E1697" t="s">
        <v>14</v>
      </c>
      <c r="F1697" t="s">
        <v>15</v>
      </c>
      <c r="G1697">
        <v>28277</v>
      </c>
      <c r="H1697" t="s">
        <v>21</v>
      </c>
      <c r="I1697">
        <v>31</v>
      </c>
      <c r="J1697">
        <v>1</v>
      </c>
      <c r="K1697" t="s">
        <v>8926</v>
      </c>
    </row>
    <row r="1698" spans="1:11" x14ac:dyDescent="0.25">
      <c r="A1698" t="s">
        <v>5775</v>
      </c>
      <c r="B1698" t="s">
        <v>811</v>
      </c>
      <c r="C1698" t="s">
        <v>5776</v>
      </c>
      <c r="D1698" t="s">
        <v>5112</v>
      </c>
      <c r="E1698" t="s">
        <v>14</v>
      </c>
      <c r="F1698" t="s">
        <v>15</v>
      </c>
      <c r="G1698">
        <v>28205</v>
      </c>
      <c r="H1698" t="s">
        <v>26</v>
      </c>
      <c r="I1698">
        <v>3</v>
      </c>
      <c r="J1698">
        <v>1</v>
      </c>
      <c r="K1698" t="s">
        <v>8925</v>
      </c>
    </row>
    <row r="1699" spans="1:11" x14ac:dyDescent="0.25">
      <c r="A1699" t="s">
        <v>5777</v>
      </c>
      <c r="B1699" t="s">
        <v>5778</v>
      </c>
      <c r="C1699" t="s">
        <v>5779</v>
      </c>
      <c r="D1699" t="s">
        <v>5780</v>
      </c>
      <c r="E1699" t="s">
        <v>14</v>
      </c>
      <c r="F1699" t="s">
        <v>15</v>
      </c>
      <c r="G1699">
        <v>28205</v>
      </c>
      <c r="H1699" t="s">
        <v>16</v>
      </c>
      <c r="I1699">
        <v>19</v>
      </c>
      <c r="J1699">
        <v>1</v>
      </c>
      <c r="K1699" t="s">
        <v>8935</v>
      </c>
    </row>
    <row r="1700" spans="1:11" x14ac:dyDescent="0.25">
      <c r="A1700" t="s">
        <v>5781</v>
      </c>
      <c r="B1700" t="s">
        <v>5782</v>
      </c>
      <c r="C1700" t="s">
        <v>5783</v>
      </c>
      <c r="D1700" t="s">
        <v>5784</v>
      </c>
      <c r="E1700" t="s">
        <v>14</v>
      </c>
      <c r="F1700" t="s">
        <v>15</v>
      </c>
      <c r="G1700">
        <v>28277</v>
      </c>
      <c r="H1700" t="s">
        <v>16</v>
      </c>
      <c r="I1700">
        <v>77</v>
      </c>
      <c r="J1700">
        <v>1</v>
      </c>
      <c r="K1700" t="s">
        <v>8921</v>
      </c>
    </row>
    <row r="1701" spans="1:11" x14ac:dyDescent="0.25">
      <c r="A1701" t="s">
        <v>5785</v>
      </c>
      <c r="B1701" t="s">
        <v>5786</v>
      </c>
      <c r="C1701" t="s">
        <v>5476</v>
      </c>
      <c r="D1701" t="s">
        <v>5787</v>
      </c>
      <c r="E1701" t="s">
        <v>14</v>
      </c>
      <c r="F1701" t="s">
        <v>15</v>
      </c>
      <c r="G1701">
        <v>28215</v>
      </c>
      <c r="H1701" t="s">
        <v>16</v>
      </c>
      <c r="I1701">
        <v>77</v>
      </c>
      <c r="J1701">
        <v>1</v>
      </c>
      <c r="K1701" t="s">
        <v>8931</v>
      </c>
    </row>
    <row r="1702" spans="1:11" x14ac:dyDescent="0.25">
      <c r="A1702" t="s">
        <v>5788</v>
      </c>
      <c r="B1702" t="s">
        <v>5789</v>
      </c>
      <c r="C1702" t="s">
        <v>997</v>
      </c>
      <c r="D1702" t="s">
        <v>5790</v>
      </c>
      <c r="E1702" t="s">
        <v>14</v>
      </c>
      <c r="F1702" t="s">
        <v>15</v>
      </c>
      <c r="G1702">
        <v>28277</v>
      </c>
      <c r="H1702" t="s">
        <v>48</v>
      </c>
      <c r="I1702">
        <v>23</v>
      </c>
      <c r="J1702">
        <v>1</v>
      </c>
      <c r="K1702" t="s">
        <v>8935</v>
      </c>
    </row>
    <row r="1703" spans="1:11" x14ac:dyDescent="0.25">
      <c r="A1703" t="s">
        <v>5791</v>
      </c>
      <c r="B1703" t="s">
        <v>5792</v>
      </c>
      <c r="C1703" t="s">
        <v>5793</v>
      </c>
      <c r="D1703" t="s">
        <v>5794</v>
      </c>
      <c r="E1703" t="s">
        <v>14</v>
      </c>
      <c r="F1703" t="s">
        <v>15</v>
      </c>
      <c r="G1703">
        <v>28202</v>
      </c>
      <c r="H1703" t="s">
        <v>48</v>
      </c>
      <c r="I1703">
        <v>13</v>
      </c>
      <c r="J1703">
        <v>0</v>
      </c>
      <c r="K1703" t="s">
        <v>8935</v>
      </c>
    </row>
    <row r="1704" spans="1:11" x14ac:dyDescent="0.25">
      <c r="A1704" t="s">
        <v>5795</v>
      </c>
      <c r="B1704" t="s">
        <v>5796</v>
      </c>
      <c r="C1704" t="s">
        <v>5797</v>
      </c>
      <c r="D1704" t="s">
        <v>2219</v>
      </c>
      <c r="E1704" t="s">
        <v>14</v>
      </c>
      <c r="F1704" t="s">
        <v>15</v>
      </c>
      <c r="G1704">
        <v>28204</v>
      </c>
      <c r="H1704" t="s">
        <v>21</v>
      </c>
      <c r="I1704">
        <v>98</v>
      </c>
      <c r="J1704">
        <v>1</v>
      </c>
      <c r="K1704" t="s">
        <v>8935</v>
      </c>
    </row>
    <row r="1705" spans="1:11" x14ac:dyDescent="0.25">
      <c r="A1705" t="s">
        <v>5798</v>
      </c>
      <c r="B1705" t="s">
        <v>2213</v>
      </c>
      <c r="C1705" t="s">
        <v>5799</v>
      </c>
      <c r="D1705" t="s">
        <v>5800</v>
      </c>
      <c r="E1705" t="s">
        <v>14</v>
      </c>
      <c r="F1705" t="s">
        <v>15</v>
      </c>
      <c r="G1705">
        <v>28216</v>
      </c>
      <c r="H1705" t="s">
        <v>16</v>
      </c>
      <c r="I1705">
        <v>30</v>
      </c>
      <c r="J1705">
        <v>0</v>
      </c>
      <c r="K1705" t="s">
        <v>8935</v>
      </c>
    </row>
    <row r="1706" spans="1:11" x14ac:dyDescent="0.25">
      <c r="A1706" t="s">
        <v>5801</v>
      </c>
      <c r="B1706" t="s">
        <v>5802</v>
      </c>
      <c r="C1706" t="s">
        <v>5803</v>
      </c>
      <c r="D1706" t="s">
        <v>5804</v>
      </c>
      <c r="E1706" t="s">
        <v>14</v>
      </c>
      <c r="F1706" t="s">
        <v>15</v>
      </c>
      <c r="G1706">
        <v>28202</v>
      </c>
      <c r="H1706" t="s">
        <v>16</v>
      </c>
      <c r="I1706">
        <v>48</v>
      </c>
      <c r="J1706">
        <v>1</v>
      </c>
      <c r="K1706" t="s">
        <v>8935</v>
      </c>
    </row>
    <row r="1707" spans="1:11" x14ac:dyDescent="0.25">
      <c r="A1707" t="s">
        <v>5805</v>
      </c>
      <c r="B1707" t="s">
        <v>5806</v>
      </c>
      <c r="C1707" t="s">
        <v>5807</v>
      </c>
      <c r="D1707" t="s">
        <v>5808</v>
      </c>
      <c r="E1707" t="s">
        <v>14</v>
      </c>
      <c r="F1707" t="s">
        <v>15</v>
      </c>
      <c r="G1707">
        <v>28202</v>
      </c>
      <c r="H1707" t="s">
        <v>26</v>
      </c>
      <c r="I1707">
        <v>101</v>
      </c>
      <c r="J1707">
        <v>1</v>
      </c>
      <c r="K1707" t="s">
        <v>8935</v>
      </c>
    </row>
    <row r="1708" spans="1:11" x14ac:dyDescent="0.25">
      <c r="A1708" t="s">
        <v>5809</v>
      </c>
      <c r="B1708" t="s">
        <v>5810</v>
      </c>
      <c r="C1708" t="s">
        <v>5811</v>
      </c>
      <c r="D1708" t="s">
        <v>5812</v>
      </c>
      <c r="E1708" t="s">
        <v>14</v>
      </c>
      <c r="F1708" t="s">
        <v>15</v>
      </c>
      <c r="G1708">
        <v>28277</v>
      </c>
      <c r="H1708" t="s">
        <v>195</v>
      </c>
      <c r="I1708">
        <v>6</v>
      </c>
      <c r="J1708">
        <v>0</v>
      </c>
      <c r="K1708" t="s">
        <v>8935</v>
      </c>
    </row>
    <row r="1709" spans="1:11" x14ac:dyDescent="0.25">
      <c r="A1709" t="s">
        <v>5813</v>
      </c>
      <c r="B1709" t="s">
        <v>5814</v>
      </c>
      <c r="C1709" t="s">
        <v>51</v>
      </c>
      <c r="D1709" t="s">
        <v>5815</v>
      </c>
      <c r="E1709" t="s">
        <v>14</v>
      </c>
      <c r="F1709" t="s">
        <v>15</v>
      </c>
      <c r="G1709">
        <v>28277</v>
      </c>
      <c r="H1709" t="s">
        <v>21</v>
      </c>
      <c r="I1709">
        <v>142</v>
      </c>
      <c r="J1709">
        <v>1</v>
      </c>
      <c r="K1709" t="s">
        <v>8935</v>
      </c>
    </row>
    <row r="1710" spans="1:11" x14ac:dyDescent="0.25">
      <c r="A1710" t="s">
        <v>5816</v>
      </c>
      <c r="B1710" t="s">
        <v>895</v>
      </c>
      <c r="C1710" t="s">
        <v>5817</v>
      </c>
      <c r="D1710" t="s">
        <v>43</v>
      </c>
      <c r="E1710" t="s">
        <v>14</v>
      </c>
      <c r="F1710" t="s">
        <v>15</v>
      </c>
      <c r="G1710">
        <v>28277</v>
      </c>
      <c r="H1710" t="s">
        <v>16</v>
      </c>
      <c r="I1710">
        <v>50</v>
      </c>
      <c r="J1710">
        <v>1</v>
      </c>
      <c r="K1710" t="s">
        <v>8935</v>
      </c>
    </row>
    <row r="1711" spans="1:11" x14ac:dyDescent="0.25">
      <c r="A1711" t="s">
        <v>5818</v>
      </c>
      <c r="B1711" t="s">
        <v>5819</v>
      </c>
      <c r="C1711" t="s">
        <v>3837</v>
      </c>
      <c r="D1711" t="s">
        <v>5820</v>
      </c>
      <c r="E1711" t="s">
        <v>14</v>
      </c>
      <c r="F1711" t="s">
        <v>15</v>
      </c>
      <c r="G1711">
        <v>28227</v>
      </c>
      <c r="H1711" t="s">
        <v>48</v>
      </c>
      <c r="I1711">
        <v>90</v>
      </c>
      <c r="J1711">
        <v>1</v>
      </c>
      <c r="K1711" t="s">
        <v>8935</v>
      </c>
    </row>
    <row r="1712" spans="1:11" x14ac:dyDescent="0.25">
      <c r="A1712" t="s">
        <v>5821</v>
      </c>
      <c r="B1712" t="s">
        <v>2625</v>
      </c>
      <c r="C1712" t="s">
        <v>5822</v>
      </c>
      <c r="D1712" t="s">
        <v>5823</v>
      </c>
      <c r="E1712" t="s">
        <v>14</v>
      </c>
      <c r="F1712" t="s">
        <v>15</v>
      </c>
      <c r="G1712">
        <v>28203</v>
      </c>
      <c r="H1712" t="s">
        <v>26</v>
      </c>
      <c r="I1712">
        <v>12</v>
      </c>
      <c r="J1712">
        <v>0</v>
      </c>
      <c r="K1712" t="s">
        <v>8935</v>
      </c>
    </row>
    <row r="1713" spans="1:11" x14ac:dyDescent="0.25">
      <c r="A1713" t="s">
        <v>5824</v>
      </c>
      <c r="B1713" t="s">
        <v>5825</v>
      </c>
      <c r="C1713" t="s">
        <v>5826</v>
      </c>
      <c r="D1713" t="s">
        <v>5827</v>
      </c>
      <c r="E1713" t="s">
        <v>14</v>
      </c>
      <c r="F1713" t="s">
        <v>15</v>
      </c>
      <c r="G1713">
        <v>28210</v>
      </c>
      <c r="H1713" t="s">
        <v>21</v>
      </c>
      <c r="I1713">
        <v>3</v>
      </c>
      <c r="J1713">
        <v>0</v>
      </c>
      <c r="K1713" t="s">
        <v>8935</v>
      </c>
    </row>
    <row r="1714" spans="1:11" x14ac:dyDescent="0.25">
      <c r="A1714" t="s">
        <v>5828</v>
      </c>
      <c r="B1714" t="s">
        <v>5829</v>
      </c>
      <c r="C1714" t="s">
        <v>5830</v>
      </c>
      <c r="D1714" t="s">
        <v>4096</v>
      </c>
      <c r="E1714" t="s">
        <v>14</v>
      </c>
      <c r="F1714" t="s">
        <v>15</v>
      </c>
      <c r="G1714">
        <v>28207</v>
      </c>
      <c r="H1714" t="s">
        <v>16</v>
      </c>
      <c r="I1714">
        <v>122</v>
      </c>
      <c r="J1714">
        <v>1</v>
      </c>
      <c r="K1714" t="s">
        <v>8921</v>
      </c>
    </row>
    <row r="1715" spans="1:11" x14ac:dyDescent="0.25">
      <c r="A1715" t="s">
        <v>5831</v>
      </c>
      <c r="B1715" t="s">
        <v>375</v>
      </c>
      <c r="C1715" t="s">
        <v>5832</v>
      </c>
      <c r="D1715" t="s">
        <v>1722</v>
      </c>
      <c r="E1715" t="s">
        <v>14</v>
      </c>
      <c r="F1715" t="s">
        <v>15</v>
      </c>
      <c r="G1715">
        <v>28206</v>
      </c>
      <c r="H1715" t="s">
        <v>21</v>
      </c>
      <c r="I1715">
        <v>38</v>
      </c>
      <c r="J1715">
        <v>1</v>
      </c>
      <c r="K1715" t="s">
        <v>8929</v>
      </c>
    </row>
    <row r="1716" spans="1:11" x14ac:dyDescent="0.25">
      <c r="A1716" t="s">
        <v>5833</v>
      </c>
      <c r="B1716" t="s">
        <v>5834</v>
      </c>
      <c r="C1716" t="s">
        <v>5835</v>
      </c>
      <c r="D1716" t="s">
        <v>5836</v>
      </c>
      <c r="E1716" t="s">
        <v>14</v>
      </c>
      <c r="F1716" t="s">
        <v>15</v>
      </c>
      <c r="G1716">
        <v>28205</v>
      </c>
      <c r="H1716" t="s">
        <v>21</v>
      </c>
      <c r="I1716">
        <v>29</v>
      </c>
      <c r="J1716">
        <v>1</v>
      </c>
      <c r="K1716" t="s">
        <v>8935</v>
      </c>
    </row>
    <row r="1717" spans="1:11" x14ac:dyDescent="0.25">
      <c r="A1717" t="s">
        <v>5837</v>
      </c>
      <c r="B1717" t="s">
        <v>5838</v>
      </c>
      <c r="C1717" t="s">
        <v>5839</v>
      </c>
      <c r="D1717" t="s">
        <v>5840</v>
      </c>
      <c r="E1717" t="s">
        <v>14</v>
      </c>
      <c r="F1717" t="s">
        <v>15</v>
      </c>
      <c r="G1717">
        <v>28269</v>
      </c>
      <c r="H1717" t="s">
        <v>26</v>
      </c>
      <c r="I1717">
        <v>8</v>
      </c>
      <c r="J1717">
        <v>1</v>
      </c>
      <c r="K1717" t="s">
        <v>8925</v>
      </c>
    </row>
    <row r="1718" spans="1:11" x14ac:dyDescent="0.25">
      <c r="A1718" t="s">
        <v>5841</v>
      </c>
      <c r="B1718" t="s">
        <v>5842</v>
      </c>
      <c r="C1718" t="s">
        <v>3375</v>
      </c>
      <c r="D1718" t="s">
        <v>5843</v>
      </c>
      <c r="E1718" t="s">
        <v>14</v>
      </c>
      <c r="F1718" t="s">
        <v>15</v>
      </c>
      <c r="G1718">
        <v>28216</v>
      </c>
      <c r="H1718" t="s">
        <v>21</v>
      </c>
      <c r="I1718">
        <v>64</v>
      </c>
      <c r="J1718">
        <v>1</v>
      </c>
      <c r="K1718" t="s">
        <v>8935</v>
      </c>
    </row>
    <row r="1719" spans="1:11" x14ac:dyDescent="0.25">
      <c r="A1719" t="s">
        <v>5844</v>
      </c>
      <c r="B1719" t="s">
        <v>5845</v>
      </c>
      <c r="C1719" t="s">
        <v>5846</v>
      </c>
      <c r="D1719" t="s">
        <v>5847</v>
      </c>
      <c r="E1719" t="s">
        <v>14</v>
      </c>
      <c r="F1719" t="s">
        <v>15</v>
      </c>
      <c r="G1719">
        <v>28277</v>
      </c>
      <c r="H1719" t="s">
        <v>16</v>
      </c>
      <c r="I1719">
        <v>235</v>
      </c>
      <c r="J1719">
        <v>1</v>
      </c>
      <c r="K1719" t="s">
        <v>8935</v>
      </c>
    </row>
    <row r="1720" spans="1:11" x14ac:dyDescent="0.25">
      <c r="A1720" t="s">
        <v>5848</v>
      </c>
      <c r="B1720" t="s">
        <v>5849</v>
      </c>
      <c r="C1720" t="s">
        <v>415</v>
      </c>
      <c r="D1720" t="s">
        <v>5850</v>
      </c>
      <c r="E1720" t="s">
        <v>14</v>
      </c>
      <c r="F1720" t="s">
        <v>15</v>
      </c>
      <c r="G1720">
        <v>28227</v>
      </c>
      <c r="H1720" t="s">
        <v>26</v>
      </c>
      <c r="I1720">
        <v>17</v>
      </c>
      <c r="J1720">
        <v>1</v>
      </c>
      <c r="K1720" t="s">
        <v>8935</v>
      </c>
    </row>
    <row r="1721" spans="1:11" x14ac:dyDescent="0.25">
      <c r="A1721" t="s">
        <v>5851</v>
      </c>
      <c r="B1721" t="s">
        <v>5852</v>
      </c>
      <c r="C1721" t="s">
        <v>5853</v>
      </c>
      <c r="D1721" t="s">
        <v>5854</v>
      </c>
      <c r="E1721" t="s">
        <v>14</v>
      </c>
      <c r="F1721" t="s">
        <v>15</v>
      </c>
      <c r="G1721">
        <v>28269</v>
      </c>
      <c r="H1721" t="s">
        <v>21</v>
      </c>
      <c r="I1721">
        <v>61</v>
      </c>
      <c r="J1721">
        <v>1</v>
      </c>
      <c r="K1721" t="s">
        <v>8936</v>
      </c>
    </row>
    <row r="1722" spans="1:11" x14ac:dyDescent="0.25">
      <c r="A1722" t="s">
        <v>5855</v>
      </c>
      <c r="B1722" t="s">
        <v>312</v>
      </c>
      <c r="C1722" t="s">
        <v>5856</v>
      </c>
      <c r="D1722" t="s">
        <v>5857</v>
      </c>
      <c r="E1722" t="s">
        <v>14</v>
      </c>
      <c r="F1722" t="s">
        <v>15</v>
      </c>
      <c r="G1722">
        <v>28213</v>
      </c>
      <c r="H1722" t="s">
        <v>21</v>
      </c>
      <c r="I1722">
        <v>6</v>
      </c>
      <c r="J1722">
        <v>1</v>
      </c>
      <c r="K1722" t="s">
        <v>8925</v>
      </c>
    </row>
    <row r="1723" spans="1:11" x14ac:dyDescent="0.25">
      <c r="A1723" t="s">
        <v>5858</v>
      </c>
      <c r="B1723" t="s">
        <v>3711</v>
      </c>
      <c r="C1723" t="s">
        <v>5859</v>
      </c>
      <c r="D1723" t="s">
        <v>5860</v>
      </c>
      <c r="E1723" t="s">
        <v>14</v>
      </c>
      <c r="F1723" t="s">
        <v>15</v>
      </c>
      <c r="G1723">
        <v>28205</v>
      </c>
      <c r="H1723" t="s">
        <v>39</v>
      </c>
      <c r="I1723">
        <v>3</v>
      </c>
      <c r="J1723">
        <v>0</v>
      </c>
      <c r="K1723" t="s">
        <v>8935</v>
      </c>
    </row>
    <row r="1724" spans="1:11" x14ac:dyDescent="0.25">
      <c r="A1724" t="s">
        <v>5861</v>
      </c>
      <c r="B1724" t="s">
        <v>5862</v>
      </c>
      <c r="C1724" t="s">
        <v>5863</v>
      </c>
      <c r="D1724" t="s">
        <v>5864</v>
      </c>
      <c r="E1724" t="s">
        <v>14</v>
      </c>
      <c r="F1724" t="s">
        <v>15</v>
      </c>
      <c r="G1724">
        <v>28278</v>
      </c>
      <c r="H1724" t="s">
        <v>21</v>
      </c>
      <c r="I1724">
        <v>33</v>
      </c>
      <c r="J1724">
        <v>1</v>
      </c>
      <c r="K1724" t="s">
        <v>8935</v>
      </c>
    </row>
    <row r="1725" spans="1:11" x14ac:dyDescent="0.25">
      <c r="A1725" t="s">
        <v>5865</v>
      </c>
      <c r="B1725" t="s">
        <v>228</v>
      </c>
      <c r="C1725" t="s">
        <v>79</v>
      </c>
      <c r="D1725" t="s">
        <v>2243</v>
      </c>
      <c r="E1725" t="s">
        <v>14</v>
      </c>
      <c r="F1725" t="s">
        <v>15</v>
      </c>
      <c r="G1725">
        <v>28202</v>
      </c>
      <c r="H1725" t="s">
        <v>39</v>
      </c>
      <c r="I1725">
        <v>3</v>
      </c>
      <c r="J1725">
        <v>1</v>
      </c>
      <c r="K1725" t="s">
        <v>8935</v>
      </c>
    </row>
    <row r="1726" spans="1:11" x14ac:dyDescent="0.25">
      <c r="A1726" t="s">
        <v>5866</v>
      </c>
      <c r="B1726" t="s">
        <v>5867</v>
      </c>
      <c r="C1726" t="s">
        <v>797</v>
      </c>
      <c r="D1726" t="s">
        <v>5868</v>
      </c>
      <c r="E1726" t="s">
        <v>14</v>
      </c>
      <c r="F1726" t="s">
        <v>15</v>
      </c>
      <c r="G1726">
        <v>28216</v>
      </c>
      <c r="H1726" t="s">
        <v>21</v>
      </c>
      <c r="I1726">
        <v>26</v>
      </c>
      <c r="J1726">
        <v>1</v>
      </c>
      <c r="K1726" t="s">
        <v>8925</v>
      </c>
    </row>
    <row r="1727" spans="1:11" x14ac:dyDescent="0.25">
      <c r="A1727" t="s">
        <v>5869</v>
      </c>
      <c r="B1727" t="s">
        <v>1361</v>
      </c>
      <c r="C1727" t="s">
        <v>5870</v>
      </c>
      <c r="D1727" t="s">
        <v>84</v>
      </c>
      <c r="E1727" t="s">
        <v>14</v>
      </c>
      <c r="F1727" t="s">
        <v>15</v>
      </c>
      <c r="G1727">
        <v>28263</v>
      </c>
      <c r="H1727" t="s">
        <v>21</v>
      </c>
      <c r="I1727">
        <v>236</v>
      </c>
      <c r="J1727">
        <v>1</v>
      </c>
      <c r="K1727" t="s">
        <v>8935</v>
      </c>
    </row>
    <row r="1728" spans="1:11" x14ac:dyDescent="0.25">
      <c r="A1728" t="s">
        <v>5871</v>
      </c>
      <c r="B1728" t="s">
        <v>5872</v>
      </c>
      <c r="C1728" t="s">
        <v>5873</v>
      </c>
      <c r="D1728" t="s">
        <v>5874</v>
      </c>
      <c r="E1728" t="s">
        <v>14</v>
      </c>
      <c r="F1728" t="s">
        <v>15</v>
      </c>
      <c r="G1728">
        <v>28208</v>
      </c>
      <c r="H1728" t="s">
        <v>39</v>
      </c>
      <c r="I1728">
        <v>3</v>
      </c>
      <c r="J1728">
        <v>1</v>
      </c>
      <c r="K1728" t="s">
        <v>8935</v>
      </c>
    </row>
    <row r="1729" spans="1:11" x14ac:dyDescent="0.25">
      <c r="A1729" t="s">
        <v>5875</v>
      </c>
      <c r="B1729" t="s">
        <v>5876</v>
      </c>
      <c r="C1729" t="s">
        <v>5877</v>
      </c>
      <c r="D1729" t="s">
        <v>5878</v>
      </c>
      <c r="E1729" t="s">
        <v>14</v>
      </c>
      <c r="F1729" t="s">
        <v>15</v>
      </c>
      <c r="G1729">
        <v>28203</v>
      </c>
      <c r="H1729" t="s">
        <v>16</v>
      </c>
      <c r="I1729">
        <v>128</v>
      </c>
      <c r="J1729">
        <v>1</v>
      </c>
      <c r="K1729" t="s">
        <v>8928</v>
      </c>
    </row>
    <row r="1730" spans="1:11" x14ac:dyDescent="0.25">
      <c r="A1730" t="s">
        <v>5879</v>
      </c>
      <c r="B1730" t="s">
        <v>5880</v>
      </c>
      <c r="C1730" t="s">
        <v>5881</v>
      </c>
      <c r="D1730" t="s">
        <v>975</v>
      </c>
      <c r="E1730" t="s">
        <v>14</v>
      </c>
      <c r="F1730" t="s">
        <v>15</v>
      </c>
      <c r="G1730">
        <v>28203</v>
      </c>
      <c r="H1730" t="s">
        <v>26</v>
      </c>
      <c r="I1730">
        <v>183</v>
      </c>
      <c r="J1730">
        <v>1</v>
      </c>
      <c r="K1730" t="s">
        <v>8935</v>
      </c>
    </row>
    <row r="1731" spans="1:11" x14ac:dyDescent="0.25">
      <c r="A1731" t="s">
        <v>5882</v>
      </c>
      <c r="B1731" t="s">
        <v>5883</v>
      </c>
      <c r="C1731" t="s">
        <v>193</v>
      </c>
      <c r="D1731" t="s">
        <v>5884</v>
      </c>
      <c r="E1731" t="s">
        <v>14</v>
      </c>
      <c r="F1731" t="s">
        <v>15</v>
      </c>
      <c r="G1731">
        <v>28105</v>
      </c>
      <c r="H1731" t="s">
        <v>26</v>
      </c>
      <c r="I1731">
        <v>8</v>
      </c>
      <c r="J1731">
        <v>1</v>
      </c>
      <c r="K1731" t="s">
        <v>8935</v>
      </c>
    </row>
    <row r="1732" spans="1:11" x14ac:dyDescent="0.25">
      <c r="A1732" t="s">
        <v>5885</v>
      </c>
      <c r="B1732" t="s">
        <v>5886</v>
      </c>
      <c r="C1732" t="s">
        <v>5887</v>
      </c>
      <c r="D1732" t="s">
        <v>2467</v>
      </c>
      <c r="E1732" t="s">
        <v>14</v>
      </c>
      <c r="F1732" t="s">
        <v>15</v>
      </c>
      <c r="G1732">
        <v>28273</v>
      </c>
      <c r="H1732" t="s">
        <v>16</v>
      </c>
      <c r="I1732">
        <v>14</v>
      </c>
      <c r="J1732">
        <v>0</v>
      </c>
      <c r="K1732" t="s">
        <v>8920</v>
      </c>
    </row>
    <row r="1733" spans="1:11" x14ac:dyDescent="0.25">
      <c r="A1733" t="s">
        <v>5888</v>
      </c>
      <c r="B1733" t="s">
        <v>1432</v>
      </c>
      <c r="C1733" t="s">
        <v>5889</v>
      </c>
      <c r="D1733" t="s">
        <v>5890</v>
      </c>
      <c r="E1733" t="s">
        <v>14</v>
      </c>
      <c r="F1733" t="s">
        <v>15</v>
      </c>
      <c r="G1733">
        <v>28270</v>
      </c>
      <c r="H1733" t="s">
        <v>21</v>
      </c>
      <c r="I1733">
        <v>3</v>
      </c>
      <c r="J1733">
        <v>1</v>
      </c>
      <c r="K1733" t="s">
        <v>8936</v>
      </c>
    </row>
    <row r="1734" spans="1:11" x14ac:dyDescent="0.25">
      <c r="A1734" t="s">
        <v>5891</v>
      </c>
      <c r="B1734" t="s">
        <v>5173</v>
      </c>
      <c r="C1734" t="s">
        <v>5892</v>
      </c>
      <c r="D1734" t="s">
        <v>954</v>
      </c>
      <c r="E1734" t="s">
        <v>14</v>
      </c>
      <c r="F1734" t="s">
        <v>15</v>
      </c>
      <c r="G1734">
        <v>28202</v>
      </c>
      <c r="H1734" t="s">
        <v>21</v>
      </c>
      <c r="I1734">
        <v>234</v>
      </c>
      <c r="J1734">
        <v>1</v>
      </c>
      <c r="K1734" t="s">
        <v>8935</v>
      </c>
    </row>
    <row r="1735" spans="1:11" x14ac:dyDescent="0.25">
      <c r="A1735" t="s">
        <v>5893</v>
      </c>
      <c r="B1735" t="s">
        <v>5894</v>
      </c>
      <c r="C1735" t="s">
        <v>2035</v>
      </c>
      <c r="D1735" t="s">
        <v>5895</v>
      </c>
      <c r="E1735" t="s">
        <v>14</v>
      </c>
      <c r="F1735" t="s">
        <v>15</v>
      </c>
      <c r="G1735">
        <v>28204</v>
      </c>
      <c r="H1735" t="s">
        <v>48</v>
      </c>
      <c r="I1735">
        <v>14</v>
      </c>
      <c r="J1735">
        <v>1</v>
      </c>
      <c r="K1735" t="s">
        <v>8935</v>
      </c>
    </row>
    <row r="1736" spans="1:11" x14ac:dyDescent="0.25">
      <c r="A1736" t="s">
        <v>5896</v>
      </c>
      <c r="B1736" t="s">
        <v>5897</v>
      </c>
      <c r="C1736" t="s">
        <v>5898</v>
      </c>
      <c r="D1736" t="s">
        <v>5899</v>
      </c>
      <c r="E1736" t="s">
        <v>14</v>
      </c>
      <c r="F1736" t="s">
        <v>15</v>
      </c>
      <c r="G1736">
        <v>28263</v>
      </c>
      <c r="H1736" t="s">
        <v>48</v>
      </c>
      <c r="I1736">
        <v>23</v>
      </c>
      <c r="J1736">
        <v>1</v>
      </c>
      <c r="K1736" t="s">
        <v>8935</v>
      </c>
    </row>
    <row r="1737" spans="1:11" x14ac:dyDescent="0.25">
      <c r="A1737" t="s">
        <v>5900</v>
      </c>
      <c r="B1737" t="s">
        <v>5901</v>
      </c>
      <c r="C1737" t="s">
        <v>5902</v>
      </c>
      <c r="D1737" t="s">
        <v>5903</v>
      </c>
      <c r="E1737" t="s">
        <v>14</v>
      </c>
      <c r="F1737" t="s">
        <v>15</v>
      </c>
      <c r="G1737">
        <v>28208</v>
      </c>
      <c r="H1737" t="s">
        <v>39</v>
      </c>
      <c r="I1737">
        <v>3</v>
      </c>
      <c r="J1737">
        <v>1</v>
      </c>
      <c r="K1737" t="s">
        <v>8935</v>
      </c>
    </row>
    <row r="1738" spans="1:11" x14ac:dyDescent="0.25">
      <c r="A1738" t="s">
        <v>5904</v>
      </c>
      <c r="B1738" t="s">
        <v>691</v>
      </c>
      <c r="C1738" t="s">
        <v>5905</v>
      </c>
      <c r="D1738" t="s">
        <v>2436</v>
      </c>
      <c r="E1738" t="s">
        <v>14</v>
      </c>
      <c r="F1738" t="s">
        <v>15</v>
      </c>
      <c r="G1738">
        <v>28217</v>
      </c>
      <c r="H1738" t="s">
        <v>26</v>
      </c>
      <c r="I1738">
        <v>4</v>
      </c>
      <c r="J1738">
        <v>0</v>
      </c>
      <c r="K1738" t="s">
        <v>8935</v>
      </c>
    </row>
    <row r="1739" spans="1:11" x14ac:dyDescent="0.25">
      <c r="A1739" t="s">
        <v>5906</v>
      </c>
      <c r="B1739" t="s">
        <v>5907</v>
      </c>
      <c r="C1739" t="s">
        <v>715</v>
      </c>
      <c r="D1739" t="s">
        <v>594</v>
      </c>
      <c r="E1739" t="s">
        <v>14</v>
      </c>
      <c r="F1739" t="s">
        <v>15</v>
      </c>
      <c r="G1739">
        <v>28208</v>
      </c>
      <c r="H1739" t="s">
        <v>21</v>
      </c>
      <c r="I1739">
        <v>46</v>
      </c>
      <c r="J1739">
        <v>1</v>
      </c>
      <c r="K1739" t="s">
        <v>8925</v>
      </c>
    </row>
    <row r="1740" spans="1:11" x14ac:dyDescent="0.25">
      <c r="A1740" t="s">
        <v>5908</v>
      </c>
      <c r="B1740" t="s">
        <v>1909</v>
      </c>
      <c r="C1740" t="s">
        <v>5909</v>
      </c>
      <c r="D1740" t="s">
        <v>5910</v>
      </c>
      <c r="E1740" t="s">
        <v>14</v>
      </c>
      <c r="F1740" t="s">
        <v>15</v>
      </c>
      <c r="G1740">
        <v>28206</v>
      </c>
      <c r="H1740" t="s">
        <v>16</v>
      </c>
      <c r="I1740">
        <v>17</v>
      </c>
      <c r="J1740">
        <v>0</v>
      </c>
      <c r="K1740" t="s">
        <v>8921</v>
      </c>
    </row>
    <row r="1741" spans="1:11" x14ac:dyDescent="0.25">
      <c r="A1741" t="s">
        <v>5911</v>
      </c>
      <c r="B1741" t="s">
        <v>78</v>
      </c>
      <c r="C1741" t="s">
        <v>5912</v>
      </c>
      <c r="D1741" t="s">
        <v>5913</v>
      </c>
      <c r="E1741" t="s">
        <v>14</v>
      </c>
      <c r="F1741" t="s">
        <v>15</v>
      </c>
      <c r="G1741">
        <v>28277</v>
      </c>
      <c r="H1741" t="s">
        <v>21</v>
      </c>
      <c r="I1741">
        <v>14</v>
      </c>
      <c r="J1741">
        <v>0</v>
      </c>
      <c r="K1741" t="s">
        <v>8935</v>
      </c>
    </row>
    <row r="1742" spans="1:11" x14ac:dyDescent="0.25">
      <c r="A1742" t="s">
        <v>5914</v>
      </c>
      <c r="B1742" t="s">
        <v>5915</v>
      </c>
      <c r="C1742" t="s">
        <v>5916</v>
      </c>
      <c r="D1742" t="s">
        <v>2807</v>
      </c>
      <c r="E1742" t="s">
        <v>14</v>
      </c>
      <c r="F1742" t="s">
        <v>15</v>
      </c>
      <c r="G1742">
        <v>28204</v>
      </c>
      <c r="H1742" t="s">
        <v>39</v>
      </c>
      <c r="I1742">
        <v>6</v>
      </c>
      <c r="J1742">
        <v>0</v>
      </c>
      <c r="K1742" t="s">
        <v>8935</v>
      </c>
    </row>
    <row r="1743" spans="1:11" x14ac:dyDescent="0.25">
      <c r="A1743" t="s">
        <v>5917</v>
      </c>
      <c r="B1743" t="s">
        <v>5918</v>
      </c>
      <c r="C1743" t="s">
        <v>5919</v>
      </c>
      <c r="D1743" t="s">
        <v>5920</v>
      </c>
      <c r="E1743" t="s">
        <v>14</v>
      </c>
      <c r="F1743" t="s">
        <v>15</v>
      </c>
      <c r="G1743">
        <v>28203</v>
      </c>
      <c r="H1743" t="s">
        <v>16</v>
      </c>
      <c r="I1743">
        <v>244</v>
      </c>
      <c r="J1743">
        <v>1</v>
      </c>
      <c r="K1743" t="s">
        <v>8935</v>
      </c>
    </row>
    <row r="1744" spans="1:11" x14ac:dyDescent="0.25">
      <c r="A1744" t="s">
        <v>5921</v>
      </c>
      <c r="B1744" t="s">
        <v>811</v>
      </c>
      <c r="C1744" t="s">
        <v>5922</v>
      </c>
      <c r="D1744" t="s">
        <v>5923</v>
      </c>
      <c r="E1744" t="s">
        <v>14</v>
      </c>
      <c r="F1744" t="s">
        <v>15</v>
      </c>
      <c r="G1744">
        <v>28269</v>
      </c>
      <c r="H1744" t="s">
        <v>21</v>
      </c>
      <c r="I1744">
        <v>87</v>
      </c>
      <c r="J1744">
        <v>1</v>
      </c>
      <c r="K1744" t="s">
        <v>8925</v>
      </c>
    </row>
    <row r="1745" spans="1:11" x14ac:dyDescent="0.25">
      <c r="A1745" t="s">
        <v>5924</v>
      </c>
      <c r="B1745" t="s">
        <v>5925</v>
      </c>
      <c r="C1745" t="s">
        <v>715</v>
      </c>
      <c r="D1745" t="s">
        <v>5926</v>
      </c>
      <c r="E1745" t="s">
        <v>14</v>
      </c>
      <c r="F1745" t="s">
        <v>15</v>
      </c>
      <c r="G1745">
        <v>28269</v>
      </c>
      <c r="H1745" t="s">
        <v>48</v>
      </c>
      <c r="I1745">
        <v>9</v>
      </c>
      <c r="J1745">
        <v>1</v>
      </c>
      <c r="K1745" t="s">
        <v>8925</v>
      </c>
    </row>
    <row r="1746" spans="1:11" x14ac:dyDescent="0.25">
      <c r="A1746" t="s">
        <v>5927</v>
      </c>
      <c r="B1746" t="s">
        <v>5928</v>
      </c>
      <c r="C1746" t="s">
        <v>5929</v>
      </c>
      <c r="D1746" t="s">
        <v>5930</v>
      </c>
      <c r="E1746" t="s">
        <v>14</v>
      </c>
      <c r="F1746" t="s">
        <v>15</v>
      </c>
      <c r="G1746">
        <v>28262</v>
      </c>
      <c r="H1746" t="s">
        <v>21</v>
      </c>
      <c r="I1746">
        <v>24</v>
      </c>
      <c r="J1746">
        <v>1</v>
      </c>
      <c r="K1746" t="s">
        <v>8935</v>
      </c>
    </row>
    <row r="1747" spans="1:11" x14ac:dyDescent="0.25">
      <c r="A1747" t="s">
        <v>5931</v>
      </c>
      <c r="B1747" t="s">
        <v>442</v>
      </c>
      <c r="C1747" t="s">
        <v>5932</v>
      </c>
      <c r="D1747" t="s">
        <v>5933</v>
      </c>
      <c r="E1747" t="s">
        <v>14</v>
      </c>
      <c r="F1747" t="s">
        <v>15</v>
      </c>
      <c r="G1747">
        <v>28262</v>
      </c>
      <c r="H1747" t="s">
        <v>39</v>
      </c>
      <c r="I1747">
        <v>12</v>
      </c>
      <c r="J1747">
        <v>1</v>
      </c>
      <c r="K1747" t="s">
        <v>8935</v>
      </c>
    </row>
    <row r="1748" spans="1:11" x14ac:dyDescent="0.25">
      <c r="A1748" t="s">
        <v>5934</v>
      </c>
      <c r="B1748" t="s">
        <v>5935</v>
      </c>
      <c r="C1748" t="s">
        <v>5936</v>
      </c>
      <c r="D1748" t="s">
        <v>5937</v>
      </c>
      <c r="E1748" t="s">
        <v>14</v>
      </c>
      <c r="F1748" t="s">
        <v>15</v>
      </c>
      <c r="G1748">
        <v>28209</v>
      </c>
      <c r="H1748" t="s">
        <v>16</v>
      </c>
      <c r="I1748">
        <v>46</v>
      </c>
      <c r="J1748">
        <v>1</v>
      </c>
      <c r="K1748" t="s">
        <v>8935</v>
      </c>
    </row>
    <row r="1749" spans="1:11" x14ac:dyDescent="0.25">
      <c r="A1749" t="s">
        <v>5938</v>
      </c>
      <c r="B1749" t="s">
        <v>5939</v>
      </c>
      <c r="C1749" t="s">
        <v>735</v>
      </c>
      <c r="D1749" t="s">
        <v>5940</v>
      </c>
      <c r="E1749" t="s">
        <v>14</v>
      </c>
      <c r="F1749" t="s">
        <v>15</v>
      </c>
      <c r="G1749">
        <v>28277</v>
      </c>
      <c r="H1749" t="s">
        <v>16</v>
      </c>
      <c r="I1749">
        <v>43</v>
      </c>
      <c r="J1749">
        <v>1</v>
      </c>
      <c r="K1749" t="s">
        <v>8935</v>
      </c>
    </row>
    <row r="1750" spans="1:11" x14ac:dyDescent="0.25">
      <c r="A1750" t="s">
        <v>5941</v>
      </c>
      <c r="B1750" t="s">
        <v>220</v>
      </c>
      <c r="C1750" t="s">
        <v>221</v>
      </c>
      <c r="D1750" t="s">
        <v>5942</v>
      </c>
      <c r="E1750" t="s">
        <v>14</v>
      </c>
      <c r="F1750" t="s">
        <v>15</v>
      </c>
      <c r="G1750">
        <v>28215</v>
      </c>
      <c r="H1750" t="s">
        <v>101</v>
      </c>
      <c r="I1750">
        <v>6</v>
      </c>
      <c r="J1750">
        <v>1</v>
      </c>
      <c r="K1750" t="s">
        <v>8935</v>
      </c>
    </row>
    <row r="1751" spans="1:11" x14ac:dyDescent="0.25">
      <c r="A1751" t="s">
        <v>5943</v>
      </c>
      <c r="B1751" t="s">
        <v>3715</v>
      </c>
      <c r="C1751" t="s">
        <v>5944</v>
      </c>
      <c r="D1751" t="s">
        <v>5945</v>
      </c>
      <c r="E1751" t="s">
        <v>14</v>
      </c>
      <c r="F1751" t="s">
        <v>15</v>
      </c>
      <c r="G1751">
        <v>28205</v>
      </c>
      <c r="H1751" t="s">
        <v>16</v>
      </c>
      <c r="I1751">
        <v>157</v>
      </c>
      <c r="J1751">
        <v>1</v>
      </c>
      <c r="K1751" t="s">
        <v>8921</v>
      </c>
    </row>
    <row r="1752" spans="1:11" x14ac:dyDescent="0.25">
      <c r="A1752" t="s">
        <v>5946</v>
      </c>
      <c r="B1752" t="s">
        <v>5947</v>
      </c>
      <c r="C1752" t="s">
        <v>723</v>
      </c>
      <c r="D1752" t="s">
        <v>5948</v>
      </c>
      <c r="E1752" t="s">
        <v>14</v>
      </c>
      <c r="F1752" t="s">
        <v>15</v>
      </c>
      <c r="G1752">
        <v>28227</v>
      </c>
      <c r="H1752" t="s">
        <v>26</v>
      </c>
      <c r="I1752">
        <v>9</v>
      </c>
      <c r="J1752">
        <v>1</v>
      </c>
      <c r="K1752" t="s">
        <v>8935</v>
      </c>
    </row>
    <row r="1753" spans="1:11" x14ac:dyDescent="0.25">
      <c r="A1753" t="s">
        <v>5949</v>
      </c>
      <c r="B1753" t="s">
        <v>5950</v>
      </c>
      <c r="C1753" t="s">
        <v>4376</v>
      </c>
      <c r="D1753" t="s">
        <v>5951</v>
      </c>
      <c r="E1753" t="s">
        <v>14</v>
      </c>
      <c r="F1753" t="s">
        <v>15</v>
      </c>
      <c r="G1753">
        <v>28277</v>
      </c>
      <c r="H1753" t="s">
        <v>26</v>
      </c>
      <c r="I1753">
        <v>132</v>
      </c>
      <c r="J1753">
        <v>1</v>
      </c>
      <c r="K1753" t="s">
        <v>8935</v>
      </c>
    </row>
    <row r="1754" spans="1:11" x14ac:dyDescent="0.25">
      <c r="A1754" t="s">
        <v>5952</v>
      </c>
      <c r="B1754" t="s">
        <v>279</v>
      </c>
      <c r="C1754" t="s">
        <v>5953</v>
      </c>
      <c r="D1754" t="s">
        <v>5954</v>
      </c>
      <c r="E1754" t="s">
        <v>14</v>
      </c>
      <c r="F1754" t="s">
        <v>15</v>
      </c>
      <c r="G1754">
        <v>28208</v>
      </c>
      <c r="H1754" t="s">
        <v>39</v>
      </c>
      <c r="I1754">
        <v>15</v>
      </c>
      <c r="J1754">
        <v>1</v>
      </c>
      <c r="K1754" t="s">
        <v>8926</v>
      </c>
    </row>
    <row r="1755" spans="1:11" x14ac:dyDescent="0.25">
      <c r="A1755" t="s">
        <v>5955</v>
      </c>
      <c r="B1755" t="s">
        <v>5956</v>
      </c>
      <c r="C1755" t="s">
        <v>5957</v>
      </c>
      <c r="D1755" t="s">
        <v>5958</v>
      </c>
      <c r="E1755" t="s">
        <v>14</v>
      </c>
      <c r="F1755" t="s">
        <v>15</v>
      </c>
      <c r="G1755">
        <v>28207</v>
      </c>
      <c r="H1755" t="s">
        <v>21</v>
      </c>
      <c r="I1755">
        <v>185</v>
      </c>
      <c r="J1755">
        <v>1</v>
      </c>
      <c r="K1755" t="s">
        <v>8926</v>
      </c>
    </row>
    <row r="1756" spans="1:11" x14ac:dyDescent="0.25">
      <c r="A1756" t="s">
        <v>5959</v>
      </c>
      <c r="B1756" t="s">
        <v>5960</v>
      </c>
      <c r="C1756" t="s">
        <v>5961</v>
      </c>
      <c r="D1756" t="s">
        <v>5962</v>
      </c>
      <c r="E1756" t="s">
        <v>14</v>
      </c>
      <c r="F1756" t="s">
        <v>15</v>
      </c>
      <c r="G1756">
        <v>28205</v>
      </c>
      <c r="H1756" t="s">
        <v>39</v>
      </c>
      <c r="I1756">
        <v>46</v>
      </c>
      <c r="J1756">
        <v>1</v>
      </c>
      <c r="K1756" t="s">
        <v>8923</v>
      </c>
    </row>
    <row r="1757" spans="1:11" x14ac:dyDescent="0.25">
      <c r="A1757" t="s">
        <v>5963</v>
      </c>
      <c r="B1757" t="s">
        <v>5964</v>
      </c>
      <c r="C1757" t="s">
        <v>5965</v>
      </c>
      <c r="D1757" t="s">
        <v>5966</v>
      </c>
      <c r="E1757" t="s">
        <v>14</v>
      </c>
      <c r="F1757" t="s">
        <v>15</v>
      </c>
      <c r="G1757">
        <v>28210</v>
      </c>
      <c r="H1757" t="s">
        <v>39</v>
      </c>
      <c r="I1757">
        <v>9</v>
      </c>
      <c r="J1757">
        <v>1</v>
      </c>
      <c r="K1757" t="s">
        <v>8931</v>
      </c>
    </row>
    <row r="1758" spans="1:11" x14ac:dyDescent="0.25">
      <c r="A1758" t="s">
        <v>5967</v>
      </c>
      <c r="B1758" t="s">
        <v>1746</v>
      </c>
      <c r="C1758" t="s">
        <v>4328</v>
      </c>
      <c r="D1758" t="s">
        <v>5968</v>
      </c>
      <c r="E1758" t="s">
        <v>14</v>
      </c>
      <c r="F1758" t="s">
        <v>15</v>
      </c>
      <c r="G1758">
        <v>28226</v>
      </c>
      <c r="H1758" t="s">
        <v>26</v>
      </c>
      <c r="I1758">
        <v>95</v>
      </c>
      <c r="J1758">
        <v>1</v>
      </c>
      <c r="K1758" t="s">
        <v>8935</v>
      </c>
    </row>
    <row r="1759" spans="1:11" x14ac:dyDescent="0.25">
      <c r="A1759" t="s">
        <v>5969</v>
      </c>
      <c r="B1759" t="s">
        <v>5970</v>
      </c>
      <c r="C1759" t="s">
        <v>4994</v>
      </c>
      <c r="D1759" t="s">
        <v>1527</v>
      </c>
      <c r="E1759" t="s">
        <v>14</v>
      </c>
      <c r="F1759" t="s">
        <v>15</v>
      </c>
      <c r="G1759">
        <v>28202</v>
      </c>
      <c r="H1759" t="s">
        <v>16</v>
      </c>
      <c r="I1759">
        <v>21</v>
      </c>
      <c r="J1759">
        <v>0</v>
      </c>
      <c r="K1759" t="s">
        <v>8935</v>
      </c>
    </row>
    <row r="1760" spans="1:11" x14ac:dyDescent="0.25">
      <c r="A1760" t="s">
        <v>5971</v>
      </c>
      <c r="B1760" t="s">
        <v>5972</v>
      </c>
      <c r="C1760" t="s">
        <v>5973</v>
      </c>
      <c r="D1760" t="s">
        <v>5974</v>
      </c>
      <c r="E1760" t="s">
        <v>14</v>
      </c>
      <c r="F1760" t="s">
        <v>15</v>
      </c>
      <c r="G1760">
        <v>28215</v>
      </c>
      <c r="H1760" t="s">
        <v>146</v>
      </c>
      <c r="I1760">
        <v>4</v>
      </c>
      <c r="J1760">
        <v>0</v>
      </c>
      <c r="K1760" t="s">
        <v>8922</v>
      </c>
    </row>
    <row r="1761" spans="1:11" x14ac:dyDescent="0.25">
      <c r="A1761" t="s">
        <v>5975</v>
      </c>
      <c r="B1761" t="s">
        <v>2347</v>
      </c>
      <c r="C1761" t="s">
        <v>3727</v>
      </c>
      <c r="D1761" t="s">
        <v>5976</v>
      </c>
      <c r="E1761" t="s">
        <v>14</v>
      </c>
      <c r="F1761" t="s">
        <v>15</v>
      </c>
      <c r="G1761">
        <v>28204</v>
      </c>
      <c r="H1761" t="s">
        <v>21</v>
      </c>
      <c r="I1761">
        <v>37</v>
      </c>
      <c r="J1761">
        <v>0</v>
      </c>
      <c r="K1761" t="s">
        <v>8935</v>
      </c>
    </row>
    <row r="1762" spans="1:11" x14ac:dyDescent="0.25">
      <c r="A1762" t="s">
        <v>5977</v>
      </c>
      <c r="B1762" t="s">
        <v>5978</v>
      </c>
      <c r="C1762" t="s">
        <v>5979</v>
      </c>
      <c r="D1762" t="s">
        <v>5980</v>
      </c>
      <c r="E1762" t="s">
        <v>14</v>
      </c>
      <c r="F1762" t="s">
        <v>15</v>
      </c>
      <c r="G1762">
        <v>28202</v>
      </c>
      <c r="H1762" t="s">
        <v>16</v>
      </c>
      <c r="I1762">
        <v>213</v>
      </c>
      <c r="J1762">
        <v>1</v>
      </c>
      <c r="K1762" t="s">
        <v>8925</v>
      </c>
    </row>
    <row r="1763" spans="1:11" x14ac:dyDescent="0.25">
      <c r="A1763" t="s">
        <v>5981</v>
      </c>
      <c r="B1763" t="s">
        <v>5982</v>
      </c>
      <c r="C1763" t="s">
        <v>1020</v>
      </c>
      <c r="D1763" t="s">
        <v>5983</v>
      </c>
      <c r="E1763" t="s">
        <v>14</v>
      </c>
      <c r="F1763" t="s">
        <v>15</v>
      </c>
      <c r="G1763">
        <v>28213</v>
      </c>
      <c r="H1763" t="s">
        <v>101</v>
      </c>
      <c r="I1763">
        <v>4</v>
      </c>
      <c r="J1763">
        <v>1</v>
      </c>
      <c r="K1763" t="s">
        <v>8935</v>
      </c>
    </row>
    <row r="1764" spans="1:11" x14ac:dyDescent="0.25">
      <c r="A1764" t="s">
        <v>5984</v>
      </c>
      <c r="B1764" t="s">
        <v>5985</v>
      </c>
      <c r="C1764" t="s">
        <v>5986</v>
      </c>
      <c r="D1764" t="s">
        <v>5987</v>
      </c>
      <c r="E1764" t="s">
        <v>14</v>
      </c>
      <c r="F1764" t="s">
        <v>15</v>
      </c>
      <c r="G1764">
        <v>28203</v>
      </c>
      <c r="H1764" t="s">
        <v>16</v>
      </c>
      <c r="I1764">
        <v>148</v>
      </c>
      <c r="J1764">
        <v>1</v>
      </c>
      <c r="K1764" t="s">
        <v>8935</v>
      </c>
    </row>
    <row r="1765" spans="1:11" x14ac:dyDescent="0.25">
      <c r="A1765" t="s">
        <v>5988</v>
      </c>
      <c r="B1765" t="s">
        <v>5989</v>
      </c>
      <c r="C1765" t="s">
        <v>5990</v>
      </c>
      <c r="D1765" t="s">
        <v>5991</v>
      </c>
      <c r="E1765" t="s">
        <v>14</v>
      </c>
      <c r="F1765" t="s">
        <v>15</v>
      </c>
      <c r="G1765">
        <v>28269</v>
      </c>
      <c r="H1765" t="s">
        <v>21</v>
      </c>
      <c r="I1765">
        <v>25</v>
      </c>
      <c r="J1765">
        <v>0</v>
      </c>
      <c r="K1765" t="s">
        <v>8935</v>
      </c>
    </row>
    <row r="1766" spans="1:11" x14ac:dyDescent="0.25">
      <c r="A1766" t="s">
        <v>5992</v>
      </c>
      <c r="B1766" t="s">
        <v>5993</v>
      </c>
      <c r="C1766" t="s">
        <v>5994</v>
      </c>
      <c r="D1766" t="s">
        <v>5995</v>
      </c>
      <c r="E1766" t="s">
        <v>14</v>
      </c>
      <c r="F1766" t="s">
        <v>15</v>
      </c>
      <c r="G1766">
        <v>28209</v>
      </c>
      <c r="H1766" t="s">
        <v>16</v>
      </c>
      <c r="I1766">
        <v>28</v>
      </c>
      <c r="J1766">
        <v>1</v>
      </c>
      <c r="K1766" t="s">
        <v>8935</v>
      </c>
    </row>
    <row r="1767" spans="1:11" x14ac:dyDescent="0.25">
      <c r="A1767" t="s">
        <v>5996</v>
      </c>
      <c r="B1767" t="s">
        <v>279</v>
      </c>
      <c r="C1767" t="s">
        <v>5997</v>
      </c>
      <c r="D1767" t="s">
        <v>5998</v>
      </c>
      <c r="E1767" t="s">
        <v>14</v>
      </c>
      <c r="F1767" t="s">
        <v>15</v>
      </c>
      <c r="G1767">
        <v>28217</v>
      </c>
      <c r="H1767" t="s">
        <v>21</v>
      </c>
      <c r="I1767">
        <v>22</v>
      </c>
      <c r="J1767">
        <v>1</v>
      </c>
      <c r="K1767" t="s">
        <v>8926</v>
      </c>
    </row>
    <row r="1768" spans="1:11" x14ac:dyDescent="0.25">
      <c r="A1768" t="s">
        <v>5999</v>
      </c>
      <c r="B1768" t="s">
        <v>6000</v>
      </c>
      <c r="C1768" t="s">
        <v>6001</v>
      </c>
      <c r="D1768" t="s">
        <v>6002</v>
      </c>
      <c r="E1768" t="s">
        <v>14</v>
      </c>
      <c r="F1768" t="s">
        <v>15</v>
      </c>
      <c r="G1768">
        <v>28209</v>
      </c>
      <c r="H1768" t="s">
        <v>21</v>
      </c>
      <c r="I1768">
        <v>48</v>
      </c>
      <c r="J1768">
        <v>1</v>
      </c>
      <c r="K1768" t="s">
        <v>8935</v>
      </c>
    </row>
    <row r="1769" spans="1:11" x14ac:dyDescent="0.25">
      <c r="A1769" t="s">
        <v>6003</v>
      </c>
      <c r="B1769" t="s">
        <v>6004</v>
      </c>
      <c r="C1769" t="s">
        <v>4376</v>
      </c>
      <c r="D1769" t="s">
        <v>6005</v>
      </c>
      <c r="E1769" t="s">
        <v>14</v>
      </c>
      <c r="F1769" t="s">
        <v>15</v>
      </c>
      <c r="G1769">
        <v>28216</v>
      </c>
      <c r="H1769" t="s">
        <v>26</v>
      </c>
      <c r="I1769">
        <v>87</v>
      </c>
      <c r="J1769">
        <v>1</v>
      </c>
      <c r="K1769" t="s">
        <v>8935</v>
      </c>
    </row>
    <row r="1770" spans="1:11" x14ac:dyDescent="0.25">
      <c r="A1770" t="s">
        <v>6006</v>
      </c>
      <c r="B1770" t="s">
        <v>6007</v>
      </c>
      <c r="C1770" t="s">
        <v>6008</v>
      </c>
      <c r="D1770" t="s">
        <v>5685</v>
      </c>
      <c r="E1770" t="s">
        <v>14</v>
      </c>
      <c r="F1770" t="s">
        <v>15</v>
      </c>
      <c r="G1770">
        <v>28203</v>
      </c>
      <c r="H1770" t="s">
        <v>48</v>
      </c>
      <c r="I1770">
        <v>82</v>
      </c>
      <c r="J1770">
        <v>0</v>
      </c>
      <c r="K1770" t="s">
        <v>8921</v>
      </c>
    </row>
    <row r="1771" spans="1:11" x14ac:dyDescent="0.25">
      <c r="A1771" t="s">
        <v>6009</v>
      </c>
      <c r="B1771" t="s">
        <v>6010</v>
      </c>
      <c r="C1771" t="s">
        <v>193</v>
      </c>
      <c r="D1771" t="s">
        <v>6011</v>
      </c>
      <c r="E1771" t="s">
        <v>14</v>
      </c>
      <c r="F1771" t="s">
        <v>15</v>
      </c>
      <c r="G1771">
        <v>28208</v>
      </c>
      <c r="H1771" t="s">
        <v>195</v>
      </c>
      <c r="I1771">
        <v>12</v>
      </c>
      <c r="J1771">
        <v>1</v>
      </c>
      <c r="K1771" t="s">
        <v>8935</v>
      </c>
    </row>
    <row r="1772" spans="1:11" x14ac:dyDescent="0.25">
      <c r="A1772" t="s">
        <v>6012</v>
      </c>
      <c r="B1772" t="s">
        <v>6013</v>
      </c>
      <c r="C1772" t="s">
        <v>6014</v>
      </c>
      <c r="D1772" t="s">
        <v>6015</v>
      </c>
      <c r="E1772" t="s">
        <v>14</v>
      </c>
      <c r="F1772" t="s">
        <v>15</v>
      </c>
      <c r="G1772">
        <v>28202</v>
      </c>
      <c r="H1772" t="s">
        <v>16</v>
      </c>
      <c r="I1772">
        <v>280</v>
      </c>
      <c r="J1772">
        <v>1</v>
      </c>
      <c r="K1772" t="s">
        <v>8937</v>
      </c>
    </row>
    <row r="1773" spans="1:11" x14ac:dyDescent="0.25">
      <c r="A1773" t="s">
        <v>6016</v>
      </c>
      <c r="B1773" t="s">
        <v>6017</v>
      </c>
      <c r="C1773" t="s">
        <v>1578</v>
      </c>
      <c r="D1773" t="s">
        <v>850</v>
      </c>
      <c r="E1773" t="s">
        <v>14</v>
      </c>
      <c r="F1773" t="s">
        <v>15</v>
      </c>
      <c r="G1773">
        <v>28202</v>
      </c>
      <c r="H1773" t="s">
        <v>16</v>
      </c>
      <c r="I1773">
        <v>22</v>
      </c>
      <c r="J1773">
        <v>1</v>
      </c>
      <c r="K1773" t="s">
        <v>8935</v>
      </c>
    </row>
    <row r="1774" spans="1:11" x14ac:dyDescent="0.25">
      <c r="A1774" t="s">
        <v>6018</v>
      </c>
      <c r="B1774" t="s">
        <v>6019</v>
      </c>
      <c r="C1774" t="s">
        <v>6020</v>
      </c>
      <c r="E1774" t="s">
        <v>14</v>
      </c>
      <c r="F1774" t="s">
        <v>15</v>
      </c>
      <c r="G1774">
        <v>28202</v>
      </c>
      <c r="H1774" t="s">
        <v>16</v>
      </c>
      <c r="I1774">
        <v>9</v>
      </c>
      <c r="J1774">
        <v>1</v>
      </c>
      <c r="K1774" t="s">
        <v>8920</v>
      </c>
    </row>
    <row r="1775" spans="1:11" x14ac:dyDescent="0.25">
      <c r="A1775" t="s">
        <v>6021</v>
      </c>
      <c r="B1775" t="s">
        <v>6022</v>
      </c>
      <c r="C1775" t="s">
        <v>6023</v>
      </c>
      <c r="D1775" t="s">
        <v>6024</v>
      </c>
      <c r="E1775" t="s">
        <v>14</v>
      </c>
      <c r="F1775" t="s">
        <v>15</v>
      </c>
      <c r="G1775">
        <v>28206</v>
      </c>
      <c r="H1775" t="s">
        <v>26</v>
      </c>
      <c r="I1775">
        <v>8</v>
      </c>
      <c r="J1775">
        <v>1</v>
      </c>
      <c r="K1775" t="s">
        <v>8935</v>
      </c>
    </row>
    <row r="1776" spans="1:11" x14ac:dyDescent="0.25">
      <c r="A1776" t="s">
        <v>6025</v>
      </c>
      <c r="B1776" t="s">
        <v>6026</v>
      </c>
      <c r="C1776" t="s">
        <v>6027</v>
      </c>
      <c r="D1776" t="s">
        <v>6028</v>
      </c>
      <c r="E1776" t="s">
        <v>14</v>
      </c>
      <c r="F1776" t="s">
        <v>15</v>
      </c>
      <c r="G1776">
        <v>28204</v>
      </c>
      <c r="H1776" t="s">
        <v>16</v>
      </c>
      <c r="I1776">
        <v>187</v>
      </c>
      <c r="J1776">
        <v>1</v>
      </c>
      <c r="K1776" t="s">
        <v>8921</v>
      </c>
    </row>
    <row r="1777" spans="1:11" x14ac:dyDescent="0.25">
      <c r="A1777" t="s">
        <v>6029</v>
      </c>
      <c r="B1777" t="s">
        <v>6030</v>
      </c>
      <c r="C1777" t="s">
        <v>5193</v>
      </c>
      <c r="D1777" t="s">
        <v>2807</v>
      </c>
      <c r="E1777" t="s">
        <v>14</v>
      </c>
      <c r="F1777" t="s">
        <v>15</v>
      </c>
      <c r="G1777">
        <v>28204</v>
      </c>
      <c r="H1777" t="s">
        <v>39</v>
      </c>
      <c r="I1777">
        <v>849</v>
      </c>
      <c r="J1777">
        <v>1</v>
      </c>
      <c r="K1777" t="s">
        <v>8931</v>
      </c>
    </row>
    <row r="1778" spans="1:11" x14ac:dyDescent="0.25">
      <c r="A1778" t="s">
        <v>6031</v>
      </c>
      <c r="B1778" t="s">
        <v>6032</v>
      </c>
      <c r="C1778" t="s">
        <v>3979</v>
      </c>
      <c r="D1778" t="s">
        <v>6033</v>
      </c>
      <c r="E1778" t="s">
        <v>14</v>
      </c>
      <c r="F1778" t="s">
        <v>15</v>
      </c>
      <c r="G1778">
        <v>28273</v>
      </c>
      <c r="H1778" t="s">
        <v>21</v>
      </c>
      <c r="I1778">
        <v>113</v>
      </c>
      <c r="J1778">
        <v>1</v>
      </c>
      <c r="K1778" t="s">
        <v>8925</v>
      </c>
    </row>
    <row r="1779" spans="1:11" x14ac:dyDescent="0.25">
      <c r="A1779" t="s">
        <v>6034</v>
      </c>
      <c r="B1779" t="s">
        <v>6035</v>
      </c>
      <c r="C1779" t="s">
        <v>6036</v>
      </c>
      <c r="D1779" t="s">
        <v>6037</v>
      </c>
      <c r="E1779" t="s">
        <v>14</v>
      </c>
      <c r="F1779" t="s">
        <v>15</v>
      </c>
      <c r="G1779">
        <v>28202</v>
      </c>
      <c r="H1779" t="s">
        <v>16</v>
      </c>
      <c r="I1779">
        <v>26</v>
      </c>
      <c r="J1779">
        <v>1</v>
      </c>
      <c r="K1779" t="s">
        <v>8921</v>
      </c>
    </row>
    <row r="1780" spans="1:11" x14ac:dyDescent="0.25">
      <c r="A1780" t="s">
        <v>6038</v>
      </c>
      <c r="B1780" t="s">
        <v>6039</v>
      </c>
      <c r="C1780" t="s">
        <v>6040</v>
      </c>
      <c r="D1780" t="s">
        <v>6041</v>
      </c>
      <c r="E1780" t="s">
        <v>14</v>
      </c>
      <c r="F1780" t="s">
        <v>15</v>
      </c>
      <c r="G1780">
        <v>28277</v>
      </c>
      <c r="H1780" t="s">
        <v>21</v>
      </c>
      <c r="I1780">
        <v>69</v>
      </c>
      <c r="J1780">
        <v>0</v>
      </c>
      <c r="K1780" t="s">
        <v>8935</v>
      </c>
    </row>
    <row r="1781" spans="1:11" x14ac:dyDescent="0.25">
      <c r="A1781" t="s">
        <v>6042</v>
      </c>
      <c r="B1781" t="s">
        <v>6043</v>
      </c>
      <c r="C1781" t="s">
        <v>6044</v>
      </c>
      <c r="D1781" t="s">
        <v>6045</v>
      </c>
      <c r="E1781" t="s">
        <v>14</v>
      </c>
      <c r="F1781" t="s">
        <v>15</v>
      </c>
      <c r="G1781">
        <v>28204</v>
      </c>
      <c r="H1781" t="s">
        <v>21</v>
      </c>
      <c r="I1781">
        <v>39</v>
      </c>
      <c r="J1781">
        <v>1</v>
      </c>
      <c r="K1781" t="s">
        <v>8920</v>
      </c>
    </row>
    <row r="1782" spans="1:11" x14ac:dyDescent="0.25">
      <c r="A1782" t="s">
        <v>6046</v>
      </c>
      <c r="B1782" t="s">
        <v>6047</v>
      </c>
      <c r="C1782" t="s">
        <v>6048</v>
      </c>
      <c r="D1782" t="s">
        <v>3083</v>
      </c>
      <c r="E1782" t="s">
        <v>14</v>
      </c>
      <c r="F1782" t="s">
        <v>15</v>
      </c>
      <c r="G1782">
        <v>28209</v>
      </c>
      <c r="H1782" t="s">
        <v>16</v>
      </c>
      <c r="I1782">
        <v>216</v>
      </c>
      <c r="J1782">
        <v>1</v>
      </c>
      <c r="K1782" t="s">
        <v>8935</v>
      </c>
    </row>
    <row r="1783" spans="1:11" x14ac:dyDescent="0.25">
      <c r="A1783" t="s">
        <v>6049</v>
      </c>
      <c r="B1783" t="s">
        <v>6050</v>
      </c>
      <c r="C1783" t="s">
        <v>6051</v>
      </c>
      <c r="D1783" t="s">
        <v>6052</v>
      </c>
      <c r="E1783" t="s">
        <v>14</v>
      </c>
      <c r="F1783" t="s">
        <v>15</v>
      </c>
      <c r="G1783">
        <v>28204</v>
      </c>
      <c r="H1783" t="s">
        <v>26</v>
      </c>
      <c r="I1783">
        <v>26</v>
      </c>
      <c r="J1783">
        <v>0</v>
      </c>
      <c r="K1783" t="s">
        <v>8935</v>
      </c>
    </row>
    <row r="1784" spans="1:11" x14ac:dyDescent="0.25">
      <c r="A1784" t="s">
        <v>6053</v>
      </c>
      <c r="B1784" t="s">
        <v>3883</v>
      </c>
      <c r="C1784" t="s">
        <v>6054</v>
      </c>
      <c r="D1784" t="s">
        <v>6055</v>
      </c>
      <c r="E1784" t="s">
        <v>14</v>
      </c>
      <c r="F1784" t="s">
        <v>15</v>
      </c>
      <c r="G1784">
        <v>28262</v>
      </c>
      <c r="H1784" t="s">
        <v>26</v>
      </c>
      <c r="I1784">
        <v>9</v>
      </c>
      <c r="J1784">
        <v>1</v>
      </c>
      <c r="K1784" t="s">
        <v>8920</v>
      </c>
    </row>
    <row r="1785" spans="1:11" x14ac:dyDescent="0.25">
      <c r="A1785" t="s">
        <v>6056</v>
      </c>
      <c r="B1785" t="s">
        <v>6057</v>
      </c>
      <c r="C1785" t="s">
        <v>6058</v>
      </c>
      <c r="D1785" t="s">
        <v>6059</v>
      </c>
      <c r="E1785" t="s">
        <v>14</v>
      </c>
      <c r="F1785" t="s">
        <v>15</v>
      </c>
      <c r="G1785">
        <v>28217</v>
      </c>
      <c r="H1785" t="s">
        <v>16</v>
      </c>
      <c r="I1785">
        <v>23</v>
      </c>
      <c r="J1785">
        <v>1</v>
      </c>
      <c r="K1785" t="s">
        <v>8937</v>
      </c>
    </row>
    <row r="1786" spans="1:11" x14ac:dyDescent="0.25">
      <c r="A1786" t="s">
        <v>6060</v>
      </c>
      <c r="B1786" t="s">
        <v>6061</v>
      </c>
      <c r="C1786" t="s">
        <v>6062</v>
      </c>
      <c r="D1786" t="s">
        <v>4155</v>
      </c>
      <c r="E1786" t="s">
        <v>14</v>
      </c>
      <c r="F1786" t="s">
        <v>15</v>
      </c>
      <c r="G1786">
        <v>28202</v>
      </c>
      <c r="H1786" t="s">
        <v>21</v>
      </c>
      <c r="I1786">
        <v>144</v>
      </c>
      <c r="J1786">
        <v>0</v>
      </c>
      <c r="K1786" t="s">
        <v>8935</v>
      </c>
    </row>
    <row r="1787" spans="1:11" x14ac:dyDescent="0.25">
      <c r="A1787" t="s">
        <v>6063</v>
      </c>
      <c r="B1787" t="s">
        <v>6064</v>
      </c>
      <c r="C1787" t="s">
        <v>1407</v>
      </c>
      <c r="D1787" t="s">
        <v>6065</v>
      </c>
      <c r="E1787" t="s">
        <v>14</v>
      </c>
      <c r="F1787" t="s">
        <v>15</v>
      </c>
      <c r="G1787">
        <v>28269</v>
      </c>
      <c r="H1787" t="s">
        <v>16</v>
      </c>
      <c r="I1787">
        <v>120</v>
      </c>
      <c r="J1787">
        <v>1</v>
      </c>
      <c r="K1787" t="s">
        <v>8920</v>
      </c>
    </row>
    <row r="1788" spans="1:11" x14ac:dyDescent="0.25">
      <c r="A1788" t="s">
        <v>6066</v>
      </c>
      <c r="B1788" t="s">
        <v>760</v>
      </c>
      <c r="C1788" t="s">
        <v>6067</v>
      </c>
      <c r="D1788" t="s">
        <v>6068</v>
      </c>
      <c r="E1788" t="s">
        <v>14</v>
      </c>
      <c r="F1788" t="s">
        <v>15</v>
      </c>
      <c r="G1788">
        <v>28269</v>
      </c>
      <c r="H1788" t="s">
        <v>101</v>
      </c>
      <c r="I1788">
        <v>31</v>
      </c>
      <c r="J1788">
        <v>1</v>
      </c>
      <c r="K1788" t="s">
        <v>8935</v>
      </c>
    </row>
    <row r="1789" spans="1:11" x14ac:dyDescent="0.25">
      <c r="A1789" t="s">
        <v>6069</v>
      </c>
      <c r="B1789" t="s">
        <v>6070</v>
      </c>
      <c r="C1789" t="s">
        <v>622</v>
      </c>
      <c r="D1789" t="s">
        <v>6071</v>
      </c>
      <c r="E1789" t="s">
        <v>14</v>
      </c>
      <c r="F1789" t="s">
        <v>15</v>
      </c>
      <c r="G1789">
        <v>28226</v>
      </c>
      <c r="H1789" t="s">
        <v>195</v>
      </c>
      <c r="I1789">
        <v>50</v>
      </c>
      <c r="J1789">
        <v>1</v>
      </c>
      <c r="K1789" t="s">
        <v>8935</v>
      </c>
    </row>
    <row r="1790" spans="1:11" x14ac:dyDescent="0.25">
      <c r="A1790" t="s">
        <v>6072</v>
      </c>
      <c r="B1790" t="s">
        <v>6073</v>
      </c>
      <c r="C1790" t="s">
        <v>6074</v>
      </c>
      <c r="D1790" t="s">
        <v>6075</v>
      </c>
      <c r="E1790" t="s">
        <v>14</v>
      </c>
      <c r="F1790" t="s">
        <v>15</v>
      </c>
      <c r="G1790">
        <v>28202</v>
      </c>
      <c r="H1790" t="s">
        <v>21</v>
      </c>
      <c r="I1790">
        <v>41</v>
      </c>
      <c r="J1790">
        <v>1</v>
      </c>
      <c r="K1790" t="s">
        <v>8935</v>
      </c>
    </row>
    <row r="1791" spans="1:11" x14ac:dyDescent="0.25">
      <c r="A1791" t="s">
        <v>6076</v>
      </c>
      <c r="B1791" t="s">
        <v>5789</v>
      </c>
      <c r="C1791" t="s">
        <v>997</v>
      </c>
      <c r="D1791" t="s">
        <v>353</v>
      </c>
      <c r="E1791" t="s">
        <v>14</v>
      </c>
      <c r="F1791" t="s">
        <v>15</v>
      </c>
      <c r="G1791">
        <v>28262</v>
      </c>
      <c r="H1791" t="s">
        <v>48</v>
      </c>
      <c r="I1791">
        <v>51</v>
      </c>
      <c r="J1791">
        <v>1</v>
      </c>
      <c r="K1791" t="s">
        <v>8935</v>
      </c>
    </row>
    <row r="1792" spans="1:11" x14ac:dyDescent="0.25">
      <c r="A1792" t="s">
        <v>6077</v>
      </c>
      <c r="B1792" t="s">
        <v>6078</v>
      </c>
      <c r="C1792" t="s">
        <v>4207</v>
      </c>
      <c r="D1792" t="s">
        <v>6079</v>
      </c>
      <c r="E1792" t="s">
        <v>14</v>
      </c>
      <c r="F1792" t="s">
        <v>15</v>
      </c>
      <c r="G1792">
        <v>28227</v>
      </c>
      <c r="H1792" t="s">
        <v>26</v>
      </c>
      <c r="I1792">
        <v>27</v>
      </c>
      <c r="J1792">
        <v>1</v>
      </c>
      <c r="K1792" t="s">
        <v>8926</v>
      </c>
    </row>
    <row r="1793" spans="1:11" x14ac:dyDescent="0.25">
      <c r="A1793" t="s">
        <v>6080</v>
      </c>
      <c r="B1793" t="s">
        <v>1959</v>
      </c>
      <c r="C1793" t="s">
        <v>6081</v>
      </c>
      <c r="D1793" t="s">
        <v>6082</v>
      </c>
      <c r="E1793" t="s">
        <v>14</v>
      </c>
      <c r="F1793" t="s">
        <v>15</v>
      </c>
      <c r="G1793">
        <v>28213</v>
      </c>
      <c r="H1793" t="s">
        <v>21</v>
      </c>
      <c r="I1793">
        <v>7</v>
      </c>
      <c r="J1793">
        <v>0</v>
      </c>
      <c r="K1793" t="s">
        <v>8925</v>
      </c>
    </row>
    <row r="1794" spans="1:11" x14ac:dyDescent="0.25">
      <c r="A1794" t="s">
        <v>6083</v>
      </c>
      <c r="B1794" t="s">
        <v>6084</v>
      </c>
      <c r="C1794" t="s">
        <v>1200</v>
      </c>
      <c r="D1794" t="s">
        <v>3527</v>
      </c>
      <c r="E1794" t="s">
        <v>14</v>
      </c>
      <c r="F1794" t="s">
        <v>15</v>
      </c>
      <c r="G1794">
        <v>28270</v>
      </c>
      <c r="H1794" t="s">
        <v>26</v>
      </c>
      <c r="I1794">
        <v>18</v>
      </c>
      <c r="J1794">
        <v>1</v>
      </c>
      <c r="K1794" t="s">
        <v>8935</v>
      </c>
    </row>
    <row r="1795" spans="1:11" x14ac:dyDescent="0.25">
      <c r="A1795" t="s">
        <v>6085</v>
      </c>
      <c r="B1795" t="s">
        <v>6086</v>
      </c>
      <c r="C1795" t="s">
        <v>6087</v>
      </c>
      <c r="D1795" t="s">
        <v>6088</v>
      </c>
      <c r="E1795" t="s">
        <v>14</v>
      </c>
      <c r="F1795" t="s">
        <v>15</v>
      </c>
      <c r="G1795">
        <v>28204</v>
      </c>
      <c r="H1795" t="s">
        <v>16</v>
      </c>
      <c r="I1795">
        <v>419</v>
      </c>
      <c r="J1795">
        <v>1</v>
      </c>
      <c r="K1795" t="s">
        <v>8920</v>
      </c>
    </row>
    <row r="1796" spans="1:11" x14ac:dyDescent="0.25">
      <c r="A1796" t="s">
        <v>6089</v>
      </c>
      <c r="B1796" t="s">
        <v>6090</v>
      </c>
      <c r="C1796" t="s">
        <v>6091</v>
      </c>
      <c r="D1796" t="s">
        <v>6092</v>
      </c>
      <c r="E1796" t="s">
        <v>14</v>
      </c>
      <c r="F1796" t="s">
        <v>15</v>
      </c>
      <c r="G1796">
        <v>28205</v>
      </c>
      <c r="H1796" t="s">
        <v>39</v>
      </c>
      <c r="I1796">
        <v>59</v>
      </c>
      <c r="J1796">
        <v>0</v>
      </c>
      <c r="K1796" t="s">
        <v>8927</v>
      </c>
    </row>
    <row r="1797" spans="1:11" x14ac:dyDescent="0.25">
      <c r="A1797" t="s">
        <v>6093</v>
      </c>
      <c r="B1797" t="s">
        <v>6094</v>
      </c>
      <c r="C1797" t="s">
        <v>6095</v>
      </c>
      <c r="D1797" t="s">
        <v>6096</v>
      </c>
      <c r="E1797" t="s">
        <v>14</v>
      </c>
      <c r="F1797" t="s">
        <v>15</v>
      </c>
      <c r="G1797">
        <v>28217</v>
      </c>
      <c r="H1797" t="s">
        <v>21</v>
      </c>
      <c r="I1797">
        <v>112</v>
      </c>
      <c r="J1797">
        <v>1</v>
      </c>
      <c r="K1797" t="s">
        <v>8929</v>
      </c>
    </row>
    <row r="1798" spans="1:11" x14ac:dyDescent="0.25">
      <c r="A1798" t="s">
        <v>6097</v>
      </c>
      <c r="B1798" t="s">
        <v>6098</v>
      </c>
      <c r="C1798" t="s">
        <v>6099</v>
      </c>
      <c r="D1798" t="s">
        <v>2904</v>
      </c>
      <c r="E1798" t="s">
        <v>14</v>
      </c>
      <c r="F1798" t="s">
        <v>15</v>
      </c>
      <c r="G1798">
        <v>28202</v>
      </c>
      <c r="H1798" t="s">
        <v>21</v>
      </c>
      <c r="I1798">
        <v>142</v>
      </c>
      <c r="J1798">
        <v>1</v>
      </c>
      <c r="K1798" t="s">
        <v>8926</v>
      </c>
    </row>
    <row r="1799" spans="1:11" x14ac:dyDescent="0.25">
      <c r="A1799" t="s">
        <v>6100</v>
      </c>
      <c r="B1799" t="s">
        <v>316</v>
      </c>
      <c r="C1799" t="s">
        <v>317</v>
      </c>
      <c r="D1799" t="s">
        <v>6101</v>
      </c>
      <c r="E1799" t="s">
        <v>14</v>
      </c>
      <c r="F1799" t="s">
        <v>15</v>
      </c>
      <c r="G1799">
        <v>28205</v>
      </c>
      <c r="H1799" t="s">
        <v>101</v>
      </c>
      <c r="I1799">
        <v>8</v>
      </c>
      <c r="J1799">
        <v>1</v>
      </c>
      <c r="K1799" t="s">
        <v>8935</v>
      </c>
    </row>
    <row r="1800" spans="1:11" x14ac:dyDescent="0.25">
      <c r="A1800" t="s">
        <v>6102</v>
      </c>
      <c r="B1800" t="s">
        <v>6103</v>
      </c>
      <c r="C1800" t="s">
        <v>6104</v>
      </c>
      <c r="D1800" t="s">
        <v>6105</v>
      </c>
      <c r="E1800" t="s">
        <v>14</v>
      </c>
      <c r="F1800" t="s">
        <v>15</v>
      </c>
      <c r="G1800">
        <v>28216</v>
      </c>
      <c r="H1800" t="s">
        <v>26</v>
      </c>
      <c r="I1800">
        <v>99</v>
      </c>
      <c r="J1800">
        <v>1</v>
      </c>
      <c r="K1800" t="s">
        <v>8920</v>
      </c>
    </row>
    <row r="1801" spans="1:11" x14ac:dyDescent="0.25">
      <c r="A1801" t="s">
        <v>6106</v>
      </c>
      <c r="B1801" t="s">
        <v>691</v>
      </c>
      <c r="C1801" t="s">
        <v>6107</v>
      </c>
      <c r="D1801" t="s">
        <v>2627</v>
      </c>
      <c r="E1801" t="s">
        <v>14</v>
      </c>
      <c r="F1801" t="s">
        <v>15</v>
      </c>
      <c r="G1801">
        <v>28269</v>
      </c>
      <c r="H1801" t="s">
        <v>48</v>
      </c>
      <c r="I1801">
        <v>12</v>
      </c>
      <c r="J1801">
        <v>0</v>
      </c>
      <c r="K1801" t="s">
        <v>8935</v>
      </c>
    </row>
    <row r="1802" spans="1:11" x14ac:dyDescent="0.25">
      <c r="A1802" t="s">
        <v>6108</v>
      </c>
      <c r="B1802" t="s">
        <v>6109</v>
      </c>
      <c r="C1802" t="s">
        <v>1725</v>
      </c>
      <c r="D1802" t="s">
        <v>6110</v>
      </c>
      <c r="E1802" t="s">
        <v>14</v>
      </c>
      <c r="F1802" t="s">
        <v>15</v>
      </c>
      <c r="G1802">
        <v>28205</v>
      </c>
      <c r="H1802" t="s">
        <v>21</v>
      </c>
      <c r="I1802">
        <v>157</v>
      </c>
      <c r="J1802">
        <v>1</v>
      </c>
      <c r="K1802" t="s">
        <v>8921</v>
      </c>
    </row>
    <row r="1803" spans="1:11" x14ac:dyDescent="0.25">
      <c r="A1803" t="s">
        <v>6111</v>
      </c>
      <c r="B1803" t="s">
        <v>6112</v>
      </c>
      <c r="C1803" t="s">
        <v>1608</v>
      </c>
      <c r="D1803" t="s">
        <v>6113</v>
      </c>
      <c r="E1803" t="s">
        <v>14</v>
      </c>
      <c r="F1803" t="s">
        <v>15</v>
      </c>
      <c r="G1803">
        <v>28277</v>
      </c>
      <c r="H1803" t="s">
        <v>101</v>
      </c>
      <c r="I1803">
        <v>11</v>
      </c>
      <c r="J1803">
        <v>1</v>
      </c>
      <c r="K1803" t="s">
        <v>8921</v>
      </c>
    </row>
    <row r="1804" spans="1:11" x14ac:dyDescent="0.25">
      <c r="A1804" t="s">
        <v>6114</v>
      </c>
      <c r="B1804" t="s">
        <v>6115</v>
      </c>
      <c r="C1804" t="s">
        <v>6116</v>
      </c>
      <c r="D1804" t="s">
        <v>4896</v>
      </c>
      <c r="E1804" t="s">
        <v>14</v>
      </c>
      <c r="F1804" t="s">
        <v>15</v>
      </c>
      <c r="G1804">
        <v>28203</v>
      </c>
      <c r="H1804" t="s">
        <v>39</v>
      </c>
      <c r="I1804">
        <v>143</v>
      </c>
      <c r="J1804">
        <v>1</v>
      </c>
      <c r="K1804" t="s">
        <v>8935</v>
      </c>
    </row>
    <row r="1805" spans="1:11" x14ac:dyDescent="0.25">
      <c r="A1805" t="s">
        <v>6117</v>
      </c>
      <c r="B1805" t="s">
        <v>6118</v>
      </c>
      <c r="C1805" t="s">
        <v>6119</v>
      </c>
      <c r="D1805" t="s">
        <v>6120</v>
      </c>
      <c r="E1805" t="s">
        <v>14</v>
      </c>
      <c r="F1805" t="s">
        <v>15</v>
      </c>
      <c r="G1805">
        <v>28213</v>
      </c>
      <c r="H1805" t="s">
        <v>16</v>
      </c>
      <c r="I1805">
        <v>286</v>
      </c>
      <c r="J1805">
        <v>1</v>
      </c>
      <c r="K1805" t="s">
        <v>8936</v>
      </c>
    </row>
    <row r="1806" spans="1:11" x14ac:dyDescent="0.25">
      <c r="A1806" t="s">
        <v>6121</v>
      </c>
      <c r="B1806" t="s">
        <v>6122</v>
      </c>
      <c r="C1806" t="s">
        <v>6123</v>
      </c>
      <c r="D1806" t="s">
        <v>6124</v>
      </c>
      <c r="E1806" t="s">
        <v>14</v>
      </c>
      <c r="F1806" t="s">
        <v>15</v>
      </c>
      <c r="G1806">
        <v>28273</v>
      </c>
      <c r="H1806" t="s">
        <v>101</v>
      </c>
      <c r="I1806">
        <v>45</v>
      </c>
      <c r="J1806">
        <v>0</v>
      </c>
      <c r="K1806" t="s">
        <v>8935</v>
      </c>
    </row>
    <row r="1807" spans="1:11" x14ac:dyDescent="0.25">
      <c r="A1807" t="s">
        <v>6125</v>
      </c>
      <c r="B1807" t="s">
        <v>6126</v>
      </c>
      <c r="C1807" t="s">
        <v>6127</v>
      </c>
      <c r="D1807" t="s">
        <v>6128</v>
      </c>
      <c r="E1807" t="s">
        <v>14</v>
      </c>
      <c r="F1807" t="s">
        <v>15</v>
      </c>
      <c r="G1807">
        <v>28277</v>
      </c>
      <c r="H1807" t="s">
        <v>16</v>
      </c>
      <c r="I1807">
        <v>63</v>
      </c>
      <c r="J1807">
        <v>0</v>
      </c>
      <c r="K1807" t="s">
        <v>8937</v>
      </c>
    </row>
    <row r="1808" spans="1:11" x14ac:dyDescent="0.25">
      <c r="A1808" t="s">
        <v>6129</v>
      </c>
      <c r="B1808" t="s">
        <v>6130</v>
      </c>
      <c r="C1808" t="s">
        <v>6131</v>
      </c>
      <c r="D1808" t="s">
        <v>6132</v>
      </c>
      <c r="E1808" t="s">
        <v>14</v>
      </c>
      <c r="F1808" t="s">
        <v>15</v>
      </c>
      <c r="G1808">
        <v>28209</v>
      </c>
      <c r="H1808" t="s">
        <v>16</v>
      </c>
      <c r="I1808">
        <v>12</v>
      </c>
      <c r="J1808">
        <v>0</v>
      </c>
      <c r="K1808" t="s">
        <v>8929</v>
      </c>
    </row>
    <row r="1809" spans="1:11" x14ac:dyDescent="0.25">
      <c r="A1809" t="s">
        <v>6133</v>
      </c>
      <c r="B1809" t="s">
        <v>6134</v>
      </c>
      <c r="C1809" t="s">
        <v>6135</v>
      </c>
      <c r="D1809" t="s">
        <v>6136</v>
      </c>
      <c r="E1809" t="s">
        <v>14</v>
      </c>
      <c r="F1809" t="s">
        <v>15</v>
      </c>
      <c r="G1809">
        <v>28277</v>
      </c>
      <c r="H1809" t="s">
        <v>21</v>
      </c>
      <c r="I1809">
        <v>21</v>
      </c>
      <c r="J1809">
        <v>1</v>
      </c>
      <c r="K1809" t="s">
        <v>8935</v>
      </c>
    </row>
    <row r="1810" spans="1:11" x14ac:dyDescent="0.25">
      <c r="A1810" t="s">
        <v>6137</v>
      </c>
      <c r="B1810" t="s">
        <v>6138</v>
      </c>
      <c r="C1810" t="s">
        <v>2359</v>
      </c>
      <c r="D1810" t="s">
        <v>6139</v>
      </c>
      <c r="E1810" t="s">
        <v>14</v>
      </c>
      <c r="F1810" t="s">
        <v>15</v>
      </c>
      <c r="G1810">
        <v>28277</v>
      </c>
      <c r="H1810" t="s">
        <v>21</v>
      </c>
      <c r="I1810">
        <v>40</v>
      </c>
      <c r="J1810">
        <v>0</v>
      </c>
      <c r="K1810" t="s">
        <v>8935</v>
      </c>
    </row>
    <row r="1811" spans="1:11" x14ac:dyDescent="0.25">
      <c r="A1811" t="s">
        <v>6140</v>
      </c>
      <c r="B1811" t="s">
        <v>6141</v>
      </c>
      <c r="C1811" t="s">
        <v>210</v>
      </c>
      <c r="D1811" t="s">
        <v>893</v>
      </c>
      <c r="E1811" t="s">
        <v>14</v>
      </c>
      <c r="F1811" t="s">
        <v>15</v>
      </c>
      <c r="G1811">
        <v>28203</v>
      </c>
      <c r="H1811" t="s">
        <v>16</v>
      </c>
      <c r="I1811">
        <v>49</v>
      </c>
      <c r="J1811">
        <v>0</v>
      </c>
      <c r="K1811" t="s">
        <v>8925</v>
      </c>
    </row>
    <row r="1812" spans="1:11" x14ac:dyDescent="0.25">
      <c r="A1812" t="s">
        <v>6142</v>
      </c>
      <c r="B1812" t="s">
        <v>6143</v>
      </c>
      <c r="C1812" t="s">
        <v>6074</v>
      </c>
      <c r="D1812" t="s">
        <v>4115</v>
      </c>
      <c r="E1812" t="s">
        <v>14</v>
      </c>
      <c r="F1812" t="s">
        <v>15</v>
      </c>
      <c r="G1812">
        <v>28203</v>
      </c>
      <c r="H1812" t="s">
        <v>21</v>
      </c>
      <c r="I1812">
        <v>66</v>
      </c>
      <c r="J1812">
        <v>0</v>
      </c>
      <c r="K1812" t="s">
        <v>8935</v>
      </c>
    </row>
    <row r="1813" spans="1:11" x14ac:dyDescent="0.25">
      <c r="A1813" t="s">
        <v>6144</v>
      </c>
      <c r="B1813" t="s">
        <v>316</v>
      </c>
      <c r="C1813" t="s">
        <v>6145</v>
      </c>
      <c r="D1813" t="s">
        <v>3713</v>
      </c>
      <c r="E1813" t="s">
        <v>14</v>
      </c>
      <c r="F1813" t="s">
        <v>15</v>
      </c>
      <c r="G1813">
        <v>28263</v>
      </c>
      <c r="H1813" t="s">
        <v>26</v>
      </c>
      <c r="I1813">
        <v>17</v>
      </c>
      <c r="J1813">
        <v>0</v>
      </c>
      <c r="K1813" t="s">
        <v>8935</v>
      </c>
    </row>
    <row r="1814" spans="1:11" x14ac:dyDescent="0.25">
      <c r="A1814" t="s">
        <v>6146</v>
      </c>
      <c r="B1814" t="s">
        <v>6147</v>
      </c>
      <c r="C1814" t="s">
        <v>6148</v>
      </c>
      <c r="D1814" t="s">
        <v>6149</v>
      </c>
      <c r="E1814" t="s">
        <v>14</v>
      </c>
      <c r="F1814" t="s">
        <v>15</v>
      </c>
      <c r="G1814">
        <v>28277</v>
      </c>
      <c r="H1814" t="s">
        <v>26</v>
      </c>
      <c r="I1814">
        <v>143</v>
      </c>
      <c r="J1814">
        <v>1</v>
      </c>
      <c r="K1814" t="s">
        <v>8935</v>
      </c>
    </row>
    <row r="1815" spans="1:11" x14ac:dyDescent="0.25">
      <c r="A1815" t="s">
        <v>6150</v>
      </c>
      <c r="B1815" t="s">
        <v>1661</v>
      </c>
      <c r="C1815" t="s">
        <v>6151</v>
      </c>
      <c r="D1815" t="s">
        <v>3028</v>
      </c>
      <c r="E1815" t="s">
        <v>14</v>
      </c>
      <c r="F1815" t="s">
        <v>15</v>
      </c>
      <c r="G1815">
        <v>28226</v>
      </c>
      <c r="H1815" t="s">
        <v>26</v>
      </c>
      <c r="I1815">
        <v>16</v>
      </c>
      <c r="J1815">
        <v>0</v>
      </c>
      <c r="K1815" t="s">
        <v>8920</v>
      </c>
    </row>
    <row r="1816" spans="1:11" x14ac:dyDescent="0.25">
      <c r="A1816" t="s">
        <v>6152</v>
      </c>
      <c r="B1816" t="s">
        <v>6153</v>
      </c>
      <c r="C1816" t="s">
        <v>6154</v>
      </c>
      <c r="D1816" t="s">
        <v>6155</v>
      </c>
      <c r="E1816" t="s">
        <v>14</v>
      </c>
      <c r="F1816" t="s">
        <v>15</v>
      </c>
      <c r="G1816">
        <v>28203</v>
      </c>
      <c r="H1816" t="s">
        <v>26</v>
      </c>
      <c r="I1816">
        <v>129</v>
      </c>
      <c r="J1816">
        <v>1</v>
      </c>
      <c r="K1816" t="s">
        <v>8935</v>
      </c>
    </row>
    <row r="1817" spans="1:11" x14ac:dyDescent="0.25">
      <c r="A1817" t="s">
        <v>6156</v>
      </c>
      <c r="B1817" t="s">
        <v>6157</v>
      </c>
      <c r="C1817" t="s">
        <v>6158</v>
      </c>
      <c r="D1817" t="s">
        <v>6159</v>
      </c>
      <c r="E1817" t="s">
        <v>14</v>
      </c>
      <c r="F1817" t="s">
        <v>15</v>
      </c>
      <c r="G1817">
        <v>28262</v>
      </c>
      <c r="H1817" t="s">
        <v>16</v>
      </c>
      <c r="I1817">
        <v>68</v>
      </c>
      <c r="J1817">
        <v>1</v>
      </c>
      <c r="K1817" t="s">
        <v>8927</v>
      </c>
    </row>
    <row r="1818" spans="1:11" x14ac:dyDescent="0.25">
      <c r="A1818" t="s">
        <v>6160</v>
      </c>
      <c r="B1818" t="s">
        <v>6161</v>
      </c>
      <c r="C1818" t="s">
        <v>6162</v>
      </c>
      <c r="D1818" t="s">
        <v>6163</v>
      </c>
      <c r="E1818" t="s">
        <v>14</v>
      </c>
      <c r="F1818" t="s">
        <v>15</v>
      </c>
      <c r="G1818">
        <v>28202</v>
      </c>
      <c r="H1818" t="s">
        <v>21</v>
      </c>
      <c r="I1818">
        <v>33</v>
      </c>
      <c r="J1818">
        <v>1</v>
      </c>
      <c r="K1818" t="s">
        <v>8935</v>
      </c>
    </row>
    <row r="1819" spans="1:11" x14ac:dyDescent="0.25">
      <c r="A1819" t="s">
        <v>6164</v>
      </c>
      <c r="B1819" t="s">
        <v>2306</v>
      </c>
      <c r="C1819" t="s">
        <v>6165</v>
      </c>
      <c r="D1819" t="s">
        <v>6166</v>
      </c>
      <c r="E1819" t="s">
        <v>14</v>
      </c>
      <c r="F1819" t="s">
        <v>15</v>
      </c>
      <c r="G1819">
        <v>28214</v>
      </c>
      <c r="H1819" t="s">
        <v>21</v>
      </c>
      <c r="I1819">
        <v>45</v>
      </c>
      <c r="J1819">
        <v>1</v>
      </c>
      <c r="K1819" t="s">
        <v>8922</v>
      </c>
    </row>
    <row r="1820" spans="1:11" x14ac:dyDescent="0.25">
      <c r="A1820" t="s">
        <v>6167</v>
      </c>
      <c r="B1820" t="s">
        <v>5950</v>
      </c>
      <c r="C1820" t="s">
        <v>6168</v>
      </c>
      <c r="D1820" t="s">
        <v>6169</v>
      </c>
      <c r="E1820" t="s">
        <v>14</v>
      </c>
      <c r="F1820" t="s">
        <v>15</v>
      </c>
      <c r="G1820">
        <v>28216</v>
      </c>
      <c r="H1820" t="s">
        <v>21</v>
      </c>
      <c r="I1820">
        <v>20</v>
      </c>
      <c r="J1820">
        <v>1</v>
      </c>
      <c r="K1820" t="s">
        <v>8935</v>
      </c>
    </row>
    <row r="1821" spans="1:11" x14ac:dyDescent="0.25">
      <c r="A1821" t="s">
        <v>6170</v>
      </c>
      <c r="B1821" t="s">
        <v>442</v>
      </c>
      <c r="C1821" t="s">
        <v>6171</v>
      </c>
      <c r="D1821" t="s">
        <v>6172</v>
      </c>
      <c r="E1821" t="s">
        <v>14</v>
      </c>
      <c r="F1821" t="s">
        <v>15</v>
      </c>
      <c r="G1821">
        <v>28226</v>
      </c>
      <c r="H1821" t="s">
        <v>16</v>
      </c>
      <c r="I1821">
        <v>182</v>
      </c>
      <c r="J1821">
        <v>1</v>
      </c>
      <c r="K1821" t="s">
        <v>8935</v>
      </c>
    </row>
    <row r="1822" spans="1:11" x14ac:dyDescent="0.25">
      <c r="A1822" t="s">
        <v>6173</v>
      </c>
      <c r="B1822" t="s">
        <v>6174</v>
      </c>
      <c r="C1822" t="s">
        <v>6175</v>
      </c>
      <c r="D1822" t="s">
        <v>6176</v>
      </c>
      <c r="E1822" t="s">
        <v>14</v>
      </c>
      <c r="F1822" t="s">
        <v>15</v>
      </c>
      <c r="G1822">
        <v>28204</v>
      </c>
      <c r="H1822" t="s">
        <v>26</v>
      </c>
      <c r="I1822">
        <v>30</v>
      </c>
      <c r="J1822">
        <v>1</v>
      </c>
      <c r="K1822" t="s">
        <v>8935</v>
      </c>
    </row>
    <row r="1823" spans="1:11" x14ac:dyDescent="0.25">
      <c r="A1823" t="s">
        <v>6177</v>
      </c>
      <c r="B1823" t="s">
        <v>6178</v>
      </c>
      <c r="C1823" t="s">
        <v>3438</v>
      </c>
      <c r="D1823" t="s">
        <v>6179</v>
      </c>
      <c r="E1823" t="s">
        <v>14</v>
      </c>
      <c r="F1823" t="s">
        <v>15</v>
      </c>
      <c r="G1823">
        <v>28273</v>
      </c>
      <c r="H1823" t="s">
        <v>16</v>
      </c>
      <c r="I1823">
        <v>142</v>
      </c>
      <c r="J1823">
        <v>1</v>
      </c>
      <c r="K1823" t="s">
        <v>8921</v>
      </c>
    </row>
    <row r="1824" spans="1:11" x14ac:dyDescent="0.25">
      <c r="A1824" t="s">
        <v>6180</v>
      </c>
      <c r="B1824" t="s">
        <v>6181</v>
      </c>
      <c r="C1824" t="s">
        <v>6182</v>
      </c>
      <c r="D1824" t="s">
        <v>5823</v>
      </c>
      <c r="E1824" t="s">
        <v>14</v>
      </c>
      <c r="F1824" t="s">
        <v>15</v>
      </c>
      <c r="G1824">
        <v>28203</v>
      </c>
      <c r="H1824" t="s">
        <v>21</v>
      </c>
      <c r="I1824">
        <v>120</v>
      </c>
      <c r="J1824">
        <v>1</v>
      </c>
      <c r="K1824" t="s">
        <v>8935</v>
      </c>
    </row>
    <row r="1825" spans="1:11" x14ac:dyDescent="0.25">
      <c r="A1825" t="s">
        <v>6183</v>
      </c>
      <c r="B1825" t="s">
        <v>312</v>
      </c>
      <c r="C1825" t="s">
        <v>5754</v>
      </c>
      <c r="D1825" t="s">
        <v>3628</v>
      </c>
      <c r="E1825" t="s">
        <v>14</v>
      </c>
      <c r="F1825" t="s">
        <v>15</v>
      </c>
      <c r="G1825">
        <v>28205</v>
      </c>
      <c r="H1825" t="s">
        <v>26</v>
      </c>
      <c r="I1825">
        <v>10</v>
      </c>
      <c r="J1825">
        <v>0</v>
      </c>
      <c r="K1825" t="s">
        <v>8925</v>
      </c>
    </row>
    <row r="1826" spans="1:11" x14ac:dyDescent="0.25">
      <c r="A1826" t="s">
        <v>6184</v>
      </c>
      <c r="B1826" t="s">
        <v>176</v>
      </c>
      <c r="C1826" t="s">
        <v>6185</v>
      </c>
      <c r="D1826" t="s">
        <v>302</v>
      </c>
      <c r="E1826" t="s">
        <v>14</v>
      </c>
      <c r="F1826" t="s">
        <v>15</v>
      </c>
      <c r="G1826">
        <v>28277</v>
      </c>
      <c r="H1826" t="s">
        <v>48</v>
      </c>
      <c r="I1826">
        <v>7</v>
      </c>
      <c r="J1826">
        <v>0</v>
      </c>
      <c r="K1826" t="s">
        <v>8935</v>
      </c>
    </row>
    <row r="1827" spans="1:11" x14ac:dyDescent="0.25">
      <c r="A1827" t="s">
        <v>6186</v>
      </c>
      <c r="B1827" t="s">
        <v>6187</v>
      </c>
      <c r="C1827" t="s">
        <v>6188</v>
      </c>
      <c r="D1827" t="s">
        <v>3766</v>
      </c>
      <c r="E1827" t="s">
        <v>14</v>
      </c>
      <c r="F1827" t="s">
        <v>15</v>
      </c>
      <c r="G1827">
        <v>28269</v>
      </c>
      <c r="H1827" t="s">
        <v>39</v>
      </c>
      <c r="I1827">
        <v>14</v>
      </c>
      <c r="J1827">
        <v>0</v>
      </c>
      <c r="K1827" t="s">
        <v>8935</v>
      </c>
    </row>
    <row r="1828" spans="1:11" x14ac:dyDescent="0.25">
      <c r="A1828" t="s">
        <v>6189</v>
      </c>
      <c r="B1828" t="s">
        <v>6190</v>
      </c>
      <c r="C1828" t="s">
        <v>1809</v>
      </c>
      <c r="D1828" t="s">
        <v>6191</v>
      </c>
      <c r="E1828" t="s">
        <v>14</v>
      </c>
      <c r="F1828" t="s">
        <v>15</v>
      </c>
      <c r="G1828">
        <v>28203</v>
      </c>
      <c r="H1828" t="s">
        <v>21</v>
      </c>
      <c r="I1828">
        <v>155</v>
      </c>
      <c r="J1828">
        <v>0</v>
      </c>
      <c r="K1828" t="s">
        <v>8923</v>
      </c>
    </row>
    <row r="1829" spans="1:11" x14ac:dyDescent="0.25">
      <c r="A1829" t="s">
        <v>6192</v>
      </c>
      <c r="B1829" t="s">
        <v>6193</v>
      </c>
      <c r="C1829" t="s">
        <v>6194</v>
      </c>
      <c r="D1829" t="s">
        <v>6195</v>
      </c>
      <c r="E1829" t="s">
        <v>14</v>
      </c>
      <c r="F1829" t="s">
        <v>15</v>
      </c>
      <c r="G1829">
        <v>28204</v>
      </c>
      <c r="H1829" t="s">
        <v>16</v>
      </c>
      <c r="I1829">
        <v>126</v>
      </c>
      <c r="J1829">
        <v>1</v>
      </c>
      <c r="K1829" t="s">
        <v>8921</v>
      </c>
    </row>
    <row r="1830" spans="1:11" x14ac:dyDescent="0.25">
      <c r="A1830" t="s">
        <v>6196</v>
      </c>
      <c r="B1830" t="s">
        <v>6197</v>
      </c>
      <c r="C1830" t="s">
        <v>6198</v>
      </c>
      <c r="D1830" t="s">
        <v>6199</v>
      </c>
      <c r="E1830" t="s">
        <v>14</v>
      </c>
      <c r="F1830" t="s">
        <v>15</v>
      </c>
      <c r="G1830">
        <v>28202</v>
      </c>
      <c r="H1830" t="s">
        <v>16</v>
      </c>
      <c r="I1830">
        <v>689</v>
      </c>
      <c r="J1830">
        <v>1</v>
      </c>
      <c r="K1830" t="s">
        <v>8935</v>
      </c>
    </row>
    <row r="1831" spans="1:11" x14ac:dyDescent="0.25">
      <c r="A1831" t="s">
        <v>6200</v>
      </c>
      <c r="B1831" t="s">
        <v>6201</v>
      </c>
      <c r="C1831" t="s">
        <v>6202</v>
      </c>
      <c r="E1831" t="s">
        <v>14</v>
      </c>
      <c r="F1831" t="s">
        <v>15</v>
      </c>
      <c r="G1831">
        <v>28202</v>
      </c>
      <c r="H1831" t="s">
        <v>16</v>
      </c>
      <c r="I1831">
        <v>16</v>
      </c>
      <c r="J1831">
        <v>0</v>
      </c>
      <c r="K1831" t="s">
        <v>8935</v>
      </c>
    </row>
    <row r="1832" spans="1:11" x14ac:dyDescent="0.25">
      <c r="A1832" t="s">
        <v>6203</v>
      </c>
      <c r="B1832" t="s">
        <v>279</v>
      </c>
      <c r="C1832" t="s">
        <v>6204</v>
      </c>
      <c r="D1832" t="s">
        <v>6205</v>
      </c>
      <c r="E1832" t="s">
        <v>14</v>
      </c>
      <c r="F1832" t="s">
        <v>15</v>
      </c>
      <c r="G1832">
        <v>28214</v>
      </c>
      <c r="H1832" t="s">
        <v>26</v>
      </c>
      <c r="I1832">
        <v>21</v>
      </c>
      <c r="J1832">
        <v>1</v>
      </c>
      <c r="K1832" t="s">
        <v>8926</v>
      </c>
    </row>
    <row r="1833" spans="1:11" x14ac:dyDescent="0.25">
      <c r="A1833" t="s">
        <v>6206</v>
      </c>
      <c r="B1833" t="s">
        <v>6207</v>
      </c>
      <c r="C1833" t="s">
        <v>6208</v>
      </c>
      <c r="D1833" t="s">
        <v>6209</v>
      </c>
      <c r="E1833" t="s">
        <v>14</v>
      </c>
      <c r="F1833" t="s">
        <v>15</v>
      </c>
      <c r="G1833">
        <v>28209</v>
      </c>
      <c r="H1833" t="s">
        <v>48</v>
      </c>
      <c r="I1833">
        <v>51</v>
      </c>
      <c r="J1833">
        <v>0</v>
      </c>
      <c r="K1833" t="s">
        <v>8925</v>
      </c>
    </row>
    <row r="1834" spans="1:11" x14ac:dyDescent="0.25">
      <c r="A1834" t="s">
        <v>6210</v>
      </c>
      <c r="B1834" t="s">
        <v>6211</v>
      </c>
      <c r="C1834" t="s">
        <v>6212</v>
      </c>
      <c r="D1834" t="s">
        <v>6213</v>
      </c>
      <c r="E1834" t="s">
        <v>14</v>
      </c>
      <c r="F1834" t="s">
        <v>15</v>
      </c>
      <c r="G1834">
        <v>28204</v>
      </c>
      <c r="H1834" t="s">
        <v>39</v>
      </c>
      <c r="I1834">
        <v>130</v>
      </c>
      <c r="J1834">
        <v>1</v>
      </c>
      <c r="K1834" t="s">
        <v>8935</v>
      </c>
    </row>
    <row r="1835" spans="1:11" x14ac:dyDescent="0.25">
      <c r="A1835" t="s">
        <v>6214</v>
      </c>
      <c r="B1835" t="s">
        <v>6215</v>
      </c>
      <c r="C1835" t="s">
        <v>6216</v>
      </c>
      <c r="D1835" t="s">
        <v>6217</v>
      </c>
      <c r="E1835" t="s">
        <v>14</v>
      </c>
      <c r="F1835" t="s">
        <v>15</v>
      </c>
      <c r="G1835">
        <v>28227</v>
      </c>
      <c r="H1835" t="s">
        <v>16</v>
      </c>
      <c r="I1835">
        <v>52</v>
      </c>
      <c r="J1835">
        <v>1</v>
      </c>
      <c r="K1835" t="s">
        <v>8935</v>
      </c>
    </row>
    <row r="1836" spans="1:11" x14ac:dyDescent="0.25">
      <c r="A1836" t="s">
        <v>6218</v>
      </c>
      <c r="B1836" t="s">
        <v>4589</v>
      </c>
      <c r="C1836" t="s">
        <v>415</v>
      </c>
      <c r="D1836" t="s">
        <v>6219</v>
      </c>
      <c r="E1836" t="s">
        <v>14</v>
      </c>
      <c r="F1836" t="s">
        <v>15</v>
      </c>
      <c r="G1836">
        <v>28269</v>
      </c>
      <c r="H1836" t="s">
        <v>16</v>
      </c>
      <c r="I1836">
        <v>6</v>
      </c>
      <c r="J1836">
        <v>1</v>
      </c>
      <c r="K1836" t="s">
        <v>8935</v>
      </c>
    </row>
    <row r="1837" spans="1:11" x14ac:dyDescent="0.25">
      <c r="A1837" t="s">
        <v>6220</v>
      </c>
      <c r="B1837" t="s">
        <v>359</v>
      </c>
      <c r="C1837" t="s">
        <v>5210</v>
      </c>
      <c r="D1837" t="s">
        <v>6221</v>
      </c>
      <c r="E1837" t="s">
        <v>14</v>
      </c>
      <c r="F1837" t="s">
        <v>15</v>
      </c>
      <c r="G1837">
        <v>28210</v>
      </c>
      <c r="H1837" t="s">
        <v>146</v>
      </c>
      <c r="I1837">
        <v>22</v>
      </c>
      <c r="J1837">
        <v>1</v>
      </c>
      <c r="K1837" t="s">
        <v>8935</v>
      </c>
    </row>
    <row r="1838" spans="1:11" x14ac:dyDescent="0.25">
      <c r="A1838" t="s">
        <v>6222</v>
      </c>
      <c r="B1838" t="s">
        <v>811</v>
      </c>
      <c r="C1838" t="s">
        <v>6223</v>
      </c>
      <c r="D1838" t="s">
        <v>2829</v>
      </c>
      <c r="E1838" t="s">
        <v>14</v>
      </c>
      <c r="F1838" t="s">
        <v>15</v>
      </c>
      <c r="G1838">
        <v>28204</v>
      </c>
      <c r="H1838" t="s">
        <v>21</v>
      </c>
      <c r="I1838">
        <v>105</v>
      </c>
      <c r="J1838">
        <v>0</v>
      </c>
      <c r="K1838" t="s">
        <v>8925</v>
      </c>
    </row>
    <row r="1839" spans="1:11" x14ac:dyDescent="0.25">
      <c r="A1839" t="s">
        <v>6224</v>
      </c>
      <c r="B1839" t="s">
        <v>176</v>
      </c>
      <c r="C1839" t="s">
        <v>317</v>
      </c>
      <c r="D1839" t="s">
        <v>6225</v>
      </c>
      <c r="E1839" t="s">
        <v>14</v>
      </c>
      <c r="F1839" t="s">
        <v>15</v>
      </c>
      <c r="G1839">
        <v>28269</v>
      </c>
      <c r="H1839" t="s">
        <v>195</v>
      </c>
      <c r="I1839">
        <v>12</v>
      </c>
      <c r="J1839">
        <v>1</v>
      </c>
      <c r="K1839" t="s">
        <v>8935</v>
      </c>
    </row>
    <row r="1840" spans="1:11" x14ac:dyDescent="0.25">
      <c r="A1840" t="s">
        <v>6226</v>
      </c>
      <c r="B1840" t="s">
        <v>668</v>
      </c>
      <c r="C1840" t="s">
        <v>6227</v>
      </c>
      <c r="D1840" t="s">
        <v>2173</v>
      </c>
      <c r="E1840" t="s">
        <v>14</v>
      </c>
      <c r="F1840" t="s">
        <v>15</v>
      </c>
      <c r="G1840">
        <v>28211</v>
      </c>
      <c r="H1840" t="s">
        <v>16</v>
      </c>
      <c r="I1840">
        <v>37</v>
      </c>
      <c r="J1840">
        <v>0</v>
      </c>
      <c r="K1840" t="s">
        <v>8920</v>
      </c>
    </row>
    <row r="1841" spans="1:11" x14ac:dyDescent="0.25">
      <c r="A1841" t="s">
        <v>6228</v>
      </c>
      <c r="B1841" t="s">
        <v>3715</v>
      </c>
      <c r="C1841" t="s">
        <v>5567</v>
      </c>
      <c r="D1841" t="s">
        <v>2692</v>
      </c>
      <c r="E1841" t="s">
        <v>14</v>
      </c>
      <c r="F1841" t="s">
        <v>15</v>
      </c>
      <c r="G1841">
        <v>28269</v>
      </c>
      <c r="H1841" t="s">
        <v>21</v>
      </c>
      <c r="I1841">
        <v>3</v>
      </c>
      <c r="J1841">
        <v>0</v>
      </c>
      <c r="K1841" t="s">
        <v>8921</v>
      </c>
    </row>
    <row r="1842" spans="1:11" x14ac:dyDescent="0.25">
      <c r="A1842" t="s">
        <v>6229</v>
      </c>
      <c r="B1842" t="s">
        <v>1909</v>
      </c>
      <c r="C1842" t="s">
        <v>6230</v>
      </c>
      <c r="D1842" t="s">
        <v>6231</v>
      </c>
      <c r="E1842" t="s">
        <v>14</v>
      </c>
      <c r="F1842" t="s">
        <v>15</v>
      </c>
      <c r="G1842">
        <v>28211</v>
      </c>
      <c r="H1842" t="s">
        <v>39</v>
      </c>
      <c r="I1842">
        <v>21</v>
      </c>
      <c r="J1842">
        <v>0</v>
      </c>
      <c r="K1842" t="s">
        <v>8921</v>
      </c>
    </row>
    <row r="1843" spans="1:11" x14ac:dyDescent="0.25">
      <c r="A1843" t="s">
        <v>6232</v>
      </c>
      <c r="B1843" t="s">
        <v>3179</v>
      </c>
      <c r="C1843" t="s">
        <v>6233</v>
      </c>
      <c r="D1843" t="s">
        <v>6234</v>
      </c>
      <c r="E1843" t="s">
        <v>14</v>
      </c>
      <c r="F1843" t="s">
        <v>15</v>
      </c>
      <c r="G1843">
        <v>28214</v>
      </c>
      <c r="H1843" t="s">
        <v>48</v>
      </c>
      <c r="I1843">
        <v>3</v>
      </c>
      <c r="J1843">
        <v>0</v>
      </c>
      <c r="K1843" t="s">
        <v>8935</v>
      </c>
    </row>
    <row r="1844" spans="1:11" x14ac:dyDescent="0.25">
      <c r="A1844" t="s">
        <v>6235</v>
      </c>
      <c r="B1844" t="s">
        <v>6236</v>
      </c>
      <c r="C1844" t="s">
        <v>6237</v>
      </c>
      <c r="D1844" t="s">
        <v>6238</v>
      </c>
      <c r="E1844" t="s">
        <v>14</v>
      </c>
      <c r="F1844" t="s">
        <v>15</v>
      </c>
      <c r="G1844">
        <v>28204</v>
      </c>
      <c r="H1844" t="s">
        <v>16</v>
      </c>
      <c r="I1844">
        <v>93</v>
      </c>
      <c r="J1844">
        <v>1</v>
      </c>
      <c r="K1844" t="s">
        <v>8935</v>
      </c>
    </row>
    <row r="1845" spans="1:11" x14ac:dyDescent="0.25">
      <c r="A1845" t="s">
        <v>6239</v>
      </c>
      <c r="B1845" t="s">
        <v>279</v>
      </c>
      <c r="C1845" t="s">
        <v>6240</v>
      </c>
      <c r="D1845" t="s">
        <v>6241</v>
      </c>
      <c r="E1845" t="s">
        <v>14</v>
      </c>
      <c r="F1845" t="s">
        <v>15</v>
      </c>
      <c r="G1845">
        <v>28215</v>
      </c>
      <c r="H1845" t="s">
        <v>16</v>
      </c>
      <c r="I1845">
        <v>43</v>
      </c>
      <c r="J1845">
        <v>1</v>
      </c>
      <c r="K1845" t="s">
        <v>8926</v>
      </c>
    </row>
    <row r="1846" spans="1:11" x14ac:dyDescent="0.25">
      <c r="A1846" t="s">
        <v>6242</v>
      </c>
      <c r="B1846" t="s">
        <v>6243</v>
      </c>
      <c r="C1846" t="s">
        <v>6244</v>
      </c>
      <c r="D1846" t="s">
        <v>6245</v>
      </c>
      <c r="E1846" t="s">
        <v>14</v>
      </c>
      <c r="F1846" t="s">
        <v>15</v>
      </c>
      <c r="G1846">
        <v>28205</v>
      </c>
      <c r="H1846" t="s">
        <v>16</v>
      </c>
      <c r="I1846">
        <v>23</v>
      </c>
      <c r="J1846">
        <v>1</v>
      </c>
      <c r="K1846" t="s">
        <v>8935</v>
      </c>
    </row>
    <row r="1847" spans="1:11" x14ac:dyDescent="0.25">
      <c r="A1847" t="s">
        <v>6246</v>
      </c>
      <c r="B1847" t="s">
        <v>6247</v>
      </c>
      <c r="C1847" t="s">
        <v>494</v>
      </c>
      <c r="D1847" t="s">
        <v>4436</v>
      </c>
      <c r="E1847" t="s">
        <v>14</v>
      </c>
      <c r="F1847" t="s">
        <v>15</v>
      </c>
      <c r="G1847">
        <v>28205</v>
      </c>
      <c r="H1847" t="s">
        <v>21</v>
      </c>
      <c r="I1847">
        <v>33</v>
      </c>
      <c r="J1847">
        <v>1</v>
      </c>
      <c r="K1847" t="s">
        <v>8935</v>
      </c>
    </row>
    <row r="1848" spans="1:11" x14ac:dyDescent="0.25">
      <c r="A1848" t="s">
        <v>6248</v>
      </c>
      <c r="B1848" t="s">
        <v>86</v>
      </c>
      <c r="C1848" t="s">
        <v>6249</v>
      </c>
      <c r="D1848" t="s">
        <v>6250</v>
      </c>
      <c r="E1848" t="s">
        <v>14</v>
      </c>
      <c r="F1848" t="s">
        <v>15</v>
      </c>
      <c r="G1848">
        <v>28273</v>
      </c>
      <c r="H1848" t="s">
        <v>48</v>
      </c>
      <c r="I1848">
        <v>9</v>
      </c>
      <c r="J1848">
        <v>0</v>
      </c>
      <c r="K1848" t="s">
        <v>8935</v>
      </c>
    </row>
    <row r="1849" spans="1:11" x14ac:dyDescent="0.25">
      <c r="A1849" t="s">
        <v>6251</v>
      </c>
      <c r="B1849" t="s">
        <v>6252</v>
      </c>
      <c r="C1849" t="s">
        <v>6253</v>
      </c>
      <c r="D1849" t="s">
        <v>6254</v>
      </c>
      <c r="E1849" t="s">
        <v>14</v>
      </c>
      <c r="F1849" t="s">
        <v>15</v>
      </c>
      <c r="G1849">
        <v>28204</v>
      </c>
      <c r="H1849" t="s">
        <v>48</v>
      </c>
      <c r="I1849">
        <v>101</v>
      </c>
      <c r="J1849">
        <v>0</v>
      </c>
      <c r="K1849" t="s">
        <v>8925</v>
      </c>
    </row>
    <row r="1850" spans="1:11" x14ac:dyDescent="0.25">
      <c r="A1850" t="s">
        <v>6255</v>
      </c>
      <c r="B1850" t="s">
        <v>6256</v>
      </c>
      <c r="C1850" t="s">
        <v>6257</v>
      </c>
      <c r="D1850" t="s">
        <v>6258</v>
      </c>
      <c r="E1850" t="s">
        <v>14</v>
      </c>
      <c r="F1850" t="s">
        <v>15</v>
      </c>
      <c r="G1850">
        <v>28210</v>
      </c>
      <c r="H1850" t="s">
        <v>21</v>
      </c>
      <c r="I1850">
        <v>134</v>
      </c>
      <c r="J1850">
        <v>1</v>
      </c>
      <c r="K1850" t="s">
        <v>8921</v>
      </c>
    </row>
    <row r="1851" spans="1:11" x14ac:dyDescent="0.25">
      <c r="A1851" t="s">
        <v>6259</v>
      </c>
      <c r="B1851" t="s">
        <v>6260</v>
      </c>
      <c r="C1851" t="s">
        <v>6261</v>
      </c>
      <c r="D1851" t="s">
        <v>6262</v>
      </c>
      <c r="E1851" t="s">
        <v>14</v>
      </c>
      <c r="F1851" t="s">
        <v>15</v>
      </c>
      <c r="G1851">
        <v>28203</v>
      </c>
      <c r="H1851" t="s">
        <v>39</v>
      </c>
      <c r="I1851">
        <v>208</v>
      </c>
      <c r="J1851">
        <v>1</v>
      </c>
      <c r="K1851" t="s">
        <v>8920</v>
      </c>
    </row>
    <row r="1852" spans="1:11" x14ac:dyDescent="0.25">
      <c r="A1852" t="s">
        <v>6263</v>
      </c>
      <c r="B1852" t="s">
        <v>895</v>
      </c>
      <c r="C1852" t="s">
        <v>6264</v>
      </c>
      <c r="D1852" t="s">
        <v>2703</v>
      </c>
      <c r="E1852" t="s">
        <v>14</v>
      </c>
      <c r="F1852" t="s">
        <v>15</v>
      </c>
      <c r="G1852">
        <v>28210</v>
      </c>
      <c r="H1852" t="s">
        <v>26</v>
      </c>
      <c r="I1852">
        <v>4</v>
      </c>
      <c r="J1852">
        <v>0</v>
      </c>
      <c r="K1852" t="s">
        <v>8935</v>
      </c>
    </row>
    <row r="1853" spans="1:11" x14ac:dyDescent="0.25">
      <c r="A1853" t="s">
        <v>6265</v>
      </c>
      <c r="B1853" t="s">
        <v>6266</v>
      </c>
      <c r="C1853" t="s">
        <v>6267</v>
      </c>
      <c r="E1853" t="s">
        <v>14</v>
      </c>
      <c r="F1853" t="s">
        <v>15</v>
      </c>
      <c r="G1853">
        <v>28202</v>
      </c>
      <c r="H1853" t="s">
        <v>39</v>
      </c>
      <c r="I1853">
        <v>139</v>
      </c>
      <c r="J1853">
        <v>1</v>
      </c>
      <c r="K1853" t="s">
        <v>8935</v>
      </c>
    </row>
    <row r="1854" spans="1:11" x14ac:dyDescent="0.25">
      <c r="A1854" t="s">
        <v>6268</v>
      </c>
      <c r="B1854" t="s">
        <v>6269</v>
      </c>
      <c r="C1854" t="s">
        <v>1094</v>
      </c>
      <c r="D1854" t="s">
        <v>6270</v>
      </c>
      <c r="E1854" t="s">
        <v>14</v>
      </c>
      <c r="F1854" t="s">
        <v>15</v>
      </c>
      <c r="G1854">
        <v>28269</v>
      </c>
      <c r="H1854" t="s">
        <v>101</v>
      </c>
      <c r="I1854">
        <v>10</v>
      </c>
      <c r="J1854">
        <v>1</v>
      </c>
      <c r="K1854" t="s">
        <v>8925</v>
      </c>
    </row>
    <row r="1855" spans="1:11" x14ac:dyDescent="0.25">
      <c r="A1855" t="s">
        <v>6271</v>
      </c>
      <c r="B1855" t="s">
        <v>103</v>
      </c>
      <c r="C1855" t="s">
        <v>6272</v>
      </c>
      <c r="D1855" t="s">
        <v>6273</v>
      </c>
      <c r="E1855" t="s">
        <v>14</v>
      </c>
      <c r="F1855" t="s">
        <v>15</v>
      </c>
      <c r="G1855">
        <v>28277</v>
      </c>
      <c r="H1855" t="s">
        <v>48</v>
      </c>
      <c r="I1855">
        <v>3</v>
      </c>
      <c r="J1855">
        <v>0</v>
      </c>
      <c r="K1855" t="s">
        <v>8921</v>
      </c>
    </row>
    <row r="1856" spans="1:11" x14ac:dyDescent="0.25">
      <c r="A1856" t="s">
        <v>6274</v>
      </c>
      <c r="B1856" t="s">
        <v>6275</v>
      </c>
      <c r="C1856" t="s">
        <v>6276</v>
      </c>
      <c r="D1856" t="s">
        <v>6277</v>
      </c>
      <c r="E1856" t="s">
        <v>14</v>
      </c>
      <c r="F1856" t="s">
        <v>15</v>
      </c>
      <c r="G1856">
        <v>28273</v>
      </c>
      <c r="H1856" t="s">
        <v>26</v>
      </c>
      <c r="I1856">
        <v>142</v>
      </c>
      <c r="J1856">
        <v>1</v>
      </c>
      <c r="K1856" t="s">
        <v>8936</v>
      </c>
    </row>
    <row r="1857" spans="1:11" x14ac:dyDescent="0.25">
      <c r="A1857" t="s">
        <v>6278</v>
      </c>
      <c r="B1857" t="s">
        <v>6279</v>
      </c>
      <c r="C1857" t="s">
        <v>79</v>
      </c>
      <c r="D1857" t="s">
        <v>6280</v>
      </c>
      <c r="E1857" t="s">
        <v>14</v>
      </c>
      <c r="F1857" t="s">
        <v>15</v>
      </c>
      <c r="G1857">
        <v>28273</v>
      </c>
      <c r="H1857" t="s">
        <v>21</v>
      </c>
      <c r="I1857">
        <v>61</v>
      </c>
      <c r="J1857">
        <v>1</v>
      </c>
      <c r="K1857" t="s">
        <v>8935</v>
      </c>
    </row>
    <row r="1858" spans="1:11" x14ac:dyDescent="0.25">
      <c r="A1858" t="s">
        <v>6281</v>
      </c>
      <c r="B1858" t="s">
        <v>6282</v>
      </c>
      <c r="C1858" t="s">
        <v>715</v>
      </c>
      <c r="D1858" t="s">
        <v>517</v>
      </c>
      <c r="E1858" t="s">
        <v>14</v>
      </c>
      <c r="F1858" t="s">
        <v>15</v>
      </c>
      <c r="G1858">
        <v>28273</v>
      </c>
      <c r="H1858" t="s">
        <v>48</v>
      </c>
      <c r="I1858">
        <v>32</v>
      </c>
      <c r="J1858">
        <v>1</v>
      </c>
      <c r="K1858" t="s">
        <v>8925</v>
      </c>
    </row>
    <row r="1859" spans="1:11" x14ac:dyDescent="0.25">
      <c r="A1859" t="s">
        <v>6283</v>
      </c>
      <c r="B1859" t="s">
        <v>6284</v>
      </c>
      <c r="C1859" t="s">
        <v>6285</v>
      </c>
      <c r="D1859" t="s">
        <v>6286</v>
      </c>
      <c r="E1859" t="s">
        <v>14</v>
      </c>
      <c r="F1859" t="s">
        <v>15</v>
      </c>
      <c r="G1859">
        <v>28277</v>
      </c>
      <c r="H1859" t="s">
        <v>21</v>
      </c>
      <c r="I1859">
        <v>85</v>
      </c>
      <c r="J1859">
        <v>1</v>
      </c>
      <c r="K1859" t="s">
        <v>8935</v>
      </c>
    </row>
    <row r="1860" spans="1:11" x14ac:dyDescent="0.25">
      <c r="A1860" t="s">
        <v>6287</v>
      </c>
      <c r="B1860" t="s">
        <v>6288</v>
      </c>
      <c r="C1860" t="s">
        <v>6289</v>
      </c>
      <c r="D1860" t="s">
        <v>6290</v>
      </c>
      <c r="E1860" t="s">
        <v>14</v>
      </c>
      <c r="F1860" t="s">
        <v>15</v>
      </c>
      <c r="G1860">
        <v>28226</v>
      </c>
      <c r="H1860" t="s">
        <v>21</v>
      </c>
      <c r="I1860">
        <v>96</v>
      </c>
      <c r="J1860">
        <v>1</v>
      </c>
      <c r="K1860" t="s">
        <v>8935</v>
      </c>
    </row>
    <row r="1861" spans="1:11" x14ac:dyDescent="0.25">
      <c r="A1861" t="s">
        <v>6291</v>
      </c>
      <c r="B1861" t="s">
        <v>6292</v>
      </c>
      <c r="C1861" t="s">
        <v>1494</v>
      </c>
      <c r="D1861" t="s">
        <v>6293</v>
      </c>
      <c r="E1861" t="s">
        <v>14</v>
      </c>
      <c r="F1861" t="s">
        <v>15</v>
      </c>
      <c r="G1861">
        <v>28278</v>
      </c>
      <c r="H1861" t="s">
        <v>195</v>
      </c>
      <c r="I1861">
        <v>27</v>
      </c>
      <c r="J1861">
        <v>1</v>
      </c>
      <c r="K1861" t="s">
        <v>8935</v>
      </c>
    </row>
    <row r="1862" spans="1:11" x14ac:dyDescent="0.25">
      <c r="A1862" t="s">
        <v>6294</v>
      </c>
      <c r="B1862" t="s">
        <v>6295</v>
      </c>
      <c r="C1862" t="s">
        <v>6296</v>
      </c>
      <c r="D1862" t="s">
        <v>6297</v>
      </c>
      <c r="E1862" t="s">
        <v>14</v>
      </c>
      <c r="F1862" t="s">
        <v>15</v>
      </c>
      <c r="G1862">
        <v>28205</v>
      </c>
      <c r="H1862" t="s">
        <v>39</v>
      </c>
      <c r="I1862">
        <v>144</v>
      </c>
      <c r="J1862">
        <v>1</v>
      </c>
      <c r="K1862" t="s">
        <v>8935</v>
      </c>
    </row>
    <row r="1863" spans="1:11" x14ac:dyDescent="0.25">
      <c r="A1863" t="s">
        <v>6298</v>
      </c>
      <c r="B1863" t="s">
        <v>6299</v>
      </c>
      <c r="C1863" t="s">
        <v>3802</v>
      </c>
      <c r="D1863" t="s">
        <v>6300</v>
      </c>
      <c r="E1863" t="s">
        <v>14</v>
      </c>
      <c r="F1863" t="s">
        <v>15</v>
      </c>
      <c r="G1863">
        <v>28277</v>
      </c>
      <c r="H1863" t="s">
        <v>16</v>
      </c>
      <c r="I1863">
        <v>20</v>
      </c>
      <c r="J1863">
        <v>0</v>
      </c>
      <c r="K1863" t="s">
        <v>8935</v>
      </c>
    </row>
    <row r="1864" spans="1:11" x14ac:dyDescent="0.25">
      <c r="A1864" t="s">
        <v>6301</v>
      </c>
      <c r="B1864" t="s">
        <v>1909</v>
      </c>
      <c r="C1864" t="s">
        <v>6302</v>
      </c>
      <c r="D1864" t="s">
        <v>6303</v>
      </c>
      <c r="E1864" t="s">
        <v>14</v>
      </c>
      <c r="F1864" t="s">
        <v>15</v>
      </c>
      <c r="G1864">
        <v>28202</v>
      </c>
      <c r="H1864" t="s">
        <v>146</v>
      </c>
      <c r="I1864">
        <v>4</v>
      </c>
      <c r="J1864">
        <v>0</v>
      </c>
      <c r="K1864" t="s">
        <v>8921</v>
      </c>
    </row>
    <row r="1865" spans="1:11" x14ac:dyDescent="0.25">
      <c r="A1865" t="s">
        <v>6304</v>
      </c>
      <c r="B1865" t="s">
        <v>6305</v>
      </c>
      <c r="C1865" t="s">
        <v>6306</v>
      </c>
      <c r="D1865" t="s">
        <v>1523</v>
      </c>
      <c r="E1865" t="s">
        <v>14</v>
      </c>
      <c r="F1865" t="s">
        <v>15</v>
      </c>
      <c r="G1865">
        <v>21211</v>
      </c>
      <c r="H1865" t="s">
        <v>26</v>
      </c>
      <c r="I1865">
        <v>14</v>
      </c>
      <c r="J1865">
        <v>1</v>
      </c>
      <c r="K1865" t="s">
        <v>8935</v>
      </c>
    </row>
    <row r="1866" spans="1:11" x14ac:dyDescent="0.25">
      <c r="A1866" t="s">
        <v>6307</v>
      </c>
      <c r="B1866" t="s">
        <v>1057</v>
      </c>
      <c r="C1866" t="s">
        <v>6308</v>
      </c>
      <c r="D1866" t="s">
        <v>1077</v>
      </c>
      <c r="E1866" t="s">
        <v>14</v>
      </c>
      <c r="F1866" t="s">
        <v>15</v>
      </c>
      <c r="G1866">
        <v>28277</v>
      </c>
      <c r="H1866" t="s">
        <v>21</v>
      </c>
      <c r="I1866">
        <v>108</v>
      </c>
      <c r="J1866">
        <v>1</v>
      </c>
      <c r="K1866" t="s">
        <v>8935</v>
      </c>
    </row>
    <row r="1867" spans="1:11" x14ac:dyDescent="0.25">
      <c r="A1867" t="s">
        <v>6309</v>
      </c>
      <c r="B1867" t="s">
        <v>6310</v>
      </c>
      <c r="C1867" t="s">
        <v>6311</v>
      </c>
      <c r="D1867" t="s">
        <v>6312</v>
      </c>
      <c r="E1867" t="s">
        <v>14</v>
      </c>
      <c r="F1867" t="s">
        <v>15</v>
      </c>
      <c r="G1867">
        <v>28211</v>
      </c>
      <c r="H1867" t="s">
        <v>16</v>
      </c>
      <c r="I1867">
        <v>310</v>
      </c>
      <c r="J1867">
        <v>1</v>
      </c>
      <c r="K1867" t="s">
        <v>8935</v>
      </c>
    </row>
    <row r="1868" spans="1:11" x14ac:dyDescent="0.25">
      <c r="A1868" t="s">
        <v>6313</v>
      </c>
      <c r="B1868" t="s">
        <v>6314</v>
      </c>
      <c r="C1868" t="s">
        <v>6315</v>
      </c>
      <c r="D1868" t="s">
        <v>6316</v>
      </c>
      <c r="E1868" t="s">
        <v>14</v>
      </c>
      <c r="F1868" t="s">
        <v>15</v>
      </c>
      <c r="G1868">
        <v>28202</v>
      </c>
      <c r="H1868" t="s">
        <v>26</v>
      </c>
      <c r="I1868">
        <v>139</v>
      </c>
      <c r="J1868">
        <v>1</v>
      </c>
      <c r="K1868" t="s">
        <v>8935</v>
      </c>
    </row>
    <row r="1869" spans="1:11" x14ac:dyDescent="0.25">
      <c r="A1869" t="s">
        <v>6317</v>
      </c>
      <c r="B1869" t="s">
        <v>6318</v>
      </c>
      <c r="C1869" t="s">
        <v>6319</v>
      </c>
      <c r="D1869" t="s">
        <v>6320</v>
      </c>
      <c r="E1869" t="s">
        <v>14</v>
      </c>
      <c r="F1869" t="s">
        <v>15</v>
      </c>
      <c r="G1869">
        <v>28203</v>
      </c>
      <c r="H1869" t="s">
        <v>16</v>
      </c>
      <c r="I1869">
        <v>10</v>
      </c>
      <c r="J1869">
        <v>0</v>
      </c>
      <c r="K1869" t="s">
        <v>8935</v>
      </c>
    </row>
    <row r="1870" spans="1:11" x14ac:dyDescent="0.25">
      <c r="A1870" t="s">
        <v>6321</v>
      </c>
      <c r="B1870" t="s">
        <v>2469</v>
      </c>
      <c r="C1870" t="s">
        <v>364</v>
      </c>
      <c r="D1870" t="s">
        <v>233</v>
      </c>
      <c r="E1870" t="s">
        <v>14</v>
      </c>
      <c r="F1870" t="s">
        <v>15</v>
      </c>
      <c r="G1870">
        <v>28269</v>
      </c>
      <c r="H1870" t="s">
        <v>101</v>
      </c>
      <c r="I1870">
        <v>3</v>
      </c>
      <c r="J1870">
        <v>1</v>
      </c>
      <c r="K1870" t="s">
        <v>8935</v>
      </c>
    </row>
    <row r="1871" spans="1:11" x14ac:dyDescent="0.25">
      <c r="A1871" t="s">
        <v>6322</v>
      </c>
      <c r="B1871" t="s">
        <v>6323</v>
      </c>
      <c r="C1871" t="s">
        <v>6324</v>
      </c>
      <c r="D1871" t="s">
        <v>6325</v>
      </c>
      <c r="E1871" t="s">
        <v>14</v>
      </c>
      <c r="F1871" t="s">
        <v>15</v>
      </c>
      <c r="G1871">
        <v>28209</v>
      </c>
      <c r="H1871" t="s">
        <v>16</v>
      </c>
      <c r="I1871">
        <v>5</v>
      </c>
      <c r="J1871">
        <v>1</v>
      </c>
      <c r="K1871" t="s">
        <v>8935</v>
      </c>
    </row>
    <row r="1872" spans="1:11" x14ac:dyDescent="0.25">
      <c r="A1872" t="s">
        <v>6326</v>
      </c>
      <c r="B1872" t="s">
        <v>6327</v>
      </c>
      <c r="C1872" t="s">
        <v>4263</v>
      </c>
      <c r="D1872" t="s">
        <v>6328</v>
      </c>
      <c r="E1872" t="s">
        <v>14</v>
      </c>
      <c r="F1872" t="s">
        <v>15</v>
      </c>
      <c r="G1872">
        <v>28213</v>
      </c>
      <c r="H1872" t="s">
        <v>26</v>
      </c>
      <c r="I1872">
        <v>23</v>
      </c>
      <c r="J1872">
        <v>1</v>
      </c>
      <c r="K1872" t="s">
        <v>8935</v>
      </c>
    </row>
    <row r="1873" spans="1:11" x14ac:dyDescent="0.25">
      <c r="A1873" t="s">
        <v>6329</v>
      </c>
      <c r="B1873" t="s">
        <v>312</v>
      </c>
      <c r="C1873" t="s">
        <v>6330</v>
      </c>
      <c r="D1873" t="s">
        <v>2377</v>
      </c>
      <c r="E1873" t="s">
        <v>14</v>
      </c>
      <c r="F1873" t="s">
        <v>15</v>
      </c>
      <c r="G1873">
        <v>28205</v>
      </c>
      <c r="H1873" t="s">
        <v>26</v>
      </c>
      <c r="I1873">
        <v>8</v>
      </c>
      <c r="J1873">
        <v>1</v>
      </c>
      <c r="K1873" t="s">
        <v>8925</v>
      </c>
    </row>
    <row r="1874" spans="1:11" x14ac:dyDescent="0.25">
      <c r="A1874" t="s">
        <v>6331</v>
      </c>
      <c r="B1874" t="s">
        <v>6332</v>
      </c>
      <c r="C1874" t="s">
        <v>6333</v>
      </c>
      <c r="D1874" t="s">
        <v>491</v>
      </c>
      <c r="E1874" t="s">
        <v>14</v>
      </c>
      <c r="F1874" t="s">
        <v>15</v>
      </c>
      <c r="G1874">
        <v>28262</v>
      </c>
      <c r="H1874" t="s">
        <v>26</v>
      </c>
      <c r="I1874">
        <v>16</v>
      </c>
      <c r="J1874">
        <v>0</v>
      </c>
      <c r="K1874" t="s">
        <v>8930</v>
      </c>
    </row>
    <row r="1875" spans="1:11" x14ac:dyDescent="0.25">
      <c r="A1875" t="s">
        <v>6334</v>
      </c>
      <c r="B1875" t="s">
        <v>6335</v>
      </c>
      <c r="C1875" t="s">
        <v>2723</v>
      </c>
      <c r="D1875" t="s">
        <v>6336</v>
      </c>
      <c r="E1875" t="s">
        <v>14</v>
      </c>
      <c r="F1875" t="s">
        <v>15</v>
      </c>
      <c r="G1875">
        <v>28208</v>
      </c>
      <c r="H1875" t="s">
        <v>21</v>
      </c>
      <c r="I1875">
        <v>49</v>
      </c>
      <c r="J1875">
        <v>1</v>
      </c>
      <c r="K1875" t="s">
        <v>8935</v>
      </c>
    </row>
    <row r="1876" spans="1:11" x14ac:dyDescent="0.25">
      <c r="A1876" t="s">
        <v>6337</v>
      </c>
      <c r="B1876" t="s">
        <v>6338</v>
      </c>
      <c r="C1876" t="s">
        <v>6339</v>
      </c>
      <c r="D1876" t="s">
        <v>6340</v>
      </c>
      <c r="E1876" t="s">
        <v>14</v>
      </c>
      <c r="F1876" t="s">
        <v>15</v>
      </c>
      <c r="G1876">
        <v>28217</v>
      </c>
      <c r="H1876" t="s">
        <v>39</v>
      </c>
      <c r="I1876">
        <v>7</v>
      </c>
      <c r="J1876">
        <v>0</v>
      </c>
      <c r="K1876" t="s">
        <v>8935</v>
      </c>
    </row>
    <row r="1877" spans="1:11" x14ac:dyDescent="0.25">
      <c r="A1877" t="s">
        <v>6341</v>
      </c>
      <c r="B1877" t="s">
        <v>6342</v>
      </c>
      <c r="C1877" t="s">
        <v>364</v>
      </c>
      <c r="D1877" t="s">
        <v>6343</v>
      </c>
      <c r="E1877" t="s">
        <v>14</v>
      </c>
      <c r="F1877" t="s">
        <v>15</v>
      </c>
      <c r="G1877">
        <v>28205</v>
      </c>
      <c r="H1877" t="s">
        <v>101</v>
      </c>
      <c r="I1877">
        <v>12</v>
      </c>
      <c r="J1877">
        <v>1</v>
      </c>
      <c r="K1877" t="s">
        <v>8935</v>
      </c>
    </row>
    <row r="1878" spans="1:11" x14ac:dyDescent="0.25">
      <c r="A1878" t="s">
        <v>6344</v>
      </c>
      <c r="B1878" t="s">
        <v>176</v>
      </c>
      <c r="C1878" t="s">
        <v>317</v>
      </c>
      <c r="D1878" t="s">
        <v>6345</v>
      </c>
      <c r="E1878" t="s">
        <v>14</v>
      </c>
      <c r="F1878" t="s">
        <v>15</v>
      </c>
      <c r="G1878">
        <v>28215</v>
      </c>
      <c r="H1878" t="s">
        <v>101</v>
      </c>
      <c r="I1878">
        <v>9</v>
      </c>
      <c r="J1878">
        <v>1</v>
      </c>
      <c r="K1878" t="s">
        <v>8935</v>
      </c>
    </row>
    <row r="1879" spans="1:11" x14ac:dyDescent="0.25">
      <c r="A1879" t="s">
        <v>6346</v>
      </c>
      <c r="B1879" t="s">
        <v>6347</v>
      </c>
      <c r="C1879" t="s">
        <v>193</v>
      </c>
      <c r="D1879" t="s">
        <v>6348</v>
      </c>
      <c r="E1879" t="s">
        <v>14</v>
      </c>
      <c r="F1879" t="s">
        <v>15</v>
      </c>
      <c r="G1879">
        <v>28212</v>
      </c>
      <c r="H1879" t="s">
        <v>195</v>
      </c>
      <c r="I1879">
        <v>15</v>
      </c>
      <c r="J1879">
        <v>1</v>
      </c>
      <c r="K1879" t="s">
        <v>8935</v>
      </c>
    </row>
    <row r="1880" spans="1:11" x14ac:dyDescent="0.25">
      <c r="A1880" t="s">
        <v>6349</v>
      </c>
      <c r="B1880" t="s">
        <v>6350</v>
      </c>
      <c r="C1880" t="s">
        <v>6351</v>
      </c>
      <c r="D1880" t="s">
        <v>1527</v>
      </c>
      <c r="E1880" t="s">
        <v>14</v>
      </c>
      <c r="F1880" t="s">
        <v>15</v>
      </c>
      <c r="G1880">
        <v>28202</v>
      </c>
      <c r="H1880" t="s">
        <v>26</v>
      </c>
      <c r="I1880">
        <v>245</v>
      </c>
      <c r="J1880">
        <v>1</v>
      </c>
      <c r="K1880" t="s">
        <v>8935</v>
      </c>
    </row>
    <row r="1881" spans="1:11" x14ac:dyDescent="0.25">
      <c r="A1881" t="s">
        <v>6352</v>
      </c>
      <c r="B1881" t="s">
        <v>6353</v>
      </c>
      <c r="C1881" t="s">
        <v>6354</v>
      </c>
      <c r="D1881" t="s">
        <v>6355</v>
      </c>
      <c r="E1881" t="s">
        <v>14</v>
      </c>
      <c r="F1881" t="s">
        <v>15</v>
      </c>
      <c r="G1881">
        <v>28273</v>
      </c>
      <c r="H1881" t="s">
        <v>16</v>
      </c>
      <c r="I1881">
        <v>198</v>
      </c>
      <c r="J1881">
        <v>1</v>
      </c>
      <c r="K1881" t="s">
        <v>8935</v>
      </c>
    </row>
    <row r="1882" spans="1:11" x14ac:dyDescent="0.25">
      <c r="A1882" t="s">
        <v>6356</v>
      </c>
      <c r="B1882" t="s">
        <v>3430</v>
      </c>
      <c r="C1882" t="s">
        <v>6357</v>
      </c>
      <c r="D1882" t="s">
        <v>6358</v>
      </c>
      <c r="E1882" t="s">
        <v>14</v>
      </c>
      <c r="F1882" t="s">
        <v>15</v>
      </c>
      <c r="G1882">
        <v>28215</v>
      </c>
      <c r="H1882" t="s">
        <v>39</v>
      </c>
      <c r="I1882">
        <v>11</v>
      </c>
      <c r="J1882">
        <v>1</v>
      </c>
      <c r="K1882" t="s">
        <v>8932</v>
      </c>
    </row>
    <row r="1883" spans="1:11" x14ac:dyDescent="0.25">
      <c r="A1883" t="s">
        <v>6359</v>
      </c>
      <c r="B1883" t="s">
        <v>6360</v>
      </c>
      <c r="C1883" t="s">
        <v>6361</v>
      </c>
      <c r="D1883" t="s">
        <v>6362</v>
      </c>
      <c r="E1883" t="s">
        <v>14</v>
      </c>
      <c r="F1883" t="s">
        <v>15</v>
      </c>
      <c r="G1883">
        <v>28203</v>
      </c>
      <c r="H1883" t="s">
        <v>16</v>
      </c>
      <c r="I1883">
        <v>649</v>
      </c>
      <c r="J1883">
        <v>1</v>
      </c>
      <c r="K1883" t="s">
        <v>8935</v>
      </c>
    </row>
    <row r="1884" spans="1:11" x14ac:dyDescent="0.25">
      <c r="A1884" t="s">
        <v>6363</v>
      </c>
      <c r="B1884" t="s">
        <v>581</v>
      </c>
      <c r="C1884" t="s">
        <v>6364</v>
      </c>
      <c r="D1884" t="s">
        <v>6365</v>
      </c>
      <c r="E1884" t="s">
        <v>14</v>
      </c>
      <c r="F1884" t="s">
        <v>15</v>
      </c>
      <c r="G1884">
        <v>28212</v>
      </c>
      <c r="H1884" t="s">
        <v>26</v>
      </c>
      <c r="I1884">
        <v>103</v>
      </c>
      <c r="J1884">
        <v>1</v>
      </c>
      <c r="K1884" t="s">
        <v>8935</v>
      </c>
    </row>
    <row r="1885" spans="1:11" x14ac:dyDescent="0.25">
      <c r="A1885" t="s">
        <v>6366</v>
      </c>
      <c r="B1885" t="s">
        <v>6367</v>
      </c>
      <c r="C1885" t="s">
        <v>6368</v>
      </c>
      <c r="D1885" t="s">
        <v>6369</v>
      </c>
      <c r="E1885" t="s">
        <v>14</v>
      </c>
      <c r="F1885" t="s">
        <v>15</v>
      </c>
      <c r="G1885">
        <v>28211</v>
      </c>
      <c r="H1885" t="s">
        <v>39</v>
      </c>
      <c r="I1885">
        <v>98</v>
      </c>
      <c r="J1885">
        <v>1</v>
      </c>
      <c r="K1885" t="s">
        <v>8924</v>
      </c>
    </row>
    <row r="1886" spans="1:11" x14ac:dyDescent="0.25">
      <c r="A1886" t="s">
        <v>6370</v>
      </c>
      <c r="B1886" t="s">
        <v>1053</v>
      </c>
      <c r="C1886" t="s">
        <v>6371</v>
      </c>
      <c r="D1886" t="s">
        <v>6372</v>
      </c>
      <c r="E1886" t="s">
        <v>14</v>
      </c>
      <c r="F1886" t="s">
        <v>15</v>
      </c>
      <c r="G1886">
        <v>28205</v>
      </c>
      <c r="H1886" t="s">
        <v>21</v>
      </c>
      <c r="I1886">
        <v>10</v>
      </c>
      <c r="J1886">
        <v>1</v>
      </c>
      <c r="K1886" t="s">
        <v>8929</v>
      </c>
    </row>
    <row r="1887" spans="1:11" x14ac:dyDescent="0.25">
      <c r="A1887" t="s">
        <v>6373</v>
      </c>
      <c r="B1887" t="s">
        <v>6374</v>
      </c>
      <c r="C1887" t="s">
        <v>6375</v>
      </c>
      <c r="D1887" t="s">
        <v>334</v>
      </c>
      <c r="E1887" t="s">
        <v>14</v>
      </c>
      <c r="F1887" t="s">
        <v>15</v>
      </c>
      <c r="G1887">
        <v>28202</v>
      </c>
      <c r="H1887" t="s">
        <v>26</v>
      </c>
      <c r="I1887">
        <v>9</v>
      </c>
      <c r="J1887">
        <v>0</v>
      </c>
      <c r="K1887" t="s">
        <v>8935</v>
      </c>
    </row>
    <row r="1888" spans="1:11" x14ac:dyDescent="0.25">
      <c r="A1888" t="s">
        <v>6376</v>
      </c>
      <c r="B1888" t="s">
        <v>6377</v>
      </c>
      <c r="C1888" t="s">
        <v>3075</v>
      </c>
      <c r="D1888" t="s">
        <v>5625</v>
      </c>
      <c r="E1888" t="s">
        <v>14</v>
      </c>
      <c r="F1888" t="s">
        <v>15</v>
      </c>
      <c r="G1888">
        <v>28277</v>
      </c>
      <c r="H1888" t="s">
        <v>21</v>
      </c>
      <c r="I1888">
        <v>162</v>
      </c>
      <c r="J1888">
        <v>0</v>
      </c>
      <c r="K1888" t="s">
        <v>8930</v>
      </c>
    </row>
    <row r="1889" spans="1:11" x14ac:dyDescent="0.25">
      <c r="A1889" t="e">
        <f>-aMC2Dy2rqHicz9HjmXimA</f>
        <v>#NAME?</v>
      </c>
      <c r="B1889" t="s">
        <v>6378</v>
      </c>
      <c r="C1889" t="s">
        <v>6379</v>
      </c>
      <c r="D1889" t="s">
        <v>6380</v>
      </c>
      <c r="E1889" t="s">
        <v>14</v>
      </c>
      <c r="F1889" t="s">
        <v>15</v>
      </c>
      <c r="G1889">
        <v>28206</v>
      </c>
      <c r="H1889" t="s">
        <v>16</v>
      </c>
      <c r="I1889">
        <v>166</v>
      </c>
      <c r="J1889">
        <v>0</v>
      </c>
      <c r="K1889" t="s">
        <v>8935</v>
      </c>
    </row>
    <row r="1890" spans="1:11" x14ac:dyDescent="0.25">
      <c r="A1890" t="s">
        <v>6381</v>
      </c>
      <c r="B1890" t="s">
        <v>6382</v>
      </c>
      <c r="C1890" t="s">
        <v>997</v>
      </c>
      <c r="D1890" t="s">
        <v>6383</v>
      </c>
      <c r="E1890" t="s">
        <v>14</v>
      </c>
      <c r="F1890" t="s">
        <v>15</v>
      </c>
      <c r="G1890">
        <v>28217</v>
      </c>
      <c r="H1890" t="s">
        <v>101</v>
      </c>
      <c r="I1890">
        <v>71</v>
      </c>
      <c r="J1890">
        <v>1</v>
      </c>
      <c r="K1890" t="s">
        <v>8935</v>
      </c>
    </row>
    <row r="1891" spans="1:11" x14ac:dyDescent="0.25">
      <c r="A1891" t="s">
        <v>6384</v>
      </c>
      <c r="B1891" t="s">
        <v>6385</v>
      </c>
      <c r="C1891" t="s">
        <v>6386</v>
      </c>
      <c r="D1891" t="s">
        <v>6172</v>
      </c>
      <c r="E1891" t="s">
        <v>14</v>
      </c>
      <c r="F1891" t="s">
        <v>15</v>
      </c>
      <c r="G1891">
        <v>28226</v>
      </c>
      <c r="H1891" t="s">
        <v>21</v>
      </c>
      <c r="I1891">
        <v>131</v>
      </c>
      <c r="J1891">
        <v>1</v>
      </c>
      <c r="K1891" t="s">
        <v>8930</v>
      </c>
    </row>
    <row r="1892" spans="1:11" x14ac:dyDescent="0.25">
      <c r="A1892" t="s">
        <v>6387</v>
      </c>
      <c r="B1892" t="s">
        <v>6388</v>
      </c>
      <c r="C1892" t="s">
        <v>6389</v>
      </c>
      <c r="D1892" t="s">
        <v>3220</v>
      </c>
      <c r="E1892" t="s">
        <v>14</v>
      </c>
      <c r="F1892" t="s">
        <v>15</v>
      </c>
      <c r="G1892">
        <v>28202</v>
      </c>
      <c r="H1892" t="s">
        <v>16</v>
      </c>
      <c r="I1892">
        <v>21</v>
      </c>
      <c r="J1892">
        <v>1</v>
      </c>
      <c r="K1892" t="s">
        <v>8935</v>
      </c>
    </row>
    <row r="1893" spans="1:11" x14ac:dyDescent="0.25">
      <c r="A1893" t="s">
        <v>6390</v>
      </c>
      <c r="B1893" t="s">
        <v>691</v>
      </c>
      <c r="C1893" t="s">
        <v>6391</v>
      </c>
      <c r="D1893" t="s">
        <v>6392</v>
      </c>
      <c r="E1893" t="s">
        <v>14</v>
      </c>
      <c r="F1893" t="s">
        <v>15</v>
      </c>
      <c r="G1893">
        <v>28215</v>
      </c>
      <c r="H1893" t="s">
        <v>26</v>
      </c>
      <c r="I1893">
        <v>16</v>
      </c>
      <c r="J1893">
        <v>1</v>
      </c>
      <c r="K1893" t="s">
        <v>8935</v>
      </c>
    </row>
    <row r="1894" spans="1:11" x14ac:dyDescent="0.25">
      <c r="A1894" t="s">
        <v>6393</v>
      </c>
      <c r="B1894" t="s">
        <v>6394</v>
      </c>
      <c r="C1894" t="s">
        <v>6395</v>
      </c>
      <c r="D1894" t="s">
        <v>6396</v>
      </c>
      <c r="E1894" t="s">
        <v>14</v>
      </c>
      <c r="F1894" t="s">
        <v>15</v>
      </c>
      <c r="G1894">
        <v>28263</v>
      </c>
      <c r="H1894" t="s">
        <v>16</v>
      </c>
      <c r="I1894">
        <v>264</v>
      </c>
      <c r="J1894">
        <v>1</v>
      </c>
      <c r="K1894" t="s">
        <v>8921</v>
      </c>
    </row>
    <row r="1895" spans="1:11" x14ac:dyDescent="0.25">
      <c r="A1895" t="s">
        <v>6397</v>
      </c>
      <c r="B1895" t="s">
        <v>3151</v>
      </c>
      <c r="C1895" t="s">
        <v>6398</v>
      </c>
      <c r="D1895" t="s">
        <v>6399</v>
      </c>
      <c r="E1895" t="s">
        <v>14</v>
      </c>
      <c r="F1895" t="s">
        <v>15</v>
      </c>
      <c r="G1895">
        <v>28277</v>
      </c>
      <c r="H1895" t="s">
        <v>21</v>
      </c>
      <c r="I1895">
        <v>16</v>
      </c>
      <c r="J1895">
        <v>0</v>
      </c>
      <c r="K1895" t="s">
        <v>8922</v>
      </c>
    </row>
    <row r="1896" spans="1:11" x14ac:dyDescent="0.25">
      <c r="A1896" t="s">
        <v>6400</v>
      </c>
      <c r="B1896" t="s">
        <v>228</v>
      </c>
      <c r="C1896" t="s">
        <v>6401</v>
      </c>
      <c r="D1896" t="s">
        <v>6402</v>
      </c>
      <c r="E1896" t="s">
        <v>14</v>
      </c>
      <c r="F1896" t="s">
        <v>15</v>
      </c>
      <c r="G1896">
        <v>28205</v>
      </c>
      <c r="H1896" t="s">
        <v>16</v>
      </c>
      <c r="I1896">
        <v>26</v>
      </c>
      <c r="J1896">
        <v>0</v>
      </c>
      <c r="K1896" t="s">
        <v>8935</v>
      </c>
    </row>
    <row r="1897" spans="1:11" x14ac:dyDescent="0.25">
      <c r="A1897" t="s">
        <v>6403</v>
      </c>
      <c r="B1897" t="s">
        <v>811</v>
      </c>
      <c r="C1897" t="s">
        <v>1869</v>
      </c>
      <c r="D1897" t="s">
        <v>6404</v>
      </c>
      <c r="E1897" t="s">
        <v>14</v>
      </c>
      <c r="F1897" t="s">
        <v>15</v>
      </c>
      <c r="G1897">
        <v>28209</v>
      </c>
      <c r="H1897" t="s">
        <v>21</v>
      </c>
      <c r="I1897">
        <v>89</v>
      </c>
      <c r="J1897">
        <v>1</v>
      </c>
      <c r="K1897" t="s">
        <v>8925</v>
      </c>
    </row>
    <row r="1898" spans="1:11" x14ac:dyDescent="0.25">
      <c r="A1898" t="s">
        <v>6405</v>
      </c>
      <c r="B1898" t="s">
        <v>6406</v>
      </c>
      <c r="C1898" t="s">
        <v>3249</v>
      </c>
      <c r="D1898" t="s">
        <v>6407</v>
      </c>
      <c r="E1898" t="s">
        <v>14</v>
      </c>
      <c r="F1898" t="s">
        <v>15</v>
      </c>
      <c r="G1898">
        <v>28216</v>
      </c>
      <c r="H1898" t="s">
        <v>48</v>
      </c>
      <c r="I1898">
        <v>37</v>
      </c>
      <c r="J1898">
        <v>1</v>
      </c>
      <c r="K1898" t="s">
        <v>8935</v>
      </c>
    </row>
    <row r="1899" spans="1:11" x14ac:dyDescent="0.25">
      <c r="A1899" t="s">
        <v>6408</v>
      </c>
      <c r="B1899" t="s">
        <v>6409</v>
      </c>
      <c r="C1899" t="s">
        <v>6410</v>
      </c>
      <c r="D1899" t="s">
        <v>2627</v>
      </c>
      <c r="E1899" t="s">
        <v>14</v>
      </c>
      <c r="F1899" t="s">
        <v>15</v>
      </c>
      <c r="G1899">
        <v>28269</v>
      </c>
      <c r="H1899" t="s">
        <v>26</v>
      </c>
      <c r="I1899">
        <v>7</v>
      </c>
      <c r="J1899">
        <v>0</v>
      </c>
      <c r="K1899" t="s">
        <v>8935</v>
      </c>
    </row>
    <row r="1900" spans="1:11" x14ac:dyDescent="0.25">
      <c r="A1900" t="s">
        <v>6411</v>
      </c>
      <c r="B1900" t="s">
        <v>6412</v>
      </c>
      <c r="C1900" t="s">
        <v>3075</v>
      </c>
      <c r="D1900" t="s">
        <v>6413</v>
      </c>
      <c r="E1900" t="s">
        <v>14</v>
      </c>
      <c r="F1900" t="s">
        <v>15</v>
      </c>
      <c r="G1900">
        <v>28269</v>
      </c>
      <c r="H1900" t="s">
        <v>16</v>
      </c>
      <c r="I1900">
        <v>156</v>
      </c>
      <c r="J1900">
        <v>1</v>
      </c>
      <c r="K1900" t="s">
        <v>8930</v>
      </c>
    </row>
    <row r="1901" spans="1:11" x14ac:dyDescent="0.25">
      <c r="A1901" t="s">
        <v>6414</v>
      </c>
      <c r="B1901" t="s">
        <v>6415</v>
      </c>
      <c r="C1901" t="s">
        <v>6416</v>
      </c>
      <c r="D1901" t="s">
        <v>3424</v>
      </c>
      <c r="E1901" t="s">
        <v>14</v>
      </c>
      <c r="F1901" t="s">
        <v>15</v>
      </c>
      <c r="G1901">
        <v>28209</v>
      </c>
      <c r="H1901" t="s">
        <v>48</v>
      </c>
      <c r="I1901">
        <v>23</v>
      </c>
      <c r="J1901">
        <v>0</v>
      </c>
      <c r="K1901" t="s">
        <v>8920</v>
      </c>
    </row>
    <row r="1902" spans="1:11" x14ac:dyDescent="0.25">
      <c r="A1902" t="s">
        <v>6417</v>
      </c>
      <c r="B1902" t="s">
        <v>6418</v>
      </c>
      <c r="C1902" t="s">
        <v>6419</v>
      </c>
      <c r="D1902" t="s">
        <v>6303</v>
      </c>
      <c r="E1902" t="s">
        <v>14</v>
      </c>
      <c r="F1902" t="s">
        <v>15</v>
      </c>
      <c r="G1902">
        <v>28202</v>
      </c>
      <c r="H1902" t="s">
        <v>48</v>
      </c>
      <c r="I1902">
        <v>12</v>
      </c>
      <c r="J1902">
        <v>0</v>
      </c>
      <c r="K1902" t="s">
        <v>8936</v>
      </c>
    </row>
    <row r="1903" spans="1:11" x14ac:dyDescent="0.25">
      <c r="A1903" t="s">
        <v>6420</v>
      </c>
      <c r="B1903" t="s">
        <v>139</v>
      </c>
      <c r="C1903" t="s">
        <v>6421</v>
      </c>
      <c r="D1903" t="s">
        <v>1059</v>
      </c>
      <c r="E1903" t="s">
        <v>14</v>
      </c>
      <c r="F1903" t="s">
        <v>15</v>
      </c>
      <c r="G1903">
        <v>28277</v>
      </c>
      <c r="H1903" t="s">
        <v>21</v>
      </c>
      <c r="I1903">
        <v>35</v>
      </c>
      <c r="J1903">
        <v>0</v>
      </c>
      <c r="K1903" t="s">
        <v>8926</v>
      </c>
    </row>
    <row r="1904" spans="1:11" x14ac:dyDescent="0.25">
      <c r="A1904" t="s">
        <v>6422</v>
      </c>
      <c r="B1904" t="s">
        <v>6423</v>
      </c>
      <c r="C1904" t="s">
        <v>6424</v>
      </c>
      <c r="D1904" t="s">
        <v>1748</v>
      </c>
      <c r="E1904" t="s">
        <v>14</v>
      </c>
      <c r="F1904" t="s">
        <v>15</v>
      </c>
      <c r="G1904">
        <v>28217</v>
      </c>
      <c r="H1904" t="s">
        <v>26</v>
      </c>
      <c r="I1904">
        <v>100</v>
      </c>
      <c r="J1904">
        <v>1</v>
      </c>
      <c r="K1904" t="s">
        <v>8935</v>
      </c>
    </row>
    <row r="1905" spans="1:11" x14ac:dyDescent="0.25">
      <c r="A1905" t="s">
        <v>6425</v>
      </c>
      <c r="B1905" t="s">
        <v>6426</v>
      </c>
      <c r="C1905" t="s">
        <v>337</v>
      </c>
      <c r="D1905" t="s">
        <v>6427</v>
      </c>
      <c r="E1905" t="s">
        <v>14</v>
      </c>
      <c r="F1905" t="s">
        <v>15</v>
      </c>
      <c r="G1905">
        <v>28227</v>
      </c>
      <c r="H1905" t="s">
        <v>26</v>
      </c>
      <c r="I1905">
        <v>26</v>
      </c>
      <c r="J1905">
        <v>1</v>
      </c>
      <c r="K1905" t="s">
        <v>8935</v>
      </c>
    </row>
    <row r="1906" spans="1:11" x14ac:dyDescent="0.25">
      <c r="A1906" t="s">
        <v>6428</v>
      </c>
      <c r="B1906" t="s">
        <v>139</v>
      </c>
      <c r="C1906" t="s">
        <v>280</v>
      </c>
      <c r="D1906" t="s">
        <v>6429</v>
      </c>
      <c r="E1906" t="s">
        <v>14</v>
      </c>
      <c r="F1906" t="s">
        <v>15</v>
      </c>
      <c r="G1906">
        <v>28227</v>
      </c>
      <c r="H1906" t="s">
        <v>48</v>
      </c>
      <c r="I1906">
        <v>21</v>
      </c>
      <c r="J1906">
        <v>1</v>
      </c>
      <c r="K1906" t="s">
        <v>8926</v>
      </c>
    </row>
    <row r="1907" spans="1:11" x14ac:dyDescent="0.25">
      <c r="A1907" t="s">
        <v>6430</v>
      </c>
      <c r="B1907" t="s">
        <v>6431</v>
      </c>
      <c r="C1907" t="s">
        <v>6432</v>
      </c>
      <c r="D1907" t="s">
        <v>6433</v>
      </c>
      <c r="E1907" t="s">
        <v>14</v>
      </c>
      <c r="F1907" t="s">
        <v>15</v>
      </c>
      <c r="G1907">
        <v>28208</v>
      </c>
      <c r="H1907" t="s">
        <v>48</v>
      </c>
      <c r="I1907">
        <v>5</v>
      </c>
      <c r="J1907">
        <v>1</v>
      </c>
      <c r="K1907" t="s">
        <v>8935</v>
      </c>
    </row>
    <row r="1908" spans="1:11" x14ac:dyDescent="0.25">
      <c r="A1908" t="s">
        <v>6434</v>
      </c>
      <c r="B1908" t="s">
        <v>6435</v>
      </c>
      <c r="C1908" t="s">
        <v>6151</v>
      </c>
      <c r="D1908" t="s">
        <v>6436</v>
      </c>
      <c r="E1908" t="s">
        <v>14</v>
      </c>
      <c r="F1908" t="s">
        <v>15</v>
      </c>
      <c r="G1908">
        <v>28269</v>
      </c>
      <c r="H1908" t="s">
        <v>21</v>
      </c>
      <c r="I1908">
        <v>20</v>
      </c>
      <c r="J1908">
        <v>0</v>
      </c>
      <c r="K1908" t="s">
        <v>8936</v>
      </c>
    </row>
    <row r="1909" spans="1:11" x14ac:dyDescent="0.25">
      <c r="A1909" t="s">
        <v>6437</v>
      </c>
      <c r="B1909" t="s">
        <v>6438</v>
      </c>
      <c r="C1909" t="s">
        <v>6439</v>
      </c>
      <c r="D1909" t="s">
        <v>846</v>
      </c>
      <c r="E1909" t="s">
        <v>14</v>
      </c>
      <c r="F1909" t="s">
        <v>15</v>
      </c>
      <c r="G1909">
        <v>28202</v>
      </c>
      <c r="H1909" t="s">
        <v>21</v>
      </c>
      <c r="I1909">
        <v>23</v>
      </c>
      <c r="J1909">
        <v>0</v>
      </c>
      <c r="K1909" t="s">
        <v>8935</v>
      </c>
    </row>
    <row r="1910" spans="1:11" x14ac:dyDescent="0.25">
      <c r="A1910" t="s">
        <v>6440</v>
      </c>
      <c r="B1910" t="s">
        <v>6441</v>
      </c>
      <c r="C1910" t="s">
        <v>6442</v>
      </c>
      <c r="D1910" t="s">
        <v>6443</v>
      </c>
      <c r="E1910" t="s">
        <v>14</v>
      </c>
      <c r="F1910" t="s">
        <v>15</v>
      </c>
      <c r="G1910">
        <v>28210</v>
      </c>
      <c r="H1910" t="s">
        <v>21</v>
      </c>
      <c r="I1910">
        <v>159</v>
      </c>
      <c r="J1910">
        <v>0</v>
      </c>
      <c r="K1910" t="s">
        <v>8935</v>
      </c>
    </row>
    <row r="1911" spans="1:11" x14ac:dyDescent="0.25">
      <c r="A1911" t="s">
        <v>6444</v>
      </c>
      <c r="B1911" t="s">
        <v>6445</v>
      </c>
      <c r="C1911" t="s">
        <v>6446</v>
      </c>
      <c r="D1911" t="s">
        <v>377</v>
      </c>
      <c r="E1911" t="s">
        <v>14</v>
      </c>
      <c r="F1911" t="s">
        <v>15</v>
      </c>
      <c r="G1911">
        <v>28217</v>
      </c>
      <c r="H1911" t="s">
        <v>26</v>
      </c>
      <c r="I1911">
        <v>24</v>
      </c>
      <c r="J1911">
        <v>1</v>
      </c>
      <c r="K1911" t="s">
        <v>8935</v>
      </c>
    </row>
    <row r="1912" spans="1:11" x14ac:dyDescent="0.25">
      <c r="A1912" t="e">
        <f>-T0M3exc6tC6sw5LjtVdDQ</f>
        <v>#NAME?</v>
      </c>
      <c r="B1912" t="s">
        <v>6447</v>
      </c>
      <c r="C1912" t="s">
        <v>6448</v>
      </c>
      <c r="D1912" t="s">
        <v>2211</v>
      </c>
      <c r="E1912" t="s">
        <v>14</v>
      </c>
      <c r="F1912" t="s">
        <v>15</v>
      </c>
      <c r="G1912">
        <v>28212</v>
      </c>
      <c r="H1912" t="s">
        <v>21</v>
      </c>
      <c r="I1912">
        <v>20</v>
      </c>
      <c r="J1912">
        <v>1</v>
      </c>
      <c r="K1912" t="s">
        <v>8935</v>
      </c>
    </row>
    <row r="1913" spans="1:11" x14ac:dyDescent="0.25">
      <c r="A1913" t="s">
        <v>6449</v>
      </c>
      <c r="B1913" t="s">
        <v>5463</v>
      </c>
      <c r="C1913" t="s">
        <v>1135</v>
      </c>
      <c r="D1913" t="s">
        <v>6450</v>
      </c>
      <c r="E1913" t="s">
        <v>14</v>
      </c>
      <c r="F1913" t="s">
        <v>15</v>
      </c>
      <c r="G1913">
        <v>28277</v>
      </c>
      <c r="H1913" t="s">
        <v>101</v>
      </c>
      <c r="I1913">
        <v>26</v>
      </c>
      <c r="J1913">
        <v>1</v>
      </c>
      <c r="K1913" t="s">
        <v>8935</v>
      </c>
    </row>
    <row r="1914" spans="1:11" x14ac:dyDescent="0.25">
      <c r="A1914" t="s">
        <v>6451</v>
      </c>
      <c r="B1914" t="s">
        <v>6452</v>
      </c>
      <c r="C1914" t="s">
        <v>6453</v>
      </c>
      <c r="D1914" t="s">
        <v>6454</v>
      </c>
      <c r="E1914" t="s">
        <v>14</v>
      </c>
      <c r="F1914" t="s">
        <v>15</v>
      </c>
      <c r="G1914">
        <v>28204</v>
      </c>
      <c r="H1914" t="s">
        <v>21</v>
      </c>
      <c r="I1914">
        <v>111</v>
      </c>
      <c r="J1914">
        <v>0</v>
      </c>
      <c r="K1914" t="s">
        <v>8937</v>
      </c>
    </row>
    <row r="1915" spans="1:11" x14ac:dyDescent="0.25">
      <c r="A1915" t="s">
        <v>6455</v>
      </c>
      <c r="B1915" t="s">
        <v>6456</v>
      </c>
      <c r="C1915" t="s">
        <v>6457</v>
      </c>
      <c r="D1915" t="s">
        <v>6458</v>
      </c>
      <c r="E1915" t="s">
        <v>14</v>
      </c>
      <c r="F1915" t="s">
        <v>15</v>
      </c>
      <c r="G1915">
        <v>28211</v>
      </c>
      <c r="H1915" t="s">
        <v>16</v>
      </c>
      <c r="I1915">
        <v>234</v>
      </c>
      <c r="J1915">
        <v>1</v>
      </c>
      <c r="K1915" t="s">
        <v>8935</v>
      </c>
    </row>
    <row r="1916" spans="1:11" x14ac:dyDescent="0.25">
      <c r="A1916" t="s">
        <v>6459</v>
      </c>
      <c r="B1916" t="s">
        <v>811</v>
      </c>
      <c r="C1916" t="s">
        <v>6460</v>
      </c>
      <c r="D1916" t="s">
        <v>6461</v>
      </c>
      <c r="E1916" t="s">
        <v>14</v>
      </c>
      <c r="F1916" t="s">
        <v>15</v>
      </c>
      <c r="G1916">
        <v>28270</v>
      </c>
      <c r="H1916" t="s">
        <v>21</v>
      </c>
      <c r="I1916">
        <v>158</v>
      </c>
      <c r="J1916">
        <v>1</v>
      </c>
      <c r="K1916" t="s">
        <v>8925</v>
      </c>
    </row>
    <row r="1917" spans="1:11" x14ac:dyDescent="0.25">
      <c r="A1917" t="s">
        <v>6462</v>
      </c>
      <c r="B1917" t="s">
        <v>4563</v>
      </c>
      <c r="C1917" t="s">
        <v>221</v>
      </c>
      <c r="D1917" t="s">
        <v>6463</v>
      </c>
      <c r="E1917" t="s">
        <v>14</v>
      </c>
      <c r="F1917" t="s">
        <v>15</v>
      </c>
      <c r="G1917">
        <v>28209</v>
      </c>
      <c r="H1917" t="s">
        <v>101</v>
      </c>
      <c r="I1917">
        <v>18</v>
      </c>
      <c r="J1917">
        <v>1</v>
      </c>
      <c r="K1917" t="s">
        <v>8935</v>
      </c>
    </row>
    <row r="1918" spans="1:11" x14ac:dyDescent="0.25">
      <c r="A1918" t="s">
        <v>6464</v>
      </c>
      <c r="B1918" t="s">
        <v>316</v>
      </c>
      <c r="C1918" t="s">
        <v>6465</v>
      </c>
      <c r="D1918" t="s">
        <v>6466</v>
      </c>
      <c r="E1918" t="s">
        <v>14</v>
      </c>
      <c r="F1918" t="s">
        <v>15</v>
      </c>
      <c r="G1918">
        <v>28273</v>
      </c>
      <c r="H1918" t="s">
        <v>26</v>
      </c>
      <c r="I1918">
        <v>21</v>
      </c>
      <c r="J1918">
        <v>1</v>
      </c>
      <c r="K1918" t="s">
        <v>8935</v>
      </c>
    </row>
    <row r="1919" spans="1:11" x14ac:dyDescent="0.25">
      <c r="A1919" t="s">
        <v>6467</v>
      </c>
      <c r="B1919" t="s">
        <v>6468</v>
      </c>
      <c r="C1919" t="s">
        <v>6469</v>
      </c>
      <c r="D1919" t="s">
        <v>137</v>
      </c>
      <c r="E1919" t="s">
        <v>14</v>
      </c>
      <c r="F1919" t="s">
        <v>15</v>
      </c>
      <c r="G1919">
        <v>28202</v>
      </c>
      <c r="H1919" t="s">
        <v>39</v>
      </c>
      <c r="I1919">
        <v>53</v>
      </c>
      <c r="J1919">
        <v>1</v>
      </c>
      <c r="K1919" t="s">
        <v>8935</v>
      </c>
    </row>
    <row r="1920" spans="1:11" x14ac:dyDescent="0.25">
      <c r="A1920" t="s">
        <v>6470</v>
      </c>
      <c r="B1920" t="s">
        <v>6471</v>
      </c>
      <c r="C1920" t="s">
        <v>6472</v>
      </c>
      <c r="D1920" t="s">
        <v>6473</v>
      </c>
      <c r="E1920" t="s">
        <v>14</v>
      </c>
      <c r="F1920" t="s">
        <v>15</v>
      </c>
      <c r="G1920">
        <v>28211</v>
      </c>
      <c r="H1920" t="s">
        <v>16</v>
      </c>
      <c r="I1920">
        <v>31</v>
      </c>
      <c r="J1920">
        <v>0</v>
      </c>
      <c r="K1920" t="s">
        <v>8922</v>
      </c>
    </row>
    <row r="1921" spans="1:11" x14ac:dyDescent="0.25">
      <c r="A1921" t="s">
        <v>6474</v>
      </c>
      <c r="B1921" t="s">
        <v>6475</v>
      </c>
      <c r="C1921" t="s">
        <v>1135</v>
      </c>
      <c r="D1921" t="s">
        <v>6476</v>
      </c>
      <c r="E1921" t="s">
        <v>14</v>
      </c>
      <c r="F1921" t="s">
        <v>15</v>
      </c>
      <c r="G1921">
        <v>28262</v>
      </c>
      <c r="H1921" t="s">
        <v>21</v>
      </c>
      <c r="I1921">
        <v>66</v>
      </c>
      <c r="J1921">
        <v>1</v>
      </c>
      <c r="K1921" t="s">
        <v>8935</v>
      </c>
    </row>
    <row r="1922" spans="1:11" x14ac:dyDescent="0.25">
      <c r="A1922" t="s">
        <v>6477</v>
      </c>
      <c r="B1922" t="s">
        <v>6478</v>
      </c>
      <c r="C1922" t="s">
        <v>797</v>
      </c>
      <c r="D1922" t="s">
        <v>6479</v>
      </c>
      <c r="E1922" t="s">
        <v>14</v>
      </c>
      <c r="F1922" t="s">
        <v>15</v>
      </c>
      <c r="G1922">
        <v>28211</v>
      </c>
      <c r="H1922" t="s">
        <v>48</v>
      </c>
      <c r="I1922">
        <v>43</v>
      </c>
      <c r="J1922">
        <v>1</v>
      </c>
      <c r="K1922" t="s">
        <v>8925</v>
      </c>
    </row>
    <row r="1923" spans="1:11" x14ac:dyDescent="0.25">
      <c r="A1923" t="s">
        <v>6480</v>
      </c>
      <c r="B1923" t="s">
        <v>6481</v>
      </c>
      <c r="C1923" t="s">
        <v>6482</v>
      </c>
      <c r="D1923" t="s">
        <v>1792</v>
      </c>
      <c r="E1923" t="s">
        <v>14</v>
      </c>
      <c r="F1923" t="s">
        <v>15</v>
      </c>
      <c r="G1923">
        <v>28262</v>
      </c>
      <c r="H1923" t="s">
        <v>101</v>
      </c>
      <c r="I1923">
        <v>9</v>
      </c>
      <c r="J1923">
        <v>0</v>
      </c>
      <c r="K1923" t="s">
        <v>8926</v>
      </c>
    </row>
    <row r="1924" spans="1:11" x14ac:dyDescent="0.25">
      <c r="A1924" t="s">
        <v>6483</v>
      </c>
      <c r="B1924" t="s">
        <v>560</v>
      </c>
      <c r="C1924" t="s">
        <v>221</v>
      </c>
      <c r="D1924" t="s">
        <v>6484</v>
      </c>
      <c r="E1924" t="s">
        <v>14</v>
      </c>
      <c r="F1924" t="s">
        <v>15</v>
      </c>
      <c r="G1924">
        <v>28210</v>
      </c>
      <c r="H1924" t="s">
        <v>101</v>
      </c>
      <c r="I1924">
        <v>10</v>
      </c>
      <c r="J1924">
        <v>1</v>
      </c>
      <c r="K1924" t="s">
        <v>8935</v>
      </c>
    </row>
    <row r="1925" spans="1:11" x14ac:dyDescent="0.25">
      <c r="A1925" t="s">
        <v>6485</v>
      </c>
      <c r="B1925" t="s">
        <v>6486</v>
      </c>
      <c r="C1925" t="s">
        <v>6487</v>
      </c>
      <c r="D1925" t="s">
        <v>6488</v>
      </c>
      <c r="E1925" t="s">
        <v>14</v>
      </c>
      <c r="F1925" t="s">
        <v>15</v>
      </c>
      <c r="G1925">
        <v>28277</v>
      </c>
      <c r="H1925" t="s">
        <v>146</v>
      </c>
      <c r="I1925">
        <v>3</v>
      </c>
      <c r="J1925">
        <v>1</v>
      </c>
      <c r="K1925" t="s">
        <v>8921</v>
      </c>
    </row>
    <row r="1926" spans="1:11" x14ac:dyDescent="0.25">
      <c r="A1926" t="s">
        <v>6489</v>
      </c>
      <c r="B1926" t="s">
        <v>4652</v>
      </c>
      <c r="C1926" t="s">
        <v>6490</v>
      </c>
      <c r="D1926" t="s">
        <v>6120</v>
      </c>
      <c r="E1926" t="s">
        <v>14</v>
      </c>
      <c r="F1926" t="s">
        <v>15</v>
      </c>
      <c r="G1926">
        <v>28263</v>
      </c>
      <c r="H1926" t="s">
        <v>26</v>
      </c>
      <c r="I1926">
        <v>4</v>
      </c>
      <c r="J1926">
        <v>0</v>
      </c>
      <c r="K1926" t="s">
        <v>8936</v>
      </c>
    </row>
    <row r="1927" spans="1:11" x14ac:dyDescent="0.25">
      <c r="A1927" t="s">
        <v>6491</v>
      </c>
      <c r="B1927" t="s">
        <v>6478</v>
      </c>
      <c r="C1927" t="s">
        <v>797</v>
      </c>
      <c r="D1927" t="s">
        <v>6492</v>
      </c>
      <c r="E1927" t="s">
        <v>14</v>
      </c>
      <c r="F1927" t="s">
        <v>15</v>
      </c>
      <c r="G1927">
        <v>28203</v>
      </c>
      <c r="H1927" t="s">
        <v>26</v>
      </c>
      <c r="I1927">
        <v>108</v>
      </c>
      <c r="J1927">
        <v>1</v>
      </c>
      <c r="K1927" t="s">
        <v>8925</v>
      </c>
    </row>
    <row r="1928" spans="1:11" x14ac:dyDescent="0.25">
      <c r="A1928" t="s">
        <v>6493</v>
      </c>
      <c r="B1928" t="s">
        <v>6494</v>
      </c>
      <c r="C1928" t="s">
        <v>6495</v>
      </c>
      <c r="D1928" t="s">
        <v>6496</v>
      </c>
      <c r="E1928" t="s">
        <v>14</v>
      </c>
      <c r="F1928" t="s">
        <v>15</v>
      </c>
      <c r="G1928">
        <v>28213</v>
      </c>
      <c r="H1928" t="s">
        <v>39</v>
      </c>
      <c r="I1928">
        <v>329</v>
      </c>
      <c r="J1928">
        <v>1</v>
      </c>
      <c r="K1928" t="s">
        <v>8927</v>
      </c>
    </row>
    <row r="1929" spans="1:11" x14ac:dyDescent="0.25">
      <c r="A1929" t="s">
        <v>6497</v>
      </c>
      <c r="B1929" t="s">
        <v>6498</v>
      </c>
      <c r="C1929" t="s">
        <v>6499</v>
      </c>
      <c r="D1929" t="s">
        <v>6500</v>
      </c>
      <c r="E1929" t="s">
        <v>14</v>
      </c>
      <c r="F1929" t="s">
        <v>15</v>
      </c>
      <c r="G1929">
        <v>28209</v>
      </c>
      <c r="H1929" t="s">
        <v>16</v>
      </c>
      <c r="I1929">
        <v>107</v>
      </c>
      <c r="J1929">
        <v>0</v>
      </c>
      <c r="K1929" t="s">
        <v>8936</v>
      </c>
    </row>
    <row r="1930" spans="1:11" x14ac:dyDescent="0.25">
      <c r="A1930" t="s">
        <v>6501</v>
      </c>
      <c r="B1930" t="s">
        <v>6502</v>
      </c>
      <c r="C1930" t="s">
        <v>997</v>
      </c>
      <c r="D1930" t="s">
        <v>6503</v>
      </c>
      <c r="E1930" t="s">
        <v>14</v>
      </c>
      <c r="F1930" t="s">
        <v>15</v>
      </c>
      <c r="G1930">
        <v>28277</v>
      </c>
      <c r="H1930" t="s">
        <v>26</v>
      </c>
      <c r="I1930">
        <v>39</v>
      </c>
      <c r="J1930">
        <v>1</v>
      </c>
      <c r="K1930" t="s">
        <v>8935</v>
      </c>
    </row>
    <row r="1931" spans="1:11" x14ac:dyDescent="0.25">
      <c r="A1931" t="s">
        <v>6504</v>
      </c>
      <c r="B1931" t="s">
        <v>6505</v>
      </c>
      <c r="C1931" t="s">
        <v>3226</v>
      </c>
      <c r="D1931" t="s">
        <v>6506</v>
      </c>
      <c r="E1931" t="s">
        <v>14</v>
      </c>
      <c r="F1931" t="s">
        <v>15</v>
      </c>
      <c r="G1931">
        <v>28273</v>
      </c>
      <c r="H1931" t="s">
        <v>16</v>
      </c>
      <c r="I1931">
        <v>18</v>
      </c>
      <c r="J1931">
        <v>1</v>
      </c>
      <c r="K1931" t="s">
        <v>8935</v>
      </c>
    </row>
    <row r="1932" spans="1:11" x14ac:dyDescent="0.25">
      <c r="A1932" t="s">
        <v>6507</v>
      </c>
      <c r="B1932" t="s">
        <v>6508</v>
      </c>
      <c r="C1932" t="s">
        <v>6509</v>
      </c>
      <c r="D1932" t="s">
        <v>6510</v>
      </c>
      <c r="E1932" t="s">
        <v>14</v>
      </c>
      <c r="F1932" t="s">
        <v>15</v>
      </c>
      <c r="G1932">
        <v>28212</v>
      </c>
      <c r="H1932" t="s">
        <v>39</v>
      </c>
      <c r="I1932">
        <v>10</v>
      </c>
      <c r="J1932">
        <v>0</v>
      </c>
      <c r="K1932" t="s">
        <v>8931</v>
      </c>
    </row>
    <row r="1933" spans="1:11" x14ac:dyDescent="0.25">
      <c r="A1933" t="s">
        <v>6511</v>
      </c>
      <c r="B1933" t="s">
        <v>6512</v>
      </c>
      <c r="C1933" t="s">
        <v>6513</v>
      </c>
      <c r="D1933" t="s">
        <v>6514</v>
      </c>
      <c r="E1933" t="s">
        <v>14</v>
      </c>
      <c r="F1933" t="s">
        <v>15</v>
      </c>
      <c r="G1933">
        <v>28208</v>
      </c>
      <c r="H1933" t="s">
        <v>21</v>
      </c>
      <c r="I1933">
        <v>3</v>
      </c>
      <c r="J1933">
        <v>1</v>
      </c>
      <c r="K1933" t="s">
        <v>8926</v>
      </c>
    </row>
    <row r="1934" spans="1:11" x14ac:dyDescent="0.25">
      <c r="A1934" t="s">
        <v>6515</v>
      </c>
      <c r="B1934" t="s">
        <v>6516</v>
      </c>
      <c r="C1934" t="s">
        <v>1461</v>
      </c>
      <c r="D1934" t="s">
        <v>6517</v>
      </c>
      <c r="E1934" t="s">
        <v>14</v>
      </c>
      <c r="F1934" t="s">
        <v>15</v>
      </c>
      <c r="G1934">
        <v>28226</v>
      </c>
      <c r="H1934" t="s">
        <v>26</v>
      </c>
      <c r="I1934">
        <v>37</v>
      </c>
      <c r="J1934">
        <v>1</v>
      </c>
      <c r="K1934" t="s">
        <v>8935</v>
      </c>
    </row>
    <row r="1935" spans="1:11" x14ac:dyDescent="0.25">
      <c r="A1935" t="s">
        <v>6518</v>
      </c>
      <c r="B1935" t="s">
        <v>6519</v>
      </c>
      <c r="C1935" t="s">
        <v>6520</v>
      </c>
      <c r="D1935" t="s">
        <v>6521</v>
      </c>
      <c r="E1935" t="s">
        <v>14</v>
      </c>
      <c r="F1935" t="s">
        <v>15</v>
      </c>
      <c r="G1935">
        <v>28277</v>
      </c>
      <c r="H1935" t="s">
        <v>146</v>
      </c>
      <c r="I1935">
        <v>8</v>
      </c>
      <c r="J1935">
        <v>1</v>
      </c>
      <c r="K1935" t="s">
        <v>8935</v>
      </c>
    </row>
    <row r="1936" spans="1:11" x14ac:dyDescent="0.25">
      <c r="A1936" t="s">
        <v>6522</v>
      </c>
      <c r="B1936" t="s">
        <v>6523</v>
      </c>
      <c r="C1936" t="s">
        <v>6524</v>
      </c>
      <c r="D1936" t="s">
        <v>6525</v>
      </c>
      <c r="E1936" t="s">
        <v>14</v>
      </c>
      <c r="F1936" t="s">
        <v>15</v>
      </c>
      <c r="G1936">
        <v>28262</v>
      </c>
      <c r="H1936" t="s">
        <v>48</v>
      </c>
      <c r="I1936">
        <v>27</v>
      </c>
      <c r="J1936">
        <v>0</v>
      </c>
      <c r="K1936" t="s">
        <v>8935</v>
      </c>
    </row>
    <row r="1937" spans="1:11" x14ac:dyDescent="0.25">
      <c r="A1937" t="s">
        <v>6526</v>
      </c>
      <c r="B1937" t="s">
        <v>6527</v>
      </c>
      <c r="C1937" t="s">
        <v>4010</v>
      </c>
      <c r="D1937" t="s">
        <v>6528</v>
      </c>
      <c r="E1937" t="s">
        <v>14</v>
      </c>
      <c r="F1937" t="s">
        <v>15</v>
      </c>
      <c r="G1937">
        <v>28277</v>
      </c>
      <c r="H1937" t="s">
        <v>26</v>
      </c>
      <c r="I1937">
        <v>15</v>
      </c>
      <c r="J1937">
        <v>1</v>
      </c>
      <c r="K1937" t="s">
        <v>8925</v>
      </c>
    </row>
    <row r="1938" spans="1:11" x14ac:dyDescent="0.25">
      <c r="A1938" t="s">
        <v>6529</v>
      </c>
      <c r="B1938" t="s">
        <v>6530</v>
      </c>
      <c r="C1938" t="s">
        <v>6531</v>
      </c>
      <c r="E1938" t="s">
        <v>14</v>
      </c>
      <c r="F1938" t="s">
        <v>15</v>
      </c>
      <c r="G1938">
        <v>28216</v>
      </c>
      <c r="H1938" t="s">
        <v>39</v>
      </c>
      <c r="I1938">
        <v>15</v>
      </c>
      <c r="J1938">
        <v>0</v>
      </c>
      <c r="K1938" t="s">
        <v>8935</v>
      </c>
    </row>
    <row r="1939" spans="1:11" x14ac:dyDescent="0.25">
      <c r="A1939" t="s">
        <v>6532</v>
      </c>
      <c r="B1939" t="s">
        <v>6533</v>
      </c>
      <c r="C1939" t="s">
        <v>6534</v>
      </c>
      <c r="D1939" t="s">
        <v>6535</v>
      </c>
      <c r="E1939" t="s">
        <v>14</v>
      </c>
      <c r="F1939" t="s">
        <v>15</v>
      </c>
      <c r="G1939">
        <v>28216</v>
      </c>
      <c r="H1939" t="s">
        <v>26</v>
      </c>
      <c r="I1939">
        <v>103</v>
      </c>
      <c r="J1939">
        <v>1</v>
      </c>
      <c r="K1939" t="s">
        <v>8921</v>
      </c>
    </row>
    <row r="1940" spans="1:11" x14ac:dyDescent="0.25">
      <c r="A1940" t="s">
        <v>6536</v>
      </c>
      <c r="B1940" t="s">
        <v>6537</v>
      </c>
      <c r="C1940" t="s">
        <v>6538</v>
      </c>
      <c r="D1940" t="s">
        <v>6539</v>
      </c>
      <c r="E1940" t="s">
        <v>14</v>
      </c>
      <c r="F1940" t="s">
        <v>15</v>
      </c>
      <c r="G1940">
        <v>28202</v>
      </c>
      <c r="H1940" t="s">
        <v>16</v>
      </c>
      <c r="I1940">
        <v>454</v>
      </c>
      <c r="J1940">
        <v>1</v>
      </c>
      <c r="K1940" t="s">
        <v>8931</v>
      </c>
    </row>
    <row r="1941" spans="1:11" x14ac:dyDescent="0.25">
      <c r="A1941" t="s">
        <v>6540</v>
      </c>
      <c r="B1941" t="s">
        <v>6541</v>
      </c>
      <c r="C1941" t="s">
        <v>6542</v>
      </c>
      <c r="D1941" t="s">
        <v>3483</v>
      </c>
      <c r="E1941" t="s">
        <v>14</v>
      </c>
      <c r="F1941" t="s">
        <v>15</v>
      </c>
      <c r="G1941">
        <v>28270</v>
      </c>
      <c r="H1941" t="s">
        <v>39</v>
      </c>
      <c r="I1941">
        <v>167</v>
      </c>
      <c r="J1941">
        <v>1</v>
      </c>
      <c r="K1941" t="s">
        <v>8935</v>
      </c>
    </row>
    <row r="1942" spans="1:11" x14ac:dyDescent="0.25">
      <c r="A1942" t="s">
        <v>6543</v>
      </c>
      <c r="B1942" t="s">
        <v>6544</v>
      </c>
      <c r="C1942" t="s">
        <v>6545</v>
      </c>
      <c r="D1942" t="s">
        <v>6546</v>
      </c>
      <c r="E1942" t="s">
        <v>14</v>
      </c>
      <c r="F1942" t="s">
        <v>15</v>
      </c>
      <c r="G1942">
        <v>28217</v>
      </c>
      <c r="H1942" t="s">
        <v>21</v>
      </c>
      <c r="I1942">
        <v>138</v>
      </c>
      <c r="J1942">
        <v>1</v>
      </c>
      <c r="K1942" t="s">
        <v>8935</v>
      </c>
    </row>
    <row r="1943" spans="1:11" x14ac:dyDescent="0.25">
      <c r="A1943" t="s">
        <v>6547</v>
      </c>
      <c r="B1943" t="s">
        <v>6548</v>
      </c>
      <c r="C1943" t="s">
        <v>6549</v>
      </c>
      <c r="D1943" t="s">
        <v>5079</v>
      </c>
      <c r="E1943" t="s">
        <v>14</v>
      </c>
      <c r="F1943" t="s">
        <v>15</v>
      </c>
      <c r="G1943">
        <v>28205</v>
      </c>
      <c r="H1943" t="s">
        <v>21</v>
      </c>
      <c r="I1943">
        <v>55</v>
      </c>
      <c r="J1943">
        <v>1</v>
      </c>
      <c r="K1943" t="s">
        <v>8929</v>
      </c>
    </row>
    <row r="1944" spans="1:11" x14ac:dyDescent="0.25">
      <c r="A1944" t="s">
        <v>6550</v>
      </c>
      <c r="B1944" t="s">
        <v>6551</v>
      </c>
      <c r="C1944" t="s">
        <v>3461</v>
      </c>
      <c r="D1944" t="s">
        <v>6552</v>
      </c>
      <c r="E1944" t="s">
        <v>14</v>
      </c>
      <c r="F1944" t="s">
        <v>15</v>
      </c>
      <c r="G1944">
        <v>28277</v>
      </c>
      <c r="H1944" t="s">
        <v>26</v>
      </c>
      <c r="I1944">
        <v>32</v>
      </c>
      <c r="J1944">
        <v>1</v>
      </c>
      <c r="K1944" t="s">
        <v>8936</v>
      </c>
    </row>
    <row r="1945" spans="1:11" x14ac:dyDescent="0.25">
      <c r="A1945" t="s">
        <v>6553</v>
      </c>
      <c r="B1945" t="s">
        <v>6554</v>
      </c>
      <c r="C1945" t="s">
        <v>6555</v>
      </c>
      <c r="D1945" t="s">
        <v>6556</v>
      </c>
      <c r="E1945" t="s">
        <v>14</v>
      </c>
      <c r="F1945" t="s">
        <v>15</v>
      </c>
      <c r="G1945">
        <v>28203</v>
      </c>
      <c r="H1945" t="s">
        <v>21</v>
      </c>
      <c r="I1945">
        <v>111</v>
      </c>
      <c r="J1945">
        <v>1</v>
      </c>
      <c r="K1945" t="s">
        <v>8935</v>
      </c>
    </row>
    <row r="1946" spans="1:11" x14ac:dyDescent="0.25">
      <c r="A1946" t="s">
        <v>6557</v>
      </c>
      <c r="B1946" t="s">
        <v>6558</v>
      </c>
      <c r="C1946" t="s">
        <v>6559</v>
      </c>
      <c r="D1946" t="s">
        <v>6560</v>
      </c>
      <c r="E1946" t="s">
        <v>14</v>
      </c>
      <c r="F1946" t="s">
        <v>15</v>
      </c>
      <c r="G1946">
        <v>28205</v>
      </c>
      <c r="H1946" t="s">
        <v>16</v>
      </c>
      <c r="I1946">
        <v>219</v>
      </c>
      <c r="J1946">
        <v>1</v>
      </c>
      <c r="K1946" t="s">
        <v>8935</v>
      </c>
    </row>
    <row r="1947" spans="1:11" x14ac:dyDescent="0.25">
      <c r="A1947" t="s">
        <v>6561</v>
      </c>
      <c r="B1947" t="s">
        <v>6562</v>
      </c>
      <c r="C1947" t="s">
        <v>136</v>
      </c>
      <c r="D1947" t="s">
        <v>873</v>
      </c>
      <c r="E1947" t="s">
        <v>14</v>
      </c>
      <c r="F1947" t="s">
        <v>15</v>
      </c>
      <c r="G1947">
        <v>28205</v>
      </c>
      <c r="H1947" t="s">
        <v>16</v>
      </c>
      <c r="I1947">
        <v>151</v>
      </c>
      <c r="J1947">
        <v>1</v>
      </c>
      <c r="K1947" t="s">
        <v>8935</v>
      </c>
    </row>
    <row r="1948" spans="1:11" x14ac:dyDescent="0.25">
      <c r="A1948" t="s">
        <v>6563</v>
      </c>
      <c r="B1948" t="s">
        <v>6564</v>
      </c>
      <c r="C1948" t="s">
        <v>2544</v>
      </c>
      <c r="D1948" t="s">
        <v>6565</v>
      </c>
      <c r="E1948" t="s">
        <v>14</v>
      </c>
      <c r="F1948" t="s">
        <v>15</v>
      </c>
      <c r="G1948">
        <v>28226</v>
      </c>
      <c r="H1948" t="s">
        <v>48</v>
      </c>
      <c r="I1948">
        <v>27</v>
      </c>
      <c r="J1948">
        <v>1</v>
      </c>
      <c r="K1948" t="s">
        <v>8925</v>
      </c>
    </row>
    <row r="1949" spans="1:11" x14ac:dyDescent="0.25">
      <c r="A1949" t="s">
        <v>6566</v>
      </c>
      <c r="B1949" t="s">
        <v>454</v>
      </c>
      <c r="C1949" t="s">
        <v>6567</v>
      </c>
      <c r="D1949" t="s">
        <v>6568</v>
      </c>
      <c r="E1949" t="s">
        <v>14</v>
      </c>
      <c r="F1949" t="s">
        <v>15</v>
      </c>
      <c r="G1949">
        <v>28277</v>
      </c>
      <c r="H1949" t="s">
        <v>21</v>
      </c>
      <c r="I1949">
        <v>11</v>
      </c>
      <c r="J1949">
        <v>0</v>
      </c>
      <c r="K1949" t="s">
        <v>8921</v>
      </c>
    </row>
    <row r="1950" spans="1:11" x14ac:dyDescent="0.25">
      <c r="A1950" t="s">
        <v>6569</v>
      </c>
      <c r="B1950" t="s">
        <v>228</v>
      </c>
      <c r="C1950" t="s">
        <v>6570</v>
      </c>
      <c r="D1950" t="s">
        <v>4626</v>
      </c>
      <c r="E1950" t="s">
        <v>14</v>
      </c>
      <c r="F1950" t="s">
        <v>15</v>
      </c>
      <c r="G1950">
        <v>28202</v>
      </c>
      <c r="H1950" t="s">
        <v>21</v>
      </c>
      <c r="I1950">
        <v>36</v>
      </c>
      <c r="J1950">
        <v>0</v>
      </c>
      <c r="K1950" t="s">
        <v>8935</v>
      </c>
    </row>
    <row r="1951" spans="1:11" x14ac:dyDescent="0.25">
      <c r="A1951" t="s">
        <v>6571</v>
      </c>
      <c r="B1951" t="s">
        <v>6178</v>
      </c>
      <c r="C1951" t="s">
        <v>6572</v>
      </c>
      <c r="D1951" t="s">
        <v>6573</v>
      </c>
      <c r="E1951" t="s">
        <v>14</v>
      </c>
      <c r="F1951" t="s">
        <v>15</v>
      </c>
      <c r="G1951">
        <v>28277</v>
      </c>
      <c r="H1951" t="s">
        <v>21</v>
      </c>
      <c r="I1951">
        <v>135</v>
      </c>
      <c r="J1951">
        <v>1</v>
      </c>
      <c r="K1951" t="s">
        <v>8921</v>
      </c>
    </row>
    <row r="1952" spans="1:11" x14ac:dyDescent="0.25">
      <c r="A1952" t="s">
        <v>6574</v>
      </c>
      <c r="B1952" t="s">
        <v>6575</v>
      </c>
      <c r="C1952" t="s">
        <v>6576</v>
      </c>
      <c r="D1952" t="s">
        <v>6577</v>
      </c>
      <c r="E1952" t="s">
        <v>14</v>
      </c>
      <c r="F1952" t="s">
        <v>15</v>
      </c>
      <c r="G1952">
        <v>28277</v>
      </c>
      <c r="H1952" t="s">
        <v>16</v>
      </c>
      <c r="I1952">
        <v>25</v>
      </c>
      <c r="J1952">
        <v>1</v>
      </c>
      <c r="K1952" t="s">
        <v>8935</v>
      </c>
    </row>
    <row r="1953" spans="1:11" x14ac:dyDescent="0.25">
      <c r="A1953" t="s">
        <v>6578</v>
      </c>
      <c r="B1953" t="s">
        <v>6579</v>
      </c>
      <c r="C1953" t="s">
        <v>6580</v>
      </c>
      <c r="D1953" t="s">
        <v>6581</v>
      </c>
      <c r="E1953" t="s">
        <v>14</v>
      </c>
      <c r="F1953" t="s">
        <v>15</v>
      </c>
      <c r="G1953">
        <v>28270</v>
      </c>
      <c r="H1953" t="s">
        <v>146</v>
      </c>
      <c r="I1953">
        <v>11</v>
      </c>
      <c r="J1953">
        <v>0</v>
      </c>
      <c r="K1953" t="s">
        <v>8935</v>
      </c>
    </row>
    <row r="1954" spans="1:11" x14ac:dyDescent="0.25">
      <c r="A1954" t="s">
        <v>6582</v>
      </c>
      <c r="B1954" t="s">
        <v>6583</v>
      </c>
      <c r="C1954" t="s">
        <v>193</v>
      </c>
      <c r="D1954" t="s">
        <v>6584</v>
      </c>
      <c r="E1954" t="s">
        <v>14</v>
      </c>
      <c r="F1954" t="s">
        <v>15</v>
      </c>
      <c r="G1954">
        <v>28213</v>
      </c>
      <c r="H1954" t="s">
        <v>265</v>
      </c>
      <c r="I1954">
        <v>9</v>
      </c>
      <c r="J1954">
        <v>1</v>
      </c>
      <c r="K1954" t="s">
        <v>8935</v>
      </c>
    </row>
    <row r="1955" spans="1:11" x14ac:dyDescent="0.25">
      <c r="A1955" t="s">
        <v>6585</v>
      </c>
      <c r="B1955" t="s">
        <v>6586</v>
      </c>
      <c r="C1955" t="s">
        <v>3037</v>
      </c>
      <c r="D1955" t="s">
        <v>6587</v>
      </c>
      <c r="E1955" t="s">
        <v>14</v>
      </c>
      <c r="F1955" t="s">
        <v>15</v>
      </c>
      <c r="G1955">
        <v>28207</v>
      </c>
      <c r="H1955" t="s">
        <v>21</v>
      </c>
      <c r="I1955">
        <v>18</v>
      </c>
      <c r="J1955">
        <v>1</v>
      </c>
      <c r="K1955" t="s">
        <v>8935</v>
      </c>
    </row>
    <row r="1956" spans="1:11" x14ac:dyDescent="0.25">
      <c r="A1956" t="s">
        <v>6588</v>
      </c>
      <c r="B1956" t="s">
        <v>312</v>
      </c>
      <c r="C1956" t="s">
        <v>6589</v>
      </c>
      <c r="D1956" t="s">
        <v>6590</v>
      </c>
      <c r="E1956" t="s">
        <v>14</v>
      </c>
      <c r="F1956" t="s">
        <v>15</v>
      </c>
      <c r="G1956">
        <v>28205</v>
      </c>
      <c r="H1956" t="s">
        <v>39</v>
      </c>
      <c r="I1956">
        <v>3</v>
      </c>
      <c r="J1956">
        <v>1</v>
      </c>
      <c r="K1956" t="s">
        <v>8925</v>
      </c>
    </row>
    <row r="1957" spans="1:11" x14ac:dyDescent="0.25">
      <c r="A1957" t="s">
        <v>6591</v>
      </c>
      <c r="B1957" t="s">
        <v>6592</v>
      </c>
      <c r="C1957" t="s">
        <v>6593</v>
      </c>
      <c r="D1957" t="s">
        <v>6594</v>
      </c>
      <c r="E1957" t="s">
        <v>14</v>
      </c>
      <c r="F1957" t="s">
        <v>15</v>
      </c>
      <c r="G1957">
        <v>28284</v>
      </c>
      <c r="H1957" t="s">
        <v>21</v>
      </c>
      <c r="I1957">
        <v>264</v>
      </c>
      <c r="J1957">
        <v>1</v>
      </c>
      <c r="K1957" t="s">
        <v>8936</v>
      </c>
    </row>
    <row r="1958" spans="1:11" x14ac:dyDescent="0.25">
      <c r="A1958" t="s">
        <v>6595</v>
      </c>
      <c r="B1958" t="s">
        <v>6596</v>
      </c>
      <c r="C1958" t="s">
        <v>6597</v>
      </c>
      <c r="D1958" t="s">
        <v>80</v>
      </c>
      <c r="E1958" t="s">
        <v>14</v>
      </c>
      <c r="F1958" t="s">
        <v>15</v>
      </c>
      <c r="G1958">
        <v>28202</v>
      </c>
      <c r="H1958" t="s">
        <v>26</v>
      </c>
      <c r="I1958">
        <v>4</v>
      </c>
      <c r="J1958">
        <v>0</v>
      </c>
      <c r="K1958" t="s">
        <v>8935</v>
      </c>
    </row>
    <row r="1959" spans="1:11" x14ac:dyDescent="0.25">
      <c r="A1959" t="s">
        <v>6598</v>
      </c>
      <c r="B1959" t="s">
        <v>6599</v>
      </c>
      <c r="C1959" t="s">
        <v>6600</v>
      </c>
      <c r="D1959" t="s">
        <v>3010</v>
      </c>
      <c r="E1959" t="s">
        <v>14</v>
      </c>
      <c r="F1959" t="s">
        <v>15</v>
      </c>
      <c r="G1959">
        <v>28203</v>
      </c>
      <c r="H1959" t="s">
        <v>21</v>
      </c>
      <c r="I1959">
        <v>18</v>
      </c>
      <c r="J1959">
        <v>0</v>
      </c>
      <c r="K1959" t="s">
        <v>8935</v>
      </c>
    </row>
    <row r="1960" spans="1:11" x14ac:dyDescent="0.25">
      <c r="A1960" t="s">
        <v>6601</v>
      </c>
      <c r="B1960" t="s">
        <v>6602</v>
      </c>
      <c r="C1960" t="s">
        <v>3537</v>
      </c>
      <c r="D1960" t="s">
        <v>6603</v>
      </c>
      <c r="E1960" t="s">
        <v>14</v>
      </c>
      <c r="F1960" t="s">
        <v>15</v>
      </c>
      <c r="G1960">
        <v>28208</v>
      </c>
      <c r="H1960" t="s">
        <v>48</v>
      </c>
      <c r="I1960">
        <v>9</v>
      </c>
      <c r="J1960">
        <v>1</v>
      </c>
      <c r="K1960" t="s">
        <v>8926</v>
      </c>
    </row>
    <row r="1961" spans="1:11" x14ac:dyDescent="0.25">
      <c r="A1961" t="s">
        <v>6604</v>
      </c>
      <c r="B1961" t="s">
        <v>6605</v>
      </c>
      <c r="C1961" t="s">
        <v>6606</v>
      </c>
      <c r="D1961" t="s">
        <v>6607</v>
      </c>
      <c r="E1961" t="s">
        <v>14</v>
      </c>
      <c r="F1961" t="s">
        <v>15</v>
      </c>
      <c r="G1961">
        <v>28210</v>
      </c>
      <c r="H1961" t="s">
        <v>21</v>
      </c>
      <c r="I1961">
        <v>46</v>
      </c>
      <c r="J1961">
        <v>0</v>
      </c>
      <c r="K1961" t="s">
        <v>8937</v>
      </c>
    </row>
    <row r="1962" spans="1:11" x14ac:dyDescent="0.25">
      <c r="A1962" t="s">
        <v>6608</v>
      </c>
      <c r="B1962" t="s">
        <v>6609</v>
      </c>
      <c r="C1962" t="s">
        <v>6610</v>
      </c>
      <c r="D1962" t="s">
        <v>2110</v>
      </c>
      <c r="E1962" t="s">
        <v>14</v>
      </c>
      <c r="F1962" t="s">
        <v>15</v>
      </c>
      <c r="G1962">
        <v>28280</v>
      </c>
      <c r="H1962" t="s">
        <v>21</v>
      </c>
      <c r="I1962">
        <v>5</v>
      </c>
      <c r="J1962">
        <v>0</v>
      </c>
      <c r="K1962" t="s">
        <v>8935</v>
      </c>
    </row>
    <row r="1963" spans="1:11" x14ac:dyDescent="0.25">
      <c r="A1963" t="s">
        <v>6611</v>
      </c>
      <c r="B1963" t="s">
        <v>6612</v>
      </c>
      <c r="C1963" t="s">
        <v>6613</v>
      </c>
      <c r="D1963" t="s">
        <v>6614</v>
      </c>
      <c r="E1963" t="s">
        <v>14</v>
      </c>
      <c r="F1963" t="s">
        <v>15</v>
      </c>
      <c r="G1963">
        <v>28210</v>
      </c>
      <c r="H1963" t="s">
        <v>26</v>
      </c>
      <c r="I1963">
        <v>36</v>
      </c>
      <c r="J1963">
        <v>1</v>
      </c>
      <c r="K1963" t="s">
        <v>8935</v>
      </c>
    </row>
    <row r="1964" spans="1:11" x14ac:dyDescent="0.25">
      <c r="A1964" t="s">
        <v>6615</v>
      </c>
      <c r="B1964" t="s">
        <v>6616</v>
      </c>
      <c r="C1964" t="s">
        <v>6617</v>
      </c>
      <c r="D1964" t="s">
        <v>6618</v>
      </c>
      <c r="E1964" t="s">
        <v>14</v>
      </c>
      <c r="F1964" t="s">
        <v>15</v>
      </c>
      <c r="G1964">
        <v>28202</v>
      </c>
      <c r="H1964" t="s">
        <v>16</v>
      </c>
      <c r="I1964">
        <v>76</v>
      </c>
      <c r="J1964">
        <v>1</v>
      </c>
      <c r="K1964" t="s">
        <v>8935</v>
      </c>
    </row>
    <row r="1965" spans="1:11" x14ac:dyDescent="0.25">
      <c r="A1965" t="s">
        <v>6619</v>
      </c>
      <c r="B1965" t="s">
        <v>6620</v>
      </c>
      <c r="C1965" t="s">
        <v>6621</v>
      </c>
      <c r="D1965" t="s">
        <v>6622</v>
      </c>
      <c r="E1965" t="s">
        <v>14</v>
      </c>
      <c r="F1965" t="s">
        <v>15</v>
      </c>
      <c r="G1965">
        <v>28210</v>
      </c>
      <c r="H1965" t="s">
        <v>16</v>
      </c>
      <c r="I1965">
        <v>234</v>
      </c>
      <c r="J1965">
        <v>1</v>
      </c>
      <c r="K1965" t="s">
        <v>8935</v>
      </c>
    </row>
    <row r="1966" spans="1:11" x14ac:dyDescent="0.25">
      <c r="A1966" t="s">
        <v>6623</v>
      </c>
      <c r="B1966" t="s">
        <v>5353</v>
      </c>
      <c r="C1966" t="s">
        <v>6624</v>
      </c>
      <c r="D1966" t="s">
        <v>2211</v>
      </c>
      <c r="E1966" t="s">
        <v>14</v>
      </c>
      <c r="F1966" t="s">
        <v>15</v>
      </c>
      <c r="G1966">
        <v>28212</v>
      </c>
      <c r="H1966" t="s">
        <v>16</v>
      </c>
      <c r="I1966">
        <v>4</v>
      </c>
      <c r="J1966">
        <v>0</v>
      </c>
      <c r="K1966" t="s">
        <v>8931</v>
      </c>
    </row>
    <row r="1967" spans="1:11" x14ac:dyDescent="0.25">
      <c r="A1967" t="s">
        <v>6625</v>
      </c>
      <c r="B1967" t="s">
        <v>6626</v>
      </c>
      <c r="C1967" t="s">
        <v>6627</v>
      </c>
      <c r="D1967" t="s">
        <v>6628</v>
      </c>
      <c r="E1967" t="s">
        <v>14</v>
      </c>
      <c r="F1967" t="s">
        <v>15</v>
      </c>
      <c r="G1967">
        <v>28203</v>
      </c>
      <c r="H1967" t="s">
        <v>146</v>
      </c>
      <c r="I1967">
        <v>4</v>
      </c>
      <c r="J1967">
        <v>1</v>
      </c>
      <c r="K1967" t="s">
        <v>8921</v>
      </c>
    </row>
    <row r="1968" spans="1:11" x14ac:dyDescent="0.25">
      <c r="A1968" t="s">
        <v>6629</v>
      </c>
      <c r="B1968" t="s">
        <v>6630</v>
      </c>
      <c r="C1968" t="s">
        <v>4263</v>
      </c>
      <c r="D1968" t="s">
        <v>6631</v>
      </c>
      <c r="E1968" t="s">
        <v>14</v>
      </c>
      <c r="F1968" t="s">
        <v>15</v>
      </c>
      <c r="G1968">
        <v>28273</v>
      </c>
      <c r="H1968" t="s">
        <v>48</v>
      </c>
      <c r="I1968">
        <v>30</v>
      </c>
      <c r="J1968">
        <v>1</v>
      </c>
      <c r="K1968" t="s">
        <v>8935</v>
      </c>
    </row>
    <row r="1969" spans="1:11" x14ac:dyDescent="0.25">
      <c r="A1969" t="s">
        <v>6632</v>
      </c>
      <c r="B1969" t="s">
        <v>6633</v>
      </c>
      <c r="C1969" t="s">
        <v>6634</v>
      </c>
      <c r="D1969" t="s">
        <v>1412</v>
      </c>
      <c r="E1969" t="s">
        <v>14</v>
      </c>
      <c r="F1969" t="s">
        <v>15</v>
      </c>
      <c r="G1969">
        <v>28278</v>
      </c>
      <c r="H1969" t="s">
        <v>21</v>
      </c>
      <c r="I1969">
        <v>30</v>
      </c>
      <c r="J1969">
        <v>1</v>
      </c>
      <c r="K1969" t="s">
        <v>8922</v>
      </c>
    </row>
    <row r="1970" spans="1:11" x14ac:dyDescent="0.25">
      <c r="A1970" t="s">
        <v>6635</v>
      </c>
      <c r="B1970" t="s">
        <v>3883</v>
      </c>
      <c r="C1970" t="s">
        <v>6636</v>
      </c>
      <c r="D1970" t="s">
        <v>5679</v>
      </c>
      <c r="E1970" t="s">
        <v>14</v>
      </c>
      <c r="F1970" t="s">
        <v>15</v>
      </c>
      <c r="G1970">
        <v>28263</v>
      </c>
      <c r="H1970" t="s">
        <v>48</v>
      </c>
      <c r="I1970">
        <v>3</v>
      </c>
      <c r="J1970">
        <v>0</v>
      </c>
      <c r="K1970" t="s">
        <v>8920</v>
      </c>
    </row>
    <row r="1971" spans="1:11" x14ac:dyDescent="0.25">
      <c r="A1971" t="s">
        <v>6637</v>
      </c>
      <c r="B1971" t="s">
        <v>6638</v>
      </c>
      <c r="C1971" t="s">
        <v>6639</v>
      </c>
      <c r="D1971" t="s">
        <v>6640</v>
      </c>
      <c r="E1971" t="s">
        <v>14</v>
      </c>
      <c r="F1971" t="s">
        <v>15</v>
      </c>
      <c r="G1971">
        <v>28277</v>
      </c>
      <c r="H1971" t="s">
        <v>26</v>
      </c>
      <c r="I1971">
        <v>60</v>
      </c>
      <c r="J1971">
        <v>1</v>
      </c>
      <c r="K1971" t="s">
        <v>8935</v>
      </c>
    </row>
    <row r="1972" spans="1:11" x14ac:dyDescent="0.25">
      <c r="A1972" t="s">
        <v>6641</v>
      </c>
      <c r="B1972" t="s">
        <v>139</v>
      </c>
      <c r="C1972" t="s">
        <v>6642</v>
      </c>
      <c r="D1972" t="s">
        <v>6643</v>
      </c>
      <c r="E1972" t="s">
        <v>14</v>
      </c>
      <c r="F1972" t="s">
        <v>15</v>
      </c>
      <c r="G1972">
        <v>28227</v>
      </c>
      <c r="H1972" t="s">
        <v>26</v>
      </c>
      <c r="I1972">
        <v>22</v>
      </c>
      <c r="J1972">
        <v>1</v>
      </c>
      <c r="K1972" t="s">
        <v>8926</v>
      </c>
    </row>
    <row r="1973" spans="1:11" x14ac:dyDescent="0.25">
      <c r="A1973" t="s">
        <v>6644</v>
      </c>
      <c r="B1973" t="s">
        <v>6645</v>
      </c>
      <c r="C1973" t="s">
        <v>6646</v>
      </c>
      <c r="D1973" t="s">
        <v>6647</v>
      </c>
      <c r="E1973" t="s">
        <v>14</v>
      </c>
      <c r="F1973" t="s">
        <v>15</v>
      </c>
      <c r="G1973">
        <v>28210</v>
      </c>
      <c r="H1973" t="s">
        <v>16</v>
      </c>
      <c r="I1973">
        <v>69</v>
      </c>
      <c r="J1973">
        <v>0</v>
      </c>
      <c r="K1973" t="s">
        <v>8931</v>
      </c>
    </row>
    <row r="1974" spans="1:11" x14ac:dyDescent="0.25">
      <c r="A1974" t="s">
        <v>6648</v>
      </c>
      <c r="B1974" t="s">
        <v>6649</v>
      </c>
      <c r="C1974" t="s">
        <v>236</v>
      </c>
      <c r="D1974" t="s">
        <v>6650</v>
      </c>
      <c r="E1974" t="s">
        <v>14</v>
      </c>
      <c r="F1974" t="s">
        <v>15</v>
      </c>
      <c r="G1974">
        <v>28277</v>
      </c>
      <c r="H1974" t="s">
        <v>16</v>
      </c>
      <c r="I1974">
        <v>103</v>
      </c>
      <c r="J1974">
        <v>1</v>
      </c>
      <c r="K1974" t="s">
        <v>8935</v>
      </c>
    </row>
    <row r="1975" spans="1:11" x14ac:dyDescent="0.25">
      <c r="A1975" t="s">
        <v>6651</v>
      </c>
      <c r="B1975" t="s">
        <v>6652</v>
      </c>
      <c r="C1975" t="s">
        <v>6653</v>
      </c>
      <c r="D1975" t="s">
        <v>6654</v>
      </c>
      <c r="E1975" t="s">
        <v>14</v>
      </c>
      <c r="F1975" t="s">
        <v>15</v>
      </c>
      <c r="G1975">
        <v>28262</v>
      </c>
      <c r="H1975" t="s">
        <v>39</v>
      </c>
      <c r="I1975">
        <v>5</v>
      </c>
      <c r="J1975">
        <v>0</v>
      </c>
      <c r="K1975" t="s">
        <v>8935</v>
      </c>
    </row>
    <row r="1976" spans="1:11" x14ac:dyDescent="0.25">
      <c r="A1976" t="s">
        <v>6655</v>
      </c>
      <c r="B1976" t="s">
        <v>6656</v>
      </c>
      <c r="C1976" t="s">
        <v>4741</v>
      </c>
      <c r="D1976" t="s">
        <v>6657</v>
      </c>
      <c r="E1976" t="s">
        <v>14</v>
      </c>
      <c r="F1976" t="s">
        <v>15</v>
      </c>
      <c r="G1976">
        <v>28210</v>
      </c>
      <c r="H1976" t="s">
        <v>16</v>
      </c>
      <c r="I1976">
        <v>238</v>
      </c>
      <c r="J1976">
        <v>1</v>
      </c>
      <c r="K1976" t="s">
        <v>8923</v>
      </c>
    </row>
    <row r="1977" spans="1:11" x14ac:dyDescent="0.25">
      <c r="A1977" t="s">
        <v>6658</v>
      </c>
      <c r="B1977" t="s">
        <v>6659</v>
      </c>
      <c r="C1977" t="s">
        <v>87</v>
      </c>
      <c r="D1977" t="s">
        <v>6660</v>
      </c>
      <c r="E1977" t="s">
        <v>14</v>
      </c>
      <c r="F1977" t="s">
        <v>15</v>
      </c>
      <c r="G1977">
        <v>28202</v>
      </c>
      <c r="H1977" t="s">
        <v>101</v>
      </c>
      <c r="I1977">
        <v>6</v>
      </c>
      <c r="J1977">
        <v>1</v>
      </c>
      <c r="K1977" t="s">
        <v>8935</v>
      </c>
    </row>
    <row r="1978" spans="1:11" x14ac:dyDescent="0.25">
      <c r="A1978" t="s">
        <v>6661</v>
      </c>
      <c r="B1978" t="s">
        <v>2898</v>
      </c>
      <c r="C1978" t="s">
        <v>6662</v>
      </c>
      <c r="D1978" t="s">
        <v>6663</v>
      </c>
      <c r="E1978" t="s">
        <v>14</v>
      </c>
      <c r="F1978" t="s">
        <v>15</v>
      </c>
      <c r="G1978">
        <v>28205</v>
      </c>
      <c r="H1978" t="s">
        <v>16</v>
      </c>
      <c r="I1978">
        <v>486</v>
      </c>
      <c r="J1978">
        <v>1</v>
      </c>
      <c r="K1978" t="s">
        <v>8935</v>
      </c>
    </row>
    <row r="1979" spans="1:11" x14ac:dyDescent="0.25">
      <c r="A1979" t="s">
        <v>6664</v>
      </c>
      <c r="B1979" t="s">
        <v>6665</v>
      </c>
      <c r="C1979" t="s">
        <v>6666</v>
      </c>
      <c r="D1979" t="s">
        <v>6667</v>
      </c>
      <c r="E1979" t="s">
        <v>14</v>
      </c>
      <c r="F1979" t="s">
        <v>15</v>
      </c>
      <c r="G1979">
        <v>28202</v>
      </c>
      <c r="H1979" t="s">
        <v>21</v>
      </c>
      <c r="I1979">
        <v>15</v>
      </c>
      <c r="J1979">
        <v>0</v>
      </c>
      <c r="K1979" t="s">
        <v>8925</v>
      </c>
    </row>
    <row r="1980" spans="1:11" x14ac:dyDescent="0.25">
      <c r="A1980" t="s">
        <v>6668</v>
      </c>
      <c r="B1980" t="s">
        <v>6669</v>
      </c>
      <c r="C1980" t="s">
        <v>6670</v>
      </c>
      <c r="D1980" t="s">
        <v>6671</v>
      </c>
      <c r="E1980" t="s">
        <v>14</v>
      </c>
      <c r="F1980" t="s">
        <v>15</v>
      </c>
      <c r="G1980">
        <v>28202</v>
      </c>
      <c r="H1980" t="s">
        <v>16</v>
      </c>
      <c r="I1980">
        <v>544</v>
      </c>
      <c r="J1980">
        <v>1</v>
      </c>
      <c r="K1980" t="s">
        <v>8935</v>
      </c>
    </row>
    <row r="1981" spans="1:11" x14ac:dyDescent="0.25">
      <c r="A1981" t="s">
        <v>6672</v>
      </c>
      <c r="B1981" t="s">
        <v>6673</v>
      </c>
      <c r="C1981" t="s">
        <v>6674</v>
      </c>
      <c r="D1981" t="s">
        <v>6675</v>
      </c>
      <c r="E1981" t="s">
        <v>14</v>
      </c>
      <c r="F1981" t="s">
        <v>15</v>
      </c>
      <c r="G1981">
        <v>28217</v>
      </c>
      <c r="H1981" t="s">
        <v>21</v>
      </c>
      <c r="I1981">
        <v>22</v>
      </c>
      <c r="J1981">
        <v>0</v>
      </c>
      <c r="K1981" t="s">
        <v>8929</v>
      </c>
    </row>
    <row r="1982" spans="1:11" x14ac:dyDescent="0.25">
      <c r="A1982" t="s">
        <v>6676</v>
      </c>
      <c r="B1982" t="s">
        <v>6677</v>
      </c>
      <c r="C1982" t="s">
        <v>797</v>
      </c>
      <c r="D1982" t="s">
        <v>6678</v>
      </c>
      <c r="E1982" t="s">
        <v>14</v>
      </c>
      <c r="F1982" t="s">
        <v>15</v>
      </c>
      <c r="G1982">
        <v>28277</v>
      </c>
      <c r="H1982" t="s">
        <v>48</v>
      </c>
      <c r="I1982">
        <v>41</v>
      </c>
      <c r="J1982">
        <v>1</v>
      </c>
      <c r="K1982" t="s">
        <v>8925</v>
      </c>
    </row>
    <row r="1983" spans="1:11" x14ac:dyDescent="0.25">
      <c r="A1983" t="s">
        <v>6679</v>
      </c>
      <c r="B1983" t="s">
        <v>6680</v>
      </c>
      <c r="C1983" t="s">
        <v>6681</v>
      </c>
      <c r="D1983" t="s">
        <v>84</v>
      </c>
      <c r="E1983" t="s">
        <v>14</v>
      </c>
      <c r="F1983" t="s">
        <v>15</v>
      </c>
      <c r="G1983">
        <v>28208</v>
      </c>
      <c r="H1983" t="s">
        <v>21</v>
      </c>
      <c r="I1983">
        <v>376</v>
      </c>
      <c r="J1983">
        <v>1</v>
      </c>
      <c r="K1983" t="s">
        <v>8935</v>
      </c>
    </row>
    <row r="1984" spans="1:11" x14ac:dyDescent="0.25">
      <c r="A1984" t="s">
        <v>6682</v>
      </c>
      <c r="B1984" t="s">
        <v>6683</v>
      </c>
      <c r="C1984" t="s">
        <v>6684</v>
      </c>
      <c r="D1984" t="s">
        <v>6685</v>
      </c>
      <c r="E1984" t="s">
        <v>14</v>
      </c>
      <c r="F1984" t="s">
        <v>15</v>
      </c>
      <c r="G1984">
        <v>28209</v>
      </c>
      <c r="H1984" t="s">
        <v>21</v>
      </c>
      <c r="I1984">
        <v>42</v>
      </c>
      <c r="J1984">
        <v>0</v>
      </c>
      <c r="K1984" t="s">
        <v>8936</v>
      </c>
    </row>
    <row r="1985" spans="1:11" x14ac:dyDescent="0.25">
      <c r="A1985" t="s">
        <v>6686</v>
      </c>
      <c r="B1985" t="s">
        <v>6687</v>
      </c>
      <c r="C1985" t="s">
        <v>6688</v>
      </c>
      <c r="D1985" t="s">
        <v>6689</v>
      </c>
      <c r="E1985" t="s">
        <v>14</v>
      </c>
      <c r="F1985" t="s">
        <v>15</v>
      </c>
      <c r="G1985">
        <v>28213</v>
      </c>
      <c r="H1985" t="s">
        <v>39</v>
      </c>
      <c r="I1985">
        <v>21</v>
      </c>
      <c r="J1985">
        <v>1</v>
      </c>
      <c r="K1985" t="s">
        <v>8935</v>
      </c>
    </row>
    <row r="1986" spans="1:11" x14ac:dyDescent="0.25">
      <c r="A1986" t="s">
        <v>6690</v>
      </c>
      <c r="B1986" t="s">
        <v>6691</v>
      </c>
      <c r="C1986" t="s">
        <v>309</v>
      </c>
      <c r="D1986" t="s">
        <v>6692</v>
      </c>
      <c r="E1986" t="s">
        <v>14</v>
      </c>
      <c r="F1986" t="s">
        <v>15</v>
      </c>
      <c r="G1986">
        <v>28270</v>
      </c>
      <c r="H1986" t="s">
        <v>16</v>
      </c>
      <c r="I1986">
        <v>109</v>
      </c>
      <c r="J1986">
        <v>1</v>
      </c>
      <c r="K1986" t="s">
        <v>8935</v>
      </c>
    </row>
    <row r="1987" spans="1:11" x14ac:dyDescent="0.25">
      <c r="A1987" t="s">
        <v>6693</v>
      </c>
      <c r="B1987" t="s">
        <v>6694</v>
      </c>
      <c r="C1987" t="s">
        <v>1882</v>
      </c>
      <c r="D1987" t="s">
        <v>6695</v>
      </c>
      <c r="E1987" t="s">
        <v>14</v>
      </c>
      <c r="F1987" t="s">
        <v>15</v>
      </c>
      <c r="G1987">
        <v>28273</v>
      </c>
      <c r="H1987" t="s">
        <v>16</v>
      </c>
      <c r="I1987">
        <v>25</v>
      </c>
      <c r="J1987">
        <v>1</v>
      </c>
      <c r="K1987" t="s">
        <v>8935</v>
      </c>
    </row>
    <row r="1988" spans="1:11" x14ac:dyDescent="0.25">
      <c r="A1988" t="s">
        <v>6696</v>
      </c>
      <c r="B1988" t="s">
        <v>6697</v>
      </c>
      <c r="C1988" t="s">
        <v>6698</v>
      </c>
      <c r="D1988" t="s">
        <v>6699</v>
      </c>
      <c r="E1988" t="s">
        <v>14</v>
      </c>
      <c r="F1988" t="s">
        <v>15</v>
      </c>
      <c r="G1988">
        <v>28205</v>
      </c>
      <c r="H1988" t="s">
        <v>26</v>
      </c>
      <c r="I1988">
        <v>31</v>
      </c>
      <c r="J1988">
        <v>1</v>
      </c>
      <c r="K1988" t="s">
        <v>8935</v>
      </c>
    </row>
    <row r="1989" spans="1:11" x14ac:dyDescent="0.25">
      <c r="A1989" t="s">
        <v>6700</v>
      </c>
      <c r="B1989" t="s">
        <v>6701</v>
      </c>
      <c r="C1989" t="s">
        <v>467</v>
      </c>
      <c r="D1989" t="s">
        <v>6702</v>
      </c>
      <c r="E1989" t="s">
        <v>14</v>
      </c>
      <c r="F1989" t="s">
        <v>15</v>
      </c>
      <c r="G1989">
        <v>28216</v>
      </c>
      <c r="H1989" t="s">
        <v>26</v>
      </c>
      <c r="I1989">
        <v>8</v>
      </c>
      <c r="J1989">
        <v>1</v>
      </c>
      <c r="K1989" t="s">
        <v>8935</v>
      </c>
    </row>
    <row r="1990" spans="1:11" x14ac:dyDescent="0.25">
      <c r="A1990" t="s">
        <v>6703</v>
      </c>
      <c r="B1990" t="s">
        <v>6704</v>
      </c>
      <c r="C1990" t="s">
        <v>6705</v>
      </c>
      <c r="D1990" t="s">
        <v>6706</v>
      </c>
      <c r="E1990" t="s">
        <v>14</v>
      </c>
      <c r="F1990" t="s">
        <v>15</v>
      </c>
      <c r="G1990">
        <v>28202</v>
      </c>
      <c r="H1990" t="s">
        <v>16</v>
      </c>
      <c r="I1990">
        <v>421</v>
      </c>
      <c r="J1990">
        <v>1</v>
      </c>
      <c r="K1990" t="s">
        <v>8935</v>
      </c>
    </row>
    <row r="1991" spans="1:11" x14ac:dyDescent="0.25">
      <c r="A1991" t="s">
        <v>6707</v>
      </c>
      <c r="B1991" t="s">
        <v>6708</v>
      </c>
      <c r="C1991" t="s">
        <v>6709</v>
      </c>
      <c r="D1991" t="s">
        <v>6710</v>
      </c>
      <c r="E1991" t="s">
        <v>14</v>
      </c>
      <c r="F1991" t="s">
        <v>15</v>
      </c>
      <c r="G1991">
        <v>28211</v>
      </c>
      <c r="H1991" t="s">
        <v>21</v>
      </c>
      <c r="I1991">
        <v>31</v>
      </c>
      <c r="J1991">
        <v>0</v>
      </c>
      <c r="K1991" t="s">
        <v>8935</v>
      </c>
    </row>
    <row r="1992" spans="1:11" x14ac:dyDescent="0.25">
      <c r="A1992" t="s">
        <v>6711</v>
      </c>
      <c r="B1992" t="s">
        <v>6712</v>
      </c>
      <c r="C1992" t="s">
        <v>6713</v>
      </c>
      <c r="D1992" t="s">
        <v>6714</v>
      </c>
      <c r="E1992" t="s">
        <v>14</v>
      </c>
      <c r="F1992" t="s">
        <v>15</v>
      </c>
      <c r="G1992">
        <v>28203</v>
      </c>
      <c r="H1992" t="s">
        <v>21</v>
      </c>
      <c r="I1992">
        <v>43</v>
      </c>
      <c r="J1992">
        <v>0</v>
      </c>
      <c r="K1992" t="s">
        <v>8921</v>
      </c>
    </row>
    <row r="1993" spans="1:11" x14ac:dyDescent="0.25">
      <c r="A1993" t="s">
        <v>6715</v>
      </c>
      <c r="B1993" t="s">
        <v>741</v>
      </c>
      <c r="C1993" t="s">
        <v>87</v>
      </c>
      <c r="D1993" t="s">
        <v>6716</v>
      </c>
      <c r="E1993" t="s">
        <v>14</v>
      </c>
      <c r="F1993" t="s">
        <v>15</v>
      </c>
      <c r="G1993">
        <v>28270</v>
      </c>
      <c r="H1993" t="s">
        <v>195</v>
      </c>
      <c r="I1993">
        <v>7</v>
      </c>
      <c r="J1993">
        <v>0</v>
      </c>
      <c r="K1993" t="s">
        <v>8935</v>
      </c>
    </row>
    <row r="1994" spans="1:11" x14ac:dyDescent="0.25">
      <c r="A1994" t="s">
        <v>6717</v>
      </c>
      <c r="B1994" t="s">
        <v>4782</v>
      </c>
      <c r="C1994" t="s">
        <v>797</v>
      </c>
      <c r="D1994" t="s">
        <v>6718</v>
      </c>
      <c r="E1994" t="s">
        <v>14</v>
      </c>
      <c r="F1994" t="s">
        <v>15</v>
      </c>
      <c r="G1994">
        <v>28277</v>
      </c>
      <c r="H1994" t="s">
        <v>26</v>
      </c>
      <c r="I1994">
        <v>18</v>
      </c>
      <c r="J1994">
        <v>1</v>
      </c>
      <c r="K1994" t="s">
        <v>8925</v>
      </c>
    </row>
    <row r="1995" spans="1:11" x14ac:dyDescent="0.25">
      <c r="A1995" t="s">
        <v>6719</v>
      </c>
      <c r="B1995" t="s">
        <v>1909</v>
      </c>
      <c r="C1995" t="s">
        <v>6720</v>
      </c>
      <c r="D1995" t="s">
        <v>3713</v>
      </c>
      <c r="E1995" t="s">
        <v>14</v>
      </c>
      <c r="F1995" t="s">
        <v>15</v>
      </c>
      <c r="G1995">
        <v>28202</v>
      </c>
      <c r="H1995" t="s">
        <v>21</v>
      </c>
      <c r="I1995">
        <v>5</v>
      </c>
      <c r="J1995">
        <v>0</v>
      </c>
      <c r="K1995" t="s">
        <v>8921</v>
      </c>
    </row>
    <row r="1996" spans="1:11" x14ac:dyDescent="0.25">
      <c r="A1996" t="s">
        <v>6721</v>
      </c>
      <c r="B1996" t="s">
        <v>6722</v>
      </c>
      <c r="C1996" t="s">
        <v>6723</v>
      </c>
      <c r="D1996" t="s">
        <v>6724</v>
      </c>
      <c r="E1996" t="s">
        <v>14</v>
      </c>
      <c r="F1996" t="s">
        <v>15</v>
      </c>
      <c r="G1996">
        <v>28204</v>
      </c>
      <c r="H1996" t="s">
        <v>16</v>
      </c>
      <c r="I1996">
        <v>712</v>
      </c>
      <c r="J1996">
        <v>1</v>
      </c>
      <c r="K1996" t="s">
        <v>8935</v>
      </c>
    </row>
    <row r="1997" spans="1:11" x14ac:dyDescent="0.25">
      <c r="A1997" t="s">
        <v>6725</v>
      </c>
      <c r="B1997" t="s">
        <v>6726</v>
      </c>
      <c r="C1997" t="s">
        <v>6727</v>
      </c>
      <c r="D1997" t="s">
        <v>4419</v>
      </c>
      <c r="E1997" t="s">
        <v>14</v>
      </c>
      <c r="F1997" t="s">
        <v>15</v>
      </c>
      <c r="G1997">
        <v>28204</v>
      </c>
      <c r="H1997" t="s">
        <v>21</v>
      </c>
      <c r="I1997">
        <v>8</v>
      </c>
      <c r="J1997">
        <v>0</v>
      </c>
      <c r="K1997" t="s">
        <v>8935</v>
      </c>
    </row>
    <row r="1998" spans="1:11" x14ac:dyDescent="0.25">
      <c r="A1998" t="s">
        <v>6728</v>
      </c>
      <c r="B1998" t="s">
        <v>6729</v>
      </c>
      <c r="C1998" t="s">
        <v>6730</v>
      </c>
      <c r="D1998" t="s">
        <v>6731</v>
      </c>
      <c r="E1998" t="s">
        <v>14</v>
      </c>
      <c r="F1998" t="s">
        <v>15</v>
      </c>
      <c r="G1998">
        <v>28203</v>
      </c>
      <c r="H1998" t="s">
        <v>16</v>
      </c>
      <c r="I1998">
        <v>367</v>
      </c>
      <c r="J1998">
        <v>1</v>
      </c>
      <c r="K1998" t="s">
        <v>8923</v>
      </c>
    </row>
    <row r="1999" spans="1:11" x14ac:dyDescent="0.25">
      <c r="A1999" t="s">
        <v>6732</v>
      </c>
      <c r="B1999" t="s">
        <v>6733</v>
      </c>
      <c r="C1999" t="s">
        <v>6734</v>
      </c>
      <c r="D1999" t="s">
        <v>6735</v>
      </c>
      <c r="E1999" t="s">
        <v>14</v>
      </c>
      <c r="F1999" t="s">
        <v>15</v>
      </c>
      <c r="G1999">
        <v>28203</v>
      </c>
      <c r="H1999" t="s">
        <v>21</v>
      </c>
      <c r="I1999">
        <v>27</v>
      </c>
      <c r="J1999">
        <v>0</v>
      </c>
      <c r="K1999" t="s">
        <v>8935</v>
      </c>
    </row>
    <row r="2000" spans="1:11" x14ac:dyDescent="0.25">
      <c r="A2000" t="s">
        <v>6736</v>
      </c>
      <c r="B2000" t="s">
        <v>6737</v>
      </c>
      <c r="C2000" t="s">
        <v>1494</v>
      </c>
      <c r="D2000" t="s">
        <v>6738</v>
      </c>
      <c r="E2000" t="s">
        <v>14</v>
      </c>
      <c r="F2000" t="s">
        <v>15</v>
      </c>
      <c r="G2000">
        <v>28217</v>
      </c>
      <c r="H2000" t="s">
        <v>26</v>
      </c>
      <c r="I2000">
        <v>41</v>
      </c>
      <c r="J2000">
        <v>1</v>
      </c>
      <c r="K2000" t="s">
        <v>8935</v>
      </c>
    </row>
    <row r="2001" spans="1:11" x14ac:dyDescent="0.25">
      <c r="A2001" t="s">
        <v>6739</v>
      </c>
      <c r="B2001" t="s">
        <v>6740</v>
      </c>
      <c r="C2001" t="s">
        <v>193</v>
      </c>
      <c r="D2001" t="s">
        <v>6741</v>
      </c>
      <c r="E2001" t="s">
        <v>14</v>
      </c>
      <c r="F2001" t="s">
        <v>15</v>
      </c>
      <c r="G2001">
        <v>28212</v>
      </c>
      <c r="H2001" t="s">
        <v>101</v>
      </c>
      <c r="I2001">
        <v>15</v>
      </c>
      <c r="J2001">
        <v>1</v>
      </c>
      <c r="K2001" t="s">
        <v>8935</v>
      </c>
    </row>
    <row r="2002" spans="1:11" x14ac:dyDescent="0.25">
      <c r="A2002" t="s">
        <v>6742</v>
      </c>
      <c r="B2002" t="s">
        <v>6743</v>
      </c>
      <c r="C2002" t="s">
        <v>6744</v>
      </c>
      <c r="D2002" t="s">
        <v>846</v>
      </c>
      <c r="E2002" t="s">
        <v>14</v>
      </c>
      <c r="F2002" t="s">
        <v>15</v>
      </c>
      <c r="G2002">
        <v>28202</v>
      </c>
      <c r="H2002" t="s">
        <v>21</v>
      </c>
      <c r="I2002">
        <v>59</v>
      </c>
      <c r="J2002">
        <v>0</v>
      </c>
      <c r="K2002" t="s">
        <v>8935</v>
      </c>
    </row>
    <row r="2003" spans="1:11" x14ac:dyDescent="0.25">
      <c r="A2003" t="s">
        <v>6745</v>
      </c>
      <c r="B2003" t="s">
        <v>556</v>
      </c>
      <c r="C2003" t="s">
        <v>6746</v>
      </c>
      <c r="D2003" t="s">
        <v>6747</v>
      </c>
      <c r="E2003" t="s">
        <v>14</v>
      </c>
      <c r="F2003" t="s">
        <v>15</v>
      </c>
      <c r="G2003">
        <v>28273</v>
      </c>
      <c r="H2003" t="s">
        <v>16</v>
      </c>
      <c r="I2003">
        <v>12</v>
      </c>
      <c r="J2003">
        <v>1</v>
      </c>
      <c r="K2003" t="s">
        <v>8935</v>
      </c>
    </row>
    <row r="2004" spans="1:11" x14ac:dyDescent="0.25">
      <c r="A2004" t="s">
        <v>6748</v>
      </c>
      <c r="B2004" t="s">
        <v>11</v>
      </c>
      <c r="C2004" t="s">
        <v>6749</v>
      </c>
      <c r="D2004" t="s">
        <v>6750</v>
      </c>
      <c r="E2004" t="s">
        <v>14</v>
      </c>
      <c r="F2004" t="s">
        <v>15</v>
      </c>
      <c r="G2004">
        <v>28226</v>
      </c>
      <c r="H2004" t="s">
        <v>39</v>
      </c>
      <c r="I2004">
        <v>6</v>
      </c>
      <c r="J2004">
        <v>0</v>
      </c>
      <c r="K2004" t="s">
        <v>8920</v>
      </c>
    </row>
    <row r="2005" spans="1:11" x14ac:dyDescent="0.25">
      <c r="A2005" t="s">
        <v>6751</v>
      </c>
      <c r="B2005" t="s">
        <v>6752</v>
      </c>
      <c r="C2005" t="s">
        <v>6753</v>
      </c>
      <c r="D2005" t="s">
        <v>6754</v>
      </c>
      <c r="E2005" t="s">
        <v>14</v>
      </c>
      <c r="F2005" t="s">
        <v>15</v>
      </c>
      <c r="G2005">
        <v>28205</v>
      </c>
      <c r="H2005" t="s">
        <v>48</v>
      </c>
      <c r="I2005">
        <v>8</v>
      </c>
      <c r="J2005">
        <v>0</v>
      </c>
      <c r="K2005" t="s">
        <v>8935</v>
      </c>
    </row>
    <row r="2006" spans="1:11" x14ac:dyDescent="0.25">
      <c r="A2006" t="s">
        <v>6755</v>
      </c>
      <c r="B2006" t="s">
        <v>6756</v>
      </c>
      <c r="C2006" t="s">
        <v>6757</v>
      </c>
      <c r="D2006" t="s">
        <v>6758</v>
      </c>
      <c r="E2006" t="s">
        <v>14</v>
      </c>
      <c r="F2006" t="s">
        <v>15</v>
      </c>
      <c r="G2006">
        <v>28217</v>
      </c>
      <c r="H2006" t="s">
        <v>16</v>
      </c>
      <c r="I2006">
        <v>573</v>
      </c>
      <c r="J2006">
        <v>1</v>
      </c>
      <c r="K2006" t="s">
        <v>8935</v>
      </c>
    </row>
    <row r="2007" spans="1:11" x14ac:dyDescent="0.25">
      <c r="A2007" t="s">
        <v>6759</v>
      </c>
      <c r="B2007" t="s">
        <v>1690</v>
      </c>
      <c r="C2007" t="s">
        <v>6760</v>
      </c>
      <c r="D2007" t="s">
        <v>357</v>
      </c>
      <c r="E2007" t="s">
        <v>14</v>
      </c>
      <c r="F2007" t="s">
        <v>15</v>
      </c>
      <c r="G2007">
        <v>28202</v>
      </c>
      <c r="H2007" t="s">
        <v>21</v>
      </c>
      <c r="I2007">
        <v>80</v>
      </c>
      <c r="J2007">
        <v>0</v>
      </c>
      <c r="K2007" t="s">
        <v>8921</v>
      </c>
    </row>
    <row r="2008" spans="1:11" x14ac:dyDescent="0.25">
      <c r="A2008" t="s">
        <v>6761</v>
      </c>
      <c r="B2008" t="s">
        <v>312</v>
      </c>
      <c r="C2008" t="s">
        <v>6762</v>
      </c>
      <c r="D2008" t="s">
        <v>84</v>
      </c>
      <c r="E2008" t="s">
        <v>14</v>
      </c>
      <c r="F2008" t="s">
        <v>15</v>
      </c>
      <c r="G2008">
        <v>28208</v>
      </c>
      <c r="H2008" t="s">
        <v>48</v>
      </c>
      <c r="I2008">
        <v>64</v>
      </c>
      <c r="J2008">
        <v>1</v>
      </c>
      <c r="K2008" t="s">
        <v>8925</v>
      </c>
    </row>
    <row r="2009" spans="1:11" x14ac:dyDescent="0.25">
      <c r="A2009" t="s">
        <v>6763</v>
      </c>
      <c r="B2009" t="s">
        <v>6764</v>
      </c>
      <c r="C2009" t="s">
        <v>6765</v>
      </c>
      <c r="E2009" t="s">
        <v>14</v>
      </c>
      <c r="F2009" t="s">
        <v>15</v>
      </c>
      <c r="H2009" t="s">
        <v>26</v>
      </c>
      <c r="I2009">
        <v>4</v>
      </c>
      <c r="J2009">
        <v>1</v>
      </c>
      <c r="K2009" t="s">
        <v>8935</v>
      </c>
    </row>
    <row r="2010" spans="1:11" x14ac:dyDescent="0.25">
      <c r="A2010" t="s">
        <v>6766</v>
      </c>
      <c r="B2010" t="s">
        <v>176</v>
      </c>
      <c r="C2010" t="s">
        <v>1276</v>
      </c>
      <c r="D2010" t="s">
        <v>6767</v>
      </c>
      <c r="E2010" t="s">
        <v>14</v>
      </c>
      <c r="F2010" t="s">
        <v>15</v>
      </c>
      <c r="G2010">
        <v>28213</v>
      </c>
      <c r="H2010" t="s">
        <v>101</v>
      </c>
      <c r="I2010">
        <v>23</v>
      </c>
      <c r="J2010">
        <v>1</v>
      </c>
      <c r="K2010" t="s">
        <v>8935</v>
      </c>
    </row>
    <row r="2011" spans="1:11" x14ac:dyDescent="0.25">
      <c r="A2011" t="s">
        <v>6768</v>
      </c>
      <c r="B2011" t="s">
        <v>6769</v>
      </c>
      <c r="C2011" t="s">
        <v>6770</v>
      </c>
      <c r="D2011" t="s">
        <v>4416</v>
      </c>
      <c r="E2011" t="s">
        <v>14</v>
      </c>
      <c r="F2011" t="s">
        <v>15</v>
      </c>
      <c r="G2011">
        <v>28203</v>
      </c>
      <c r="H2011" t="s">
        <v>16</v>
      </c>
      <c r="I2011">
        <v>16</v>
      </c>
      <c r="J2011">
        <v>1</v>
      </c>
      <c r="K2011" t="s">
        <v>8935</v>
      </c>
    </row>
    <row r="2012" spans="1:11" x14ac:dyDescent="0.25">
      <c r="A2012" t="s">
        <v>6771</v>
      </c>
      <c r="B2012" t="s">
        <v>6772</v>
      </c>
      <c r="C2012" t="s">
        <v>6773</v>
      </c>
      <c r="D2012" t="s">
        <v>416</v>
      </c>
      <c r="E2012" t="s">
        <v>14</v>
      </c>
      <c r="F2012" t="s">
        <v>15</v>
      </c>
      <c r="G2012">
        <v>28277</v>
      </c>
      <c r="H2012" t="s">
        <v>16</v>
      </c>
      <c r="I2012">
        <v>53</v>
      </c>
      <c r="J2012">
        <v>1</v>
      </c>
      <c r="K2012" t="s">
        <v>8923</v>
      </c>
    </row>
    <row r="2013" spans="1:11" x14ac:dyDescent="0.25">
      <c r="A2013" t="s">
        <v>6774</v>
      </c>
      <c r="B2013" t="s">
        <v>6775</v>
      </c>
      <c r="C2013" t="s">
        <v>87</v>
      </c>
      <c r="D2013" t="s">
        <v>6776</v>
      </c>
      <c r="E2013" t="s">
        <v>14</v>
      </c>
      <c r="F2013" t="s">
        <v>15</v>
      </c>
      <c r="G2013">
        <v>28216</v>
      </c>
      <c r="H2013" t="s">
        <v>265</v>
      </c>
      <c r="I2013">
        <v>6</v>
      </c>
      <c r="J2013">
        <v>1</v>
      </c>
      <c r="K2013" t="s">
        <v>8935</v>
      </c>
    </row>
    <row r="2014" spans="1:11" x14ac:dyDescent="0.25">
      <c r="A2014" t="s">
        <v>6777</v>
      </c>
      <c r="B2014" t="s">
        <v>6778</v>
      </c>
      <c r="C2014" t="s">
        <v>6779</v>
      </c>
      <c r="D2014" t="s">
        <v>6780</v>
      </c>
      <c r="E2014" t="s">
        <v>14</v>
      </c>
      <c r="F2014" t="s">
        <v>15</v>
      </c>
      <c r="G2014">
        <v>28269</v>
      </c>
      <c r="H2014" t="s">
        <v>16</v>
      </c>
      <c r="I2014">
        <v>44</v>
      </c>
      <c r="J2014">
        <v>1</v>
      </c>
      <c r="K2014" t="s">
        <v>8935</v>
      </c>
    </row>
    <row r="2015" spans="1:11" x14ac:dyDescent="0.25">
      <c r="A2015" t="s">
        <v>6781</v>
      </c>
      <c r="B2015" t="s">
        <v>6782</v>
      </c>
      <c r="C2015" t="s">
        <v>6783</v>
      </c>
      <c r="D2015" t="s">
        <v>2110</v>
      </c>
      <c r="E2015" t="s">
        <v>14</v>
      </c>
      <c r="F2015" t="s">
        <v>15</v>
      </c>
      <c r="G2015">
        <v>28280</v>
      </c>
      <c r="H2015" t="s">
        <v>39</v>
      </c>
      <c r="I2015">
        <v>93</v>
      </c>
      <c r="J2015">
        <v>1</v>
      </c>
      <c r="K2015" t="s">
        <v>8935</v>
      </c>
    </row>
    <row r="2016" spans="1:11" x14ac:dyDescent="0.25">
      <c r="A2016" t="s">
        <v>6784</v>
      </c>
      <c r="B2016" t="s">
        <v>254</v>
      </c>
      <c r="C2016" t="s">
        <v>2082</v>
      </c>
      <c r="D2016" t="s">
        <v>6785</v>
      </c>
      <c r="E2016" t="s">
        <v>14</v>
      </c>
      <c r="F2016" t="s">
        <v>15</v>
      </c>
      <c r="G2016">
        <v>28262</v>
      </c>
      <c r="H2016" t="s">
        <v>48</v>
      </c>
      <c r="I2016">
        <v>15</v>
      </c>
      <c r="J2016">
        <v>1</v>
      </c>
      <c r="K2016" t="s">
        <v>8935</v>
      </c>
    </row>
    <row r="2017" spans="1:11" x14ac:dyDescent="0.25">
      <c r="A2017" t="s">
        <v>6786</v>
      </c>
      <c r="B2017" t="s">
        <v>691</v>
      </c>
      <c r="C2017" t="s">
        <v>6787</v>
      </c>
      <c r="D2017" t="s">
        <v>84</v>
      </c>
      <c r="E2017" t="s">
        <v>14</v>
      </c>
      <c r="F2017" t="s">
        <v>15</v>
      </c>
      <c r="G2017">
        <v>28208</v>
      </c>
      <c r="H2017" t="s">
        <v>21</v>
      </c>
      <c r="I2017">
        <v>6</v>
      </c>
      <c r="J2017">
        <v>1</v>
      </c>
      <c r="K2017" t="s">
        <v>8935</v>
      </c>
    </row>
    <row r="2018" spans="1:11" x14ac:dyDescent="0.25">
      <c r="A2018" t="s">
        <v>6788</v>
      </c>
      <c r="B2018" t="s">
        <v>6789</v>
      </c>
      <c r="C2018" t="s">
        <v>6790</v>
      </c>
      <c r="D2018" t="s">
        <v>6791</v>
      </c>
      <c r="E2018" t="s">
        <v>14</v>
      </c>
      <c r="F2018" t="s">
        <v>15</v>
      </c>
      <c r="G2018">
        <v>28227</v>
      </c>
      <c r="H2018" t="s">
        <v>39</v>
      </c>
      <c r="I2018">
        <v>21</v>
      </c>
      <c r="J2018">
        <v>1</v>
      </c>
      <c r="K2018" t="s">
        <v>8935</v>
      </c>
    </row>
    <row r="2019" spans="1:11" x14ac:dyDescent="0.25">
      <c r="A2019" t="s">
        <v>6792</v>
      </c>
      <c r="B2019" t="s">
        <v>6793</v>
      </c>
      <c r="C2019" t="s">
        <v>6794</v>
      </c>
      <c r="D2019" t="s">
        <v>6795</v>
      </c>
      <c r="E2019" t="s">
        <v>14</v>
      </c>
      <c r="F2019" t="s">
        <v>15</v>
      </c>
      <c r="G2019">
        <v>28226</v>
      </c>
      <c r="H2019" t="s">
        <v>16</v>
      </c>
      <c r="I2019">
        <v>324</v>
      </c>
      <c r="J2019">
        <v>1</v>
      </c>
      <c r="K2019" t="s">
        <v>8927</v>
      </c>
    </row>
    <row r="2020" spans="1:11" x14ac:dyDescent="0.25">
      <c r="A2020" t="s">
        <v>6796</v>
      </c>
      <c r="B2020" t="s">
        <v>6797</v>
      </c>
      <c r="C2020" t="s">
        <v>6798</v>
      </c>
      <c r="D2020" t="s">
        <v>6799</v>
      </c>
      <c r="E2020" t="s">
        <v>14</v>
      </c>
      <c r="F2020" t="s">
        <v>15</v>
      </c>
      <c r="G2020">
        <v>28269</v>
      </c>
      <c r="H2020" t="s">
        <v>16</v>
      </c>
      <c r="I2020">
        <v>84</v>
      </c>
      <c r="J2020">
        <v>1</v>
      </c>
      <c r="K2020" t="s">
        <v>8930</v>
      </c>
    </row>
    <row r="2021" spans="1:11" x14ac:dyDescent="0.25">
      <c r="A2021" t="s">
        <v>6800</v>
      </c>
      <c r="B2021" t="s">
        <v>6801</v>
      </c>
      <c r="C2021" t="s">
        <v>6802</v>
      </c>
      <c r="D2021" t="s">
        <v>6803</v>
      </c>
      <c r="E2021" t="s">
        <v>14</v>
      </c>
      <c r="F2021" t="s">
        <v>15</v>
      </c>
      <c r="G2021">
        <v>28202</v>
      </c>
      <c r="H2021" t="s">
        <v>21</v>
      </c>
      <c r="I2021">
        <v>340</v>
      </c>
      <c r="J2021">
        <v>0</v>
      </c>
      <c r="K2021" t="s">
        <v>8936</v>
      </c>
    </row>
    <row r="2022" spans="1:11" x14ac:dyDescent="0.25">
      <c r="A2022" t="s">
        <v>6804</v>
      </c>
      <c r="B2022" t="s">
        <v>6805</v>
      </c>
      <c r="C2022" t="s">
        <v>6806</v>
      </c>
      <c r="D2022" t="s">
        <v>6807</v>
      </c>
      <c r="E2022" t="s">
        <v>14</v>
      </c>
      <c r="F2022" t="s">
        <v>15</v>
      </c>
      <c r="G2022">
        <v>28202</v>
      </c>
      <c r="H2022" t="s">
        <v>26</v>
      </c>
      <c r="I2022">
        <v>83</v>
      </c>
      <c r="J2022">
        <v>1</v>
      </c>
      <c r="K2022" t="s">
        <v>8935</v>
      </c>
    </row>
    <row r="2023" spans="1:11" x14ac:dyDescent="0.25">
      <c r="A2023" t="s">
        <v>6808</v>
      </c>
      <c r="B2023" t="s">
        <v>86</v>
      </c>
      <c r="C2023" t="s">
        <v>6809</v>
      </c>
      <c r="D2023" t="s">
        <v>6810</v>
      </c>
      <c r="E2023" t="s">
        <v>14</v>
      </c>
      <c r="F2023" t="s">
        <v>15</v>
      </c>
      <c r="G2023">
        <v>28209</v>
      </c>
      <c r="H2023" t="s">
        <v>16</v>
      </c>
      <c r="I2023">
        <v>166</v>
      </c>
      <c r="J2023">
        <v>1</v>
      </c>
      <c r="K2023" t="s">
        <v>8935</v>
      </c>
    </row>
    <row r="2024" spans="1:11" x14ac:dyDescent="0.25">
      <c r="A2024" t="s">
        <v>6811</v>
      </c>
      <c r="B2024" t="s">
        <v>254</v>
      </c>
      <c r="C2024" t="s">
        <v>2082</v>
      </c>
      <c r="D2024" t="s">
        <v>6812</v>
      </c>
      <c r="E2024" t="s">
        <v>14</v>
      </c>
      <c r="F2024" t="s">
        <v>15</v>
      </c>
      <c r="G2024">
        <v>28217</v>
      </c>
      <c r="H2024" t="s">
        <v>48</v>
      </c>
      <c r="I2024">
        <v>38</v>
      </c>
      <c r="J2024">
        <v>1</v>
      </c>
      <c r="K2024" t="s">
        <v>8935</v>
      </c>
    </row>
    <row r="2025" spans="1:11" x14ac:dyDescent="0.25">
      <c r="A2025" t="s">
        <v>6813</v>
      </c>
      <c r="B2025" t="s">
        <v>6814</v>
      </c>
      <c r="C2025" t="s">
        <v>6815</v>
      </c>
      <c r="D2025" t="s">
        <v>6816</v>
      </c>
      <c r="E2025" t="s">
        <v>14</v>
      </c>
      <c r="F2025" t="s">
        <v>15</v>
      </c>
      <c r="G2025">
        <v>28208</v>
      </c>
      <c r="H2025" t="s">
        <v>21</v>
      </c>
      <c r="I2025">
        <v>81</v>
      </c>
      <c r="J2025">
        <v>1</v>
      </c>
      <c r="K2025" t="s">
        <v>8935</v>
      </c>
    </row>
    <row r="2026" spans="1:11" x14ac:dyDescent="0.25">
      <c r="A2026" t="s">
        <v>6817</v>
      </c>
      <c r="B2026" t="s">
        <v>312</v>
      </c>
      <c r="C2026" t="s">
        <v>6460</v>
      </c>
      <c r="D2026" t="s">
        <v>6818</v>
      </c>
      <c r="E2026" t="s">
        <v>14</v>
      </c>
      <c r="F2026" t="s">
        <v>15</v>
      </c>
      <c r="G2026">
        <v>28262</v>
      </c>
      <c r="H2026" t="s">
        <v>16</v>
      </c>
      <c r="I2026">
        <v>15</v>
      </c>
      <c r="J2026">
        <v>1</v>
      </c>
      <c r="K2026" t="s">
        <v>8925</v>
      </c>
    </row>
    <row r="2027" spans="1:11" x14ac:dyDescent="0.25">
      <c r="A2027" t="s">
        <v>6819</v>
      </c>
      <c r="B2027" t="s">
        <v>6820</v>
      </c>
      <c r="C2027" t="s">
        <v>1608</v>
      </c>
      <c r="D2027" t="s">
        <v>6821</v>
      </c>
      <c r="E2027" t="s">
        <v>14</v>
      </c>
      <c r="F2027" t="s">
        <v>15</v>
      </c>
      <c r="G2027">
        <v>28270</v>
      </c>
      <c r="H2027" t="s">
        <v>48</v>
      </c>
      <c r="I2027">
        <v>12</v>
      </c>
      <c r="J2027">
        <v>1</v>
      </c>
      <c r="K2027" t="s">
        <v>8921</v>
      </c>
    </row>
    <row r="2028" spans="1:11" x14ac:dyDescent="0.25">
      <c r="A2028" t="s">
        <v>6822</v>
      </c>
      <c r="B2028" t="s">
        <v>6823</v>
      </c>
      <c r="C2028" t="s">
        <v>6576</v>
      </c>
      <c r="D2028" t="s">
        <v>2049</v>
      </c>
      <c r="E2028" t="s">
        <v>14</v>
      </c>
      <c r="F2028" t="s">
        <v>15</v>
      </c>
      <c r="G2028">
        <v>28204</v>
      </c>
      <c r="H2028" t="s">
        <v>39</v>
      </c>
      <c r="I2028">
        <v>24</v>
      </c>
      <c r="J2028">
        <v>1</v>
      </c>
      <c r="K2028" t="s">
        <v>8935</v>
      </c>
    </row>
    <row r="2029" spans="1:11" x14ac:dyDescent="0.25">
      <c r="A2029" t="s">
        <v>6824</v>
      </c>
      <c r="B2029" t="s">
        <v>279</v>
      </c>
      <c r="C2029" t="s">
        <v>6825</v>
      </c>
      <c r="D2029" t="s">
        <v>6826</v>
      </c>
      <c r="E2029" t="s">
        <v>14</v>
      </c>
      <c r="F2029" t="s">
        <v>15</v>
      </c>
      <c r="G2029">
        <v>28214</v>
      </c>
      <c r="H2029" t="s">
        <v>26</v>
      </c>
      <c r="I2029">
        <v>21</v>
      </c>
      <c r="J2029">
        <v>1</v>
      </c>
      <c r="K2029" t="s">
        <v>8926</v>
      </c>
    </row>
    <row r="2030" spans="1:11" x14ac:dyDescent="0.25">
      <c r="A2030" t="s">
        <v>6827</v>
      </c>
      <c r="B2030" t="s">
        <v>6828</v>
      </c>
      <c r="C2030" t="s">
        <v>6829</v>
      </c>
      <c r="D2030" t="s">
        <v>310</v>
      </c>
      <c r="E2030" t="s">
        <v>14</v>
      </c>
      <c r="F2030" t="s">
        <v>15</v>
      </c>
      <c r="G2030">
        <v>28277</v>
      </c>
      <c r="H2030" t="s">
        <v>16</v>
      </c>
      <c r="I2030">
        <v>81</v>
      </c>
      <c r="J2030">
        <v>0</v>
      </c>
      <c r="K2030" t="s">
        <v>8935</v>
      </c>
    </row>
    <row r="2031" spans="1:11" x14ac:dyDescent="0.25">
      <c r="A2031" t="s">
        <v>6830</v>
      </c>
      <c r="B2031" t="s">
        <v>6831</v>
      </c>
      <c r="C2031" t="s">
        <v>6832</v>
      </c>
      <c r="D2031" t="s">
        <v>6833</v>
      </c>
      <c r="E2031" t="s">
        <v>14</v>
      </c>
      <c r="F2031" t="s">
        <v>15</v>
      </c>
      <c r="G2031">
        <v>28277</v>
      </c>
      <c r="H2031" t="s">
        <v>39</v>
      </c>
      <c r="I2031">
        <v>37</v>
      </c>
      <c r="J2031">
        <v>1</v>
      </c>
      <c r="K2031" t="s">
        <v>8935</v>
      </c>
    </row>
    <row r="2032" spans="1:11" x14ac:dyDescent="0.25">
      <c r="A2032" t="s">
        <v>6834</v>
      </c>
      <c r="B2032" t="s">
        <v>6835</v>
      </c>
      <c r="C2032" t="s">
        <v>1341</v>
      </c>
      <c r="D2032" t="s">
        <v>6836</v>
      </c>
      <c r="E2032" t="s">
        <v>14</v>
      </c>
      <c r="F2032" t="s">
        <v>15</v>
      </c>
      <c r="G2032">
        <v>28209</v>
      </c>
      <c r="H2032" t="s">
        <v>16</v>
      </c>
      <c r="I2032">
        <v>60</v>
      </c>
      <c r="J2032">
        <v>1</v>
      </c>
      <c r="K2032" t="s">
        <v>8935</v>
      </c>
    </row>
    <row r="2033" spans="1:11" x14ac:dyDescent="0.25">
      <c r="A2033" t="s">
        <v>6837</v>
      </c>
      <c r="B2033" t="s">
        <v>254</v>
      </c>
      <c r="C2033" t="s">
        <v>622</v>
      </c>
      <c r="D2033" t="s">
        <v>6838</v>
      </c>
      <c r="E2033" t="s">
        <v>14</v>
      </c>
      <c r="F2033" t="s">
        <v>15</v>
      </c>
      <c r="G2033">
        <v>28211</v>
      </c>
      <c r="H2033" t="s">
        <v>101</v>
      </c>
      <c r="I2033">
        <v>17</v>
      </c>
      <c r="J2033">
        <v>0</v>
      </c>
      <c r="K2033" t="s">
        <v>8935</v>
      </c>
    </row>
    <row r="2034" spans="1:11" x14ac:dyDescent="0.25">
      <c r="A2034" t="s">
        <v>6839</v>
      </c>
      <c r="B2034" t="s">
        <v>6840</v>
      </c>
      <c r="C2034" t="s">
        <v>6698</v>
      </c>
      <c r="D2034" t="s">
        <v>6841</v>
      </c>
      <c r="E2034" t="s">
        <v>14</v>
      </c>
      <c r="F2034" t="s">
        <v>15</v>
      </c>
      <c r="G2034">
        <v>28208</v>
      </c>
      <c r="H2034" t="s">
        <v>16</v>
      </c>
      <c r="I2034">
        <v>16</v>
      </c>
      <c r="J2034">
        <v>1</v>
      </c>
      <c r="K2034" t="s">
        <v>8935</v>
      </c>
    </row>
    <row r="2035" spans="1:11" x14ac:dyDescent="0.25">
      <c r="A2035" t="s">
        <v>6842</v>
      </c>
      <c r="B2035" t="s">
        <v>1762</v>
      </c>
      <c r="C2035" t="s">
        <v>735</v>
      </c>
      <c r="D2035" t="s">
        <v>6843</v>
      </c>
      <c r="E2035" t="s">
        <v>14</v>
      </c>
      <c r="F2035" t="s">
        <v>15</v>
      </c>
      <c r="G2035">
        <v>28269</v>
      </c>
      <c r="H2035" t="s">
        <v>48</v>
      </c>
      <c r="I2035">
        <v>45</v>
      </c>
      <c r="J2035">
        <v>1</v>
      </c>
      <c r="K2035" t="s">
        <v>8935</v>
      </c>
    </row>
    <row r="2036" spans="1:11" x14ac:dyDescent="0.25">
      <c r="A2036" t="s">
        <v>6844</v>
      </c>
      <c r="B2036" t="s">
        <v>6845</v>
      </c>
      <c r="C2036" t="s">
        <v>1608</v>
      </c>
      <c r="D2036" t="s">
        <v>6846</v>
      </c>
      <c r="E2036" t="s">
        <v>14</v>
      </c>
      <c r="F2036" t="s">
        <v>15</v>
      </c>
      <c r="G2036">
        <v>28213</v>
      </c>
      <c r="H2036" t="s">
        <v>195</v>
      </c>
      <c r="I2036">
        <v>28</v>
      </c>
      <c r="J2036">
        <v>1</v>
      </c>
      <c r="K2036" t="s">
        <v>8921</v>
      </c>
    </row>
    <row r="2037" spans="1:11" x14ac:dyDescent="0.25">
      <c r="A2037" t="s">
        <v>6847</v>
      </c>
      <c r="B2037" t="s">
        <v>6848</v>
      </c>
      <c r="C2037" t="s">
        <v>6849</v>
      </c>
      <c r="D2037" t="s">
        <v>6850</v>
      </c>
      <c r="E2037" t="s">
        <v>14</v>
      </c>
      <c r="F2037" t="s">
        <v>15</v>
      </c>
      <c r="G2037">
        <v>28277</v>
      </c>
      <c r="H2037" t="s">
        <v>26</v>
      </c>
      <c r="I2037">
        <v>16</v>
      </c>
      <c r="J2037">
        <v>0</v>
      </c>
      <c r="K2037" t="s">
        <v>8920</v>
      </c>
    </row>
    <row r="2038" spans="1:11" x14ac:dyDescent="0.25">
      <c r="A2038" t="s">
        <v>6851</v>
      </c>
      <c r="B2038" t="s">
        <v>6852</v>
      </c>
      <c r="C2038" t="s">
        <v>6853</v>
      </c>
      <c r="D2038" t="s">
        <v>2173</v>
      </c>
      <c r="E2038" t="s">
        <v>14</v>
      </c>
      <c r="F2038" t="s">
        <v>15</v>
      </c>
      <c r="G2038">
        <v>28211</v>
      </c>
      <c r="H2038" t="s">
        <v>16</v>
      </c>
      <c r="I2038">
        <v>308</v>
      </c>
      <c r="J2038">
        <v>1</v>
      </c>
      <c r="K2038" t="s">
        <v>8935</v>
      </c>
    </row>
    <row r="2039" spans="1:11" x14ac:dyDescent="0.25">
      <c r="A2039" t="s">
        <v>6854</v>
      </c>
      <c r="B2039" t="s">
        <v>6855</v>
      </c>
      <c r="C2039" t="s">
        <v>193</v>
      </c>
      <c r="D2039" t="s">
        <v>6856</v>
      </c>
      <c r="E2039" t="s">
        <v>14</v>
      </c>
      <c r="F2039" t="s">
        <v>15</v>
      </c>
      <c r="G2039">
        <v>28226</v>
      </c>
      <c r="H2039" t="s">
        <v>195</v>
      </c>
      <c r="I2039">
        <v>35</v>
      </c>
      <c r="J2039">
        <v>1</v>
      </c>
      <c r="K2039" t="s">
        <v>8935</v>
      </c>
    </row>
    <row r="2040" spans="1:11" x14ac:dyDescent="0.25">
      <c r="A2040" t="s">
        <v>6857</v>
      </c>
      <c r="B2040" t="s">
        <v>279</v>
      </c>
      <c r="C2040" t="s">
        <v>1892</v>
      </c>
      <c r="D2040" t="s">
        <v>6858</v>
      </c>
      <c r="E2040" t="s">
        <v>14</v>
      </c>
      <c r="F2040" t="s">
        <v>15</v>
      </c>
      <c r="G2040">
        <v>28215</v>
      </c>
      <c r="H2040" t="s">
        <v>48</v>
      </c>
      <c r="I2040">
        <v>3</v>
      </c>
      <c r="J2040">
        <v>0</v>
      </c>
      <c r="K2040" t="s">
        <v>8926</v>
      </c>
    </row>
    <row r="2041" spans="1:11" x14ac:dyDescent="0.25">
      <c r="A2041" t="s">
        <v>6859</v>
      </c>
      <c r="B2041" t="s">
        <v>6860</v>
      </c>
      <c r="C2041" t="s">
        <v>1094</v>
      </c>
      <c r="D2041" t="s">
        <v>6861</v>
      </c>
      <c r="E2041" t="s">
        <v>14</v>
      </c>
      <c r="F2041" t="s">
        <v>15</v>
      </c>
      <c r="G2041">
        <v>28203</v>
      </c>
      <c r="H2041" t="s">
        <v>48</v>
      </c>
      <c r="I2041">
        <v>27</v>
      </c>
      <c r="J2041">
        <v>1</v>
      </c>
      <c r="K2041" t="s">
        <v>8925</v>
      </c>
    </row>
    <row r="2042" spans="1:11" x14ac:dyDescent="0.25">
      <c r="A2042" t="s">
        <v>6862</v>
      </c>
      <c r="B2042" t="s">
        <v>220</v>
      </c>
      <c r="C2042" t="s">
        <v>411</v>
      </c>
      <c r="D2042" t="s">
        <v>6863</v>
      </c>
      <c r="E2042" t="s">
        <v>14</v>
      </c>
      <c r="F2042" t="s">
        <v>15</v>
      </c>
      <c r="G2042">
        <v>28262</v>
      </c>
      <c r="H2042" t="s">
        <v>39</v>
      </c>
      <c r="I2042">
        <v>8</v>
      </c>
      <c r="J2042">
        <v>1</v>
      </c>
      <c r="K2042" t="s">
        <v>8935</v>
      </c>
    </row>
    <row r="2043" spans="1:11" x14ac:dyDescent="0.25">
      <c r="A2043" t="s">
        <v>6864</v>
      </c>
      <c r="B2043" t="s">
        <v>6865</v>
      </c>
      <c r="C2043" t="s">
        <v>1574</v>
      </c>
      <c r="D2043" t="s">
        <v>6866</v>
      </c>
      <c r="E2043" t="s">
        <v>14</v>
      </c>
      <c r="F2043" t="s">
        <v>15</v>
      </c>
      <c r="G2043">
        <v>28209</v>
      </c>
      <c r="H2043" t="s">
        <v>16</v>
      </c>
      <c r="I2043">
        <v>271</v>
      </c>
      <c r="J2043">
        <v>1</v>
      </c>
      <c r="K2043" t="s">
        <v>8935</v>
      </c>
    </row>
    <row r="2044" spans="1:11" x14ac:dyDescent="0.25">
      <c r="A2044" t="s">
        <v>6867</v>
      </c>
      <c r="B2044" t="s">
        <v>6868</v>
      </c>
      <c r="C2044" t="s">
        <v>6869</v>
      </c>
      <c r="D2044" t="s">
        <v>6870</v>
      </c>
      <c r="E2044" t="s">
        <v>14</v>
      </c>
      <c r="F2044" t="s">
        <v>15</v>
      </c>
      <c r="G2044">
        <v>28217</v>
      </c>
      <c r="H2044" t="s">
        <v>16</v>
      </c>
      <c r="I2044">
        <v>28</v>
      </c>
      <c r="J2044">
        <v>1</v>
      </c>
      <c r="K2044" t="s">
        <v>8931</v>
      </c>
    </row>
    <row r="2045" spans="1:11" x14ac:dyDescent="0.25">
      <c r="A2045" t="s">
        <v>6871</v>
      </c>
      <c r="B2045" t="s">
        <v>86</v>
      </c>
      <c r="C2045" t="s">
        <v>87</v>
      </c>
      <c r="D2045" t="s">
        <v>6872</v>
      </c>
      <c r="E2045" t="s">
        <v>14</v>
      </c>
      <c r="F2045" t="s">
        <v>15</v>
      </c>
      <c r="G2045">
        <v>28209</v>
      </c>
      <c r="H2045" t="s">
        <v>48</v>
      </c>
      <c r="I2045">
        <v>9</v>
      </c>
      <c r="J2045">
        <v>1</v>
      </c>
      <c r="K2045" t="s">
        <v>8935</v>
      </c>
    </row>
    <row r="2046" spans="1:11" x14ac:dyDescent="0.25">
      <c r="A2046" t="s">
        <v>6873</v>
      </c>
      <c r="B2046" t="s">
        <v>3595</v>
      </c>
      <c r="C2046" t="s">
        <v>3226</v>
      </c>
      <c r="D2046" t="s">
        <v>6874</v>
      </c>
      <c r="E2046" t="s">
        <v>14</v>
      </c>
      <c r="F2046" t="s">
        <v>15</v>
      </c>
      <c r="G2046">
        <v>28262</v>
      </c>
      <c r="H2046" t="s">
        <v>21</v>
      </c>
      <c r="I2046">
        <v>15</v>
      </c>
      <c r="J2046">
        <v>1</v>
      </c>
      <c r="K2046" t="s">
        <v>8935</v>
      </c>
    </row>
    <row r="2047" spans="1:11" x14ac:dyDescent="0.25">
      <c r="A2047" t="s">
        <v>6875</v>
      </c>
      <c r="B2047" t="s">
        <v>6876</v>
      </c>
      <c r="C2047" t="s">
        <v>6877</v>
      </c>
      <c r="D2047" t="s">
        <v>6878</v>
      </c>
      <c r="E2047" t="s">
        <v>14</v>
      </c>
      <c r="F2047" t="s">
        <v>15</v>
      </c>
      <c r="G2047">
        <v>28277</v>
      </c>
      <c r="H2047" t="s">
        <v>16</v>
      </c>
      <c r="I2047">
        <v>37</v>
      </c>
      <c r="J2047">
        <v>1</v>
      </c>
      <c r="K2047" t="s">
        <v>8935</v>
      </c>
    </row>
    <row r="2048" spans="1:11" x14ac:dyDescent="0.25">
      <c r="A2048" t="s">
        <v>6879</v>
      </c>
      <c r="B2048" t="s">
        <v>6880</v>
      </c>
      <c r="C2048" t="s">
        <v>6881</v>
      </c>
      <c r="D2048" t="s">
        <v>6882</v>
      </c>
      <c r="E2048" t="s">
        <v>14</v>
      </c>
      <c r="F2048" t="s">
        <v>15</v>
      </c>
      <c r="G2048">
        <v>28277</v>
      </c>
      <c r="H2048" t="s">
        <v>16</v>
      </c>
      <c r="I2048">
        <v>70</v>
      </c>
      <c r="J2048">
        <v>1</v>
      </c>
      <c r="K2048" t="s">
        <v>8925</v>
      </c>
    </row>
    <row r="2049" spans="1:11" x14ac:dyDescent="0.25">
      <c r="A2049" t="s">
        <v>6883</v>
      </c>
      <c r="B2049" t="s">
        <v>6884</v>
      </c>
      <c r="C2049" t="s">
        <v>6885</v>
      </c>
      <c r="D2049" t="s">
        <v>6209</v>
      </c>
      <c r="E2049" t="s">
        <v>14</v>
      </c>
      <c r="F2049" t="s">
        <v>15</v>
      </c>
      <c r="G2049">
        <v>28209</v>
      </c>
      <c r="H2049" t="s">
        <v>26</v>
      </c>
      <c r="I2049">
        <v>22</v>
      </c>
      <c r="J2049">
        <v>0</v>
      </c>
      <c r="K2049" t="s">
        <v>8935</v>
      </c>
    </row>
    <row r="2050" spans="1:11" x14ac:dyDescent="0.25">
      <c r="A2050" t="s">
        <v>6886</v>
      </c>
      <c r="B2050" t="s">
        <v>1909</v>
      </c>
      <c r="C2050" t="s">
        <v>6887</v>
      </c>
      <c r="D2050" t="s">
        <v>1870</v>
      </c>
      <c r="E2050" t="s">
        <v>14</v>
      </c>
      <c r="F2050" t="s">
        <v>15</v>
      </c>
      <c r="G2050">
        <v>28204</v>
      </c>
      <c r="H2050" t="s">
        <v>16</v>
      </c>
      <c r="I2050">
        <v>51</v>
      </c>
      <c r="J2050">
        <v>0</v>
      </c>
      <c r="K2050" t="s">
        <v>8921</v>
      </c>
    </row>
    <row r="2051" spans="1:11" x14ac:dyDescent="0.25">
      <c r="A2051" t="s">
        <v>6888</v>
      </c>
      <c r="B2051" t="s">
        <v>1746</v>
      </c>
      <c r="C2051" t="s">
        <v>6889</v>
      </c>
      <c r="D2051" t="s">
        <v>6890</v>
      </c>
      <c r="E2051" t="s">
        <v>14</v>
      </c>
      <c r="F2051" t="s">
        <v>15</v>
      </c>
      <c r="G2051">
        <v>28277</v>
      </c>
      <c r="H2051" t="s">
        <v>16</v>
      </c>
      <c r="I2051">
        <v>102</v>
      </c>
      <c r="J2051">
        <v>1</v>
      </c>
      <c r="K2051" t="s">
        <v>8935</v>
      </c>
    </row>
    <row r="2052" spans="1:11" x14ac:dyDescent="0.25">
      <c r="A2052" t="s">
        <v>6891</v>
      </c>
      <c r="B2052" t="s">
        <v>3225</v>
      </c>
      <c r="C2052" t="s">
        <v>1683</v>
      </c>
      <c r="D2052" t="s">
        <v>6892</v>
      </c>
      <c r="E2052" t="s">
        <v>14</v>
      </c>
      <c r="F2052" t="s">
        <v>15</v>
      </c>
      <c r="G2052">
        <v>28270</v>
      </c>
      <c r="H2052" t="s">
        <v>26</v>
      </c>
      <c r="I2052">
        <v>3</v>
      </c>
      <c r="J2052">
        <v>0</v>
      </c>
      <c r="K2052" t="s">
        <v>8935</v>
      </c>
    </row>
    <row r="2053" spans="1:11" x14ac:dyDescent="0.25">
      <c r="A2053" t="s">
        <v>6893</v>
      </c>
      <c r="B2053" t="s">
        <v>6894</v>
      </c>
      <c r="C2053" t="s">
        <v>723</v>
      </c>
      <c r="D2053" t="s">
        <v>6895</v>
      </c>
      <c r="E2053" t="s">
        <v>14</v>
      </c>
      <c r="F2053" t="s">
        <v>15</v>
      </c>
      <c r="G2053">
        <v>28217</v>
      </c>
      <c r="H2053" t="s">
        <v>26</v>
      </c>
      <c r="I2053">
        <v>16</v>
      </c>
      <c r="J2053">
        <v>1</v>
      </c>
      <c r="K2053" t="s">
        <v>8935</v>
      </c>
    </row>
    <row r="2054" spans="1:11" x14ac:dyDescent="0.25">
      <c r="A2054" t="s">
        <v>6896</v>
      </c>
      <c r="B2054" t="s">
        <v>254</v>
      </c>
      <c r="C2054" t="s">
        <v>255</v>
      </c>
      <c r="D2054" t="s">
        <v>6897</v>
      </c>
      <c r="E2054" t="s">
        <v>14</v>
      </c>
      <c r="F2054" t="s">
        <v>15</v>
      </c>
      <c r="G2054">
        <v>28262</v>
      </c>
      <c r="H2054" t="s">
        <v>26</v>
      </c>
      <c r="I2054">
        <v>22</v>
      </c>
      <c r="J2054">
        <v>1</v>
      </c>
      <c r="K2054" t="s">
        <v>8935</v>
      </c>
    </row>
    <row r="2055" spans="1:11" x14ac:dyDescent="0.25">
      <c r="A2055" t="s">
        <v>6898</v>
      </c>
      <c r="B2055" t="s">
        <v>6899</v>
      </c>
      <c r="C2055" t="s">
        <v>6900</v>
      </c>
      <c r="D2055" t="s">
        <v>6901</v>
      </c>
      <c r="E2055" t="s">
        <v>14</v>
      </c>
      <c r="F2055" t="s">
        <v>15</v>
      </c>
      <c r="G2055">
        <v>28262</v>
      </c>
      <c r="H2055" t="s">
        <v>101</v>
      </c>
      <c r="I2055">
        <v>34</v>
      </c>
      <c r="J2055">
        <v>0</v>
      </c>
      <c r="K2055" t="s">
        <v>8935</v>
      </c>
    </row>
    <row r="2056" spans="1:11" x14ac:dyDescent="0.25">
      <c r="A2056" t="s">
        <v>6902</v>
      </c>
      <c r="B2056" t="s">
        <v>6903</v>
      </c>
      <c r="C2056" t="s">
        <v>6904</v>
      </c>
      <c r="D2056" t="s">
        <v>6905</v>
      </c>
      <c r="E2056" t="s">
        <v>14</v>
      </c>
      <c r="F2056" t="s">
        <v>15</v>
      </c>
      <c r="G2056">
        <v>28278</v>
      </c>
      <c r="H2056" t="s">
        <v>39</v>
      </c>
      <c r="I2056">
        <v>31</v>
      </c>
      <c r="J2056">
        <v>1</v>
      </c>
      <c r="K2056" t="s">
        <v>8920</v>
      </c>
    </row>
    <row r="2057" spans="1:11" x14ac:dyDescent="0.25">
      <c r="A2057" t="s">
        <v>6906</v>
      </c>
      <c r="B2057" t="s">
        <v>6907</v>
      </c>
      <c r="C2057" t="s">
        <v>3398</v>
      </c>
      <c r="D2057" t="s">
        <v>6908</v>
      </c>
      <c r="E2057" t="s">
        <v>14</v>
      </c>
      <c r="F2057" t="s">
        <v>15</v>
      </c>
      <c r="G2057">
        <v>28205</v>
      </c>
      <c r="H2057" t="s">
        <v>26</v>
      </c>
      <c r="I2057">
        <v>54</v>
      </c>
      <c r="J2057">
        <v>1</v>
      </c>
      <c r="K2057" t="s">
        <v>8935</v>
      </c>
    </row>
    <row r="2058" spans="1:11" x14ac:dyDescent="0.25">
      <c r="A2058" t="s">
        <v>6909</v>
      </c>
      <c r="B2058" t="s">
        <v>6910</v>
      </c>
      <c r="C2058" t="s">
        <v>6911</v>
      </c>
      <c r="D2058" t="s">
        <v>2557</v>
      </c>
      <c r="E2058" t="s">
        <v>14</v>
      </c>
      <c r="F2058" t="s">
        <v>15</v>
      </c>
      <c r="G2058">
        <v>28202</v>
      </c>
      <c r="H2058" t="s">
        <v>26</v>
      </c>
      <c r="I2058">
        <v>6</v>
      </c>
      <c r="J2058">
        <v>1</v>
      </c>
      <c r="K2058" t="s">
        <v>8935</v>
      </c>
    </row>
    <row r="2059" spans="1:11" x14ac:dyDescent="0.25">
      <c r="A2059" t="s">
        <v>6912</v>
      </c>
      <c r="B2059" t="s">
        <v>359</v>
      </c>
      <c r="C2059" t="s">
        <v>6913</v>
      </c>
      <c r="D2059" t="s">
        <v>1883</v>
      </c>
      <c r="E2059" t="s">
        <v>14</v>
      </c>
      <c r="F2059" t="s">
        <v>15</v>
      </c>
      <c r="G2059">
        <v>28277</v>
      </c>
      <c r="H2059" t="s">
        <v>26</v>
      </c>
      <c r="I2059">
        <v>11</v>
      </c>
      <c r="J2059">
        <v>1</v>
      </c>
      <c r="K2059" t="s">
        <v>8935</v>
      </c>
    </row>
    <row r="2060" spans="1:11" x14ac:dyDescent="0.25">
      <c r="A2060" t="s">
        <v>6914</v>
      </c>
      <c r="B2060" t="s">
        <v>6915</v>
      </c>
      <c r="C2060" t="s">
        <v>6916</v>
      </c>
      <c r="D2060" t="s">
        <v>6917</v>
      </c>
      <c r="E2060" t="s">
        <v>14</v>
      </c>
      <c r="F2060" t="s">
        <v>15</v>
      </c>
      <c r="G2060">
        <v>28226</v>
      </c>
      <c r="H2060" t="s">
        <v>21</v>
      </c>
      <c r="I2060">
        <v>14</v>
      </c>
      <c r="J2060">
        <v>0</v>
      </c>
      <c r="K2060" t="s">
        <v>8923</v>
      </c>
    </row>
    <row r="2061" spans="1:11" x14ac:dyDescent="0.25">
      <c r="A2061" t="s">
        <v>6918</v>
      </c>
      <c r="B2061" t="s">
        <v>6919</v>
      </c>
      <c r="C2061" t="s">
        <v>6920</v>
      </c>
      <c r="D2061" t="s">
        <v>6921</v>
      </c>
      <c r="E2061" t="s">
        <v>14</v>
      </c>
      <c r="F2061" t="s">
        <v>15</v>
      </c>
      <c r="G2061">
        <v>28262</v>
      </c>
      <c r="H2061" t="s">
        <v>39</v>
      </c>
      <c r="I2061">
        <v>204</v>
      </c>
      <c r="J2061">
        <v>1</v>
      </c>
      <c r="K2061" t="s">
        <v>8927</v>
      </c>
    </row>
    <row r="2062" spans="1:11" x14ac:dyDescent="0.25">
      <c r="A2062" t="s">
        <v>6922</v>
      </c>
      <c r="B2062" t="s">
        <v>500</v>
      </c>
      <c r="C2062" t="s">
        <v>6923</v>
      </c>
      <c r="D2062" t="s">
        <v>6924</v>
      </c>
      <c r="E2062" t="s">
        <v>14</v>
      </c>
      <c r="F2062" t="s">
        <v>15</v>
      </c>
      <c r="G2062">
        <v>28277</v>
      </c>
      <c r="H2062" t="s">
        <v>26</v>
      </c>
      <c r="I2062">
        <v>70</v>
      </c>
      <c r="J2062">
        <v>1</v>
      </c>
      <c r="K2062" t="s">
        <v>8923</v>
      </c>
    </row>
    <row r="2063" spans="1:11" x14ac:dyDescent="0.25">
      <c r="A2063" t="s">
        <v>6925</v>
      </c>
      <c r="B2063" t="s">
        <v>1161</v>
      </c>
      <c r="C2063" t="s">
        <v>87</v>
      </c>
      <c r="D2063" t="s">
        <v>84</v>
      </c>
      <c r="E2063" t="s">
        <v>14</v>
      </c>
      <c r="F2063" t="s">
        <v>15</v>
      </c>
      <c r="G2063">
        <v>28208</v>
      </c>
      <c r="H2063" t="s">
        <v>101</v>
      </c>
      <c r="I2063">
        <v>50</v>
      </c>
      <c r="J2063">
        <v>1</v>
      </c>
      <c r="K2063" t="s">
        <v>8935</v>
      </c>
    </row>
    <row r="2064" spans="1:11" x14ac:dyDescent="0.25">
      <c r="A2064" t="s">
        <v>6926</v>
      </c>
      <c r="B2064" t="s">
        <v>6927</v>
      </c>
      <c r="C2064" t="s">
        <v>6928</v>
      </c>
      <c r="D2064" t="s">
        <v>6929</v>
      </c>
      <c r="E2064" t="s">
        <v>14</v>
      </c>
      <c r="F2064" t="s">
        <v>15</v>
      </c>
      <c r="G2064">
        <v>28277</v>
      </c>
      <c r="H2064" t="s">
        <v>21</v>
      </c>
      <c r="I2064">
        <v>31</v>
      </c>
      <c r="J2064">
        <v>1</v>
      </c>
      <c r="K2064" t="s">
        <v>8921</v>
      </c>
    </row>
    <row r="2065" spans="1:11" x14ac:dyDescent="0.25">
      <c r="A2065" t="s">
        <v>6930</v>
      </c>
      <c r="B2065" t="s">
        <v>6931</v>
      </c>
      <c r="C2065" t="s">
        <v>1020</v>
      </c>
      <c r="D2065" t="s">
        <v>6932</v>
      </c>
      <c r="E2065" t="s">
        <v>14</v>
      </c>
      <c r="F2065" t="s">
        <v>15</v>
      </c>
      <c r="G2065">
        <v>28205</v>
      </c>
      <c r="H2065" t="s">
        <v>48</v>
      </c>
      <c r="I2065">
        <v>4</v>
      </c>
      <c r="J2065">
        <v>1</v>
      </c>
      <c r="K2065" t="s">
        <v>8935</v>
      </c>
    </row>
    <row r="2066" spans="1:11" x14ac:dyDescent="0.25">
      <c r="A2066" t="s">
        <v>6933</v>
      </c>
      <c r="B2066" t="s">
        <v>275</v>
      </c>
      <c r="C2066" t="s">
        <v>210</v>
      </c>
      <c r="D2066" t="s">
        <v>3276</v>
      </c>
      <c r="E2066" t="s">
        <v>14</v>
      </c>
      <c r="F2066" t="s">
        <v>15</v>
      </c>
      <c r="G2066">
        <v>28277</v>
      </c>
      <c r="H2066" t="s">
        <v>21</v>
      </c>
      <c r="I2066">
        <v>45</v>
      </c>
      <c r="J2066">
        <v>1</v>
      </c>
      <c r="K2066" t="s">
        <v>8925</v>
      </c>
    </row>
    <row r="2067" spans="1:11" x14ac:dyDescent="0.25">
      <c r="A2067" t="s">
        <v>6934</v>
      </c>
      <c r="B2067" t="s">
        <v>4589</v>
      </c>
      <c r="C2067" t="s">
        <v>415</v>
      </c>
      <c r="D2067" t="s">
        <v>6935</v>
      </c>
      <c r="E2067" t="s">
        <v>14</v>
      </c>
      <c r="F2067" t="s">
        <v>15</v>
      </c>
      <c r="G2067">
        <v>28262</v>
      </c>
      <c r="H2067" t="s">
        <v>26</v>
      </c>
      <c r="I2067">
        <v>28</v>
      </c>
      <c r="J2067">
        <v>1</v>
      </c>
      <c r="K2067" t="s">
        <v>8935</v>
      </c>
    </row>
    <row r="2068" spans="1:11" x14ac:dyDescent="0.25">
      <c r="A2068" t="s">
        <v>6936</v>
      </c>
      <c r="B2068" t="s">
        <v>2559</v>
      </c>
      <c r="C2068" t="s">
        <v>4851</v>
      </c>
      <c r="D2068" t="s">
        <v>6937</v>
      </c>
      <c r="E2068" t="s">
        <v>14</v>
      </c>
      <c r="F2068" t="s">
        <v>15</v>
      </c>
      <c r="G2068">
        <v>28214</v>
      </c>
      <c r="H2068" t="s">
        <v>195</v>
      </c>
      <c r="I2068">
        <v>17</v>
      </c>
      <c r="J2068">
        <v>1</v>
      </c>
      <c r="K2068" t="s">
        <v>8935</v>
      </c>
    </row>
    <row r="2069" spans="1:11" x14ac:dyDescent="0.25">
      <c r="A2069" t="s">
        <v>6938</v>
      </c>
      <c r="B2069" t="s">
        <v>6939</v>
      </c>
      <c r="C2069" t="s">
        <v>6940</v>
      </c>
      <c r="D2069" t="s">
        <v>6941</v>
      </c>
      <c r="E2069" t="s">
        <v>14</v>
      </c>
      <c r="F2069" t="s">
        <v>15</v>
      </c>
      <c r="G2069">
        <v>28211</v>
      </c>
      <c r="H2069" t="s">
        <v>16</v>
      </c>
      <c r="I2069">
        <v>16</v>
      </c>
      <c r="J2069">
        <v>1</v>
      </c>
      <c r="K2069" t="s">
        <v>8935</v>
      </c>
    </row>
    <row r="2070" spans="1:11" x14ac:dyDescent="0.25">
      <c r="A2070" t="s">
        <v>6942</v>
      </c>
      <c r="B2070" t="s">
        <v>6943</v>
      </c>
      <c r="C2070" t="s">
        <v>193</v>
      </c>
      <c r="D2070" t="s">
        <v>6944</v>
      </c>
      <c r="E2070" t="s">
        <v>14</v>
      </c>
      <c r="F2070" t="s">
        <v>15</v>
      </c>
      <c r="G2070">
        <v>28205</v>
      </c>
      <c r="H2070" t="s">
        <v>195</v>
      </c>
      <c r="I2070">
        <v>21</v>
      </c>
      <c r="J2070">
        <v>1</v>
      </c>
      <c r="K2070" t="s">
        <v>8935</v>
      </c>
    </row>
    <row r="2071" spans="1:11" x14ac:dyDescent="0.25">
      <c r="A2071" t="s">
        <v>6945</v>
      </c>
      <c r="B2071" t="s">
        <v>6946</v>
      </c>
      <c r="C2071" t="s">
        <v>1590</v>
      </c>
      <c r="D2071" t="s">
        <v>6947</v>
      </c>
      <c r="E2071" t="s">
        <v>14</v>
      </c>
      <c r="F2071" t="s">
        <v>15</v>
      </c>
      <c r="G2071">
        <v>28211</v>
      </c>
      <c r="H2071" t="s">
        <v>16</v>
      </c>
      <c r="I2071">
        <v>167</v>
      </c>
      <c r="J2071">
        <v>1</v>
      </c>
      <c r="K2071" t="s">
        <v>8935</v>
      </c>
    </row>
    <row r="2072" spans="1:11" x14ac:dyDescent="0.25">
      <c r="A2072" t="s">
        <v>6948</v>
      </c>
      <c r="B2072" t="s">
        <v>6949</v>
      </c>
      <c r="C2072" t="s">
        <v>6950</v>
      </c>
      <c r="D2072" t="s">
        <v>6951</v>
      </c>
      <c r="E2072" t="s">
        <v>14</v>
      </c>
      <c r="F2072" t="s">
        <v>15</v>
      </c>
      <c r="G2072">
        <v>28210</v>
      </c>
      <c r="H2072" t="s">
        <v>48</v>
      </c>
      <c r="I2072">
        <v>252</v>
      </c>
      <c r="J2072">
        <v>0</v>
      </c>
      <c r="K2072" t="s">
        <v>8936</v>
      </c>
    </row>
    <row r="2073" spans="1:11" x14ac:dyDescent="0.25">
      <c r="A2073" t="s">
        <v>6952</v>
      </c>
      <c r="B2073" t="s">
        <v>6953</v>
      </c>
      <c r="C2073" t="s">
        <v>6954</v>
      </c>
      <c r="E2073" t="s">
        <v>14</v>
      </c>
      <c r="F2073" t="s">
        <v>15</v>
      </c>
      <c r="G2073">
        <v>28202</v>
      </c>
      <c r="H2073" t="s">
        <v>21</v>
      </c>
      <c r="I2073">
        <v>10</v>
      </c>
      <c r="J2073">
        <v>1</v>
      </c>
      <c r="K2073" t="s">
        <v>8935</v>
      </c>
    </row>
    <row r="2074" spans="1:11" x14ac:dyDescent="0.25">
      <c r="A2074" t="s">
        <v>6955</v>
      </c>
      <c r="B2074" t="s">
        <v>6956</v>
      </c>
      <c r="C2074" t="s">
        <v>46</v>
      </c>
      <c r="D2074" t="s">
        <v>6957</v>
      </c>
      <c r="E2074" t="s">
        <v>14</v>
      </c>
      <c r="F2074" t="s">
        <v>15</v>
      </c>
      <c r="G2074">
        <v>28226</v>
      </c>
      <c r="H2074" t="s">
        <v>48</v>
      </c>
      <c r="I2074">
        <v>49</v>
      </c>
      <c r="J2074">
        <v>1</v>
      </c>
      <c r="K2074" t="s">
        <v>8935</v>
      </c>
    </row>
    <row r="2075" spans="1:11" x14ac:dyDescent="0.25">
      <c r="A2075" t="s">
        <v>6958</v>
      </c>
      <c r="B2075" t="s">
        <v>6959</v>
      </c>
      <c r="C2075" t="s">
        <v>6960</v>
      </c>
      <c r="D2075" t="s">
        <v>6961</v>
      </c>
      <c r="E2075" t="s">
        <v>14</v>
      </c>
      <c r="F2075" t="s">
        <v>15</v>
      </c>
      <c r="G2075">
        <v>28217</v>
      </c>
      <c r="H2075" t="s">
        <v>16</v>
      </c>
      <c r="I2075">
        <v>5</v>
      </c>
      <c r="J2075">
        <v>1</v>
      </c>
      <c r="K2075" t="s">
        <v>8935</v>
      </c>
    </row>
    <row r="2076" spans="1:11" x14ac:dyDescent="0.25">
      <c r="A2076" t="s">
        <v>6962</v>
      </c>
      <c r="B2076" t="s">
        <v>6963</v>
      </c>
      <c r="C2076" t="s">
        <v>6964</v>
      </c>
      <c r="D2076" t="s">
        <v>6965</v>
      </c>
      <c r="E2076" t="s">
        <v>14</v>
      </c>
      <c r="F2076" t="s">
        <v>15</v>
      </c>
      <c r="G2076">
        <v>28205</v>
      </c>
      <c r="H2076" t="s">
        <v>16</v>
      </c>
      <c r="I2076">
        <v>335</v>
      </c>
      <c r="J2076">
        <v>1</v>
      </c>
      <c r="K2076" t="s">
        <v>8935</v>
      </c>
    </row>
    <row r="2077" spans="1:11" x14ac:dyDescent="0.25">
      <c r="A2077" t="s">
        <v>6966</v>
      </c>
      <c r="B2077" t="s">
        <v>6967</v>
      </c>
      <c r="C2077" t="s">
        <v>6968</v>
      </c>
      <c r="D2077" t="s">
        <v>6969</v>
      </c>
      <c r="E2077" t="s">
        <v>14</v>
      </c>
      <c r="F2077" t="s">
        <v>15</v>
      </c>
      <c r="G2077">
        <v>28209</v>
      </c>
      <c r="H2077" t="s">
        <v>16</v>
      </c>
      <c r="I2077">
        <v>34</v>
      </c>
      <c r="J2077">
        <v>0</v>
      </c>
      <c r="K2077" t="s">
        <v>8935</v>
      </c>
    </row>
    <row r="2078" spans="1:11" x14ac:dyDescent="0.25">
      <c r="A2078" t="s">
        <v>6970</v>
      </c>
      <c r="B2078" t="s">
        <v>2337</v>
      </c>
      <c r="C2078" t="s">
        <v>6971</v>
      </c>
      <c r="D2078" t="s">
        <v>6972</v>
      </c>
      <c r="E2078" t="s">
        <v>14</v>
      </c>
      <c r="F2078" t="s">
        <v>15</v>
      </c>
      <c r="G2078">
        <v>28273</v>
      </c>
      <c r="H2078" t="s">
        <v>16</v>
      </c>
      <c r="I2078">
        <v>95</v>
      </c>
      <c r="J2078">
        <v>1</v>
      </c>
      <c r="K2078" t="s">
        <v>8927</v>
      </c>
    </row>
    <row r="2079" spans="1:11" x14ac:dyDescent="0.25">
      <c r="A2079" t="s">
        <v>6973</v>
      </c>
      <c r="B2079" t="s">
        <v>6974</v>
      </c>
      <c r="C2079" t="s">
        <v>5068</v>
      </c>
      <c r="D2079" t="s">
        <v>6975</v>
      </c>
      <c r="E2079" t="s">
        <v>14</v>
      </c>
      <c r="F2079" t="s">
        <v>15</v>
      </c>
      <c r="G2079">
        <v>28277</v>
      </c>
      <c r="H2079" t="s">
        <v>39</v>
      </c>
      <c r="I2079">
        <v>16</v>
      </c>
      <c r="J2079">
        <v>1</v>
      </c>
      <c r="K2079" t="s">
        <v>8935</v>
      </c>
    </row>
    <row r="2080" spans="1:11" x14ac:dyDescent="0.25">
      <c r="A2080" t="s">
        <v>6976</v>
      </c>
      <c r="B2080" t="s">
        <v>6977</v>
      </c>
      <c r="C2080" t="s">
        <v>6978</v>
      </c>
      <c r="D2080" t="s">
        <v>6979</v>
      </c>
      <c r="E2080" t="s">
        <v>14</v>
      </c>
      <c r="F2080" t="s">
        <v>15</v>
      </c>
      <c r="G2080">
        <v>28209</v>
      </c>
      <c r="H2080" t="s">
        <v>39</v>
      </c>
      <c r="I2080">
        <v>172</v>
      </c>
      <c r="J2080">
        <v>1</v>
      </c>
      <c r="K2080" t="s">
        <v>8933</v>
      </c>
    </row>
    <row r="2081" spans="1:11" x14ac:dyDescent="0.25">
      <c r="A2081" t="e">
        <f>-bKnO1BwkwXJFNLr72GECA</f>
        <v>#NAME?</v>
      </c>
      <c r="B2081" t="s">
        <v>6980</v>
      </c>
      <c r="C2081" t="s">
        <v>1461</v>
      </c>
      <c r="D2081" t="s">
        <v>6981</v>
      </c>
      <c r="E2081" t="s">
        <v>14</v>
      </c>
      <c r="F2081" t="s">
        <v>15</v>
      </c>
      <c r="G2081">
        <v>28202</v>
      </c>
      <c r="H2081" t="s">
        <v>21</v>
      </c>
      <c r="I2081">
        <v>37</v>
      </c>
      <c r="J2081">
        <v>0</v>
      </c>
      <c r="K2081" t="s">
        <v>8935</v>
      </c>
    </row>
    <row r="2082" spans="1:11" x14ac:dyDescent="0.25">
      <c r="A2082" t="s">
        <v>6982</v>
      </c>
      <c r="B2082" t="s">
        <v>6983</v>
      </c>
      <c r="C2082" t="s">
        <v>6984</v>
      </c>
      <c r="D2082" t="s">
        <v>6985</v>
      </c>
      <c r="E2082" t="s">
        <v>14</v>
      </c>
      <c r="F2082" t="s">
        <v>15</v>
      </c>
      <c r="G2082">
        <v>28217</v>
      </c>
      <c r="H2082" t="s">
        <v>48</v>
      </c>
      <c r="I2082">
        <v>29</v>
      </c>
      <c r="J2082">
        <v>1</v>
      </c>
      <c r="K2082" t="s">
        <v>8920</v>
      </c>
    </row>
    <row r="2083" spans="1:11" x14ac:dyDescent="0.25">
      <c r="A2083" t="s">
        <v>6986</v>
      </c>
      <c r="B2083" t="s">
        <v>5353</v>
      </c>
      <c r="C2083" t="s">
        <v>5193</v>
      </c>
      <c r="D2083" t="s">
        <v>6987</v>
      </c>
      <c r="E2083" t="s">
        <v>14</v>
      </c>
      <c r="F2083" t="s">
        <v>15</v>
      </c>
      <c r="G2083">
        <v>28209</v>
      </c>
      <c r="H2083" t="s">
        <v>39</v>
      </c>
      <c r="I2083">
        <v>127</v>
      </c>
      <c r="J2083">
        <v>1</v>
      </c>
      <c r="K2083" t="s">
        <v>8931</v>
      </c>
    </row>
    <row r="2084" spans="1:11" x14ac:dyDescent="0.25">
      <c r="A2084" t="s">
        <v>6988</v>
      </c>
      <c r="B2084" t="s">
        <v>6989</v>
      </c>
      <c r="C2084" t="s">
        <v>4293</v>
      </c>
      <c r="D2084" t="s">
        <v>6990</v>
      </c>
      <c r="E2084" t="s">
        <v>14</v>
      </c>
      <c r="F2084" t="s">
        <v>15</v>
      </c>
      <c r="G2084">
        <v>28205</v>
      </c>
      <c r="H2084" t="s">
        <v>39</v>
      </c>
      <c r="I2084">
        <v>1474</v>
      </c>
      <c r="J2084">
        <v>1</v>
      </c>
      <c r="K2084" t="s">
        <v>8935</v>
      </c>
    </row>
    <row r="2085" spans="1:11" x14ac:dyDescent="0.25">
      <c r="A2085" t="s">
        <v>6991</v>
      </c>
      <c r="B2085" t="s">
        <v>556</v>
      </c>
      <c r="C2085" t="s">
        <v>615</v>
      </c>
      <c r="D2085" t="s">
        <v>6992</v>
      </c>
      <c r="E2085" t="s">
        <v>14</v>
      </c>
      <c r="F2085" t="s">
        <v>15</v>
      </c>
      <c r="G2085">
        <v>28208</v>
      </c>
      <c r="H2085" t="s">
        <v>16</v>
      </c>
      <c r="I2085">
        <v>9</v>
      </c>
      <c r="J2085">
        <v>1</v>
      </c>
      <c r="K2085" t="s">
        <v>8935</v>
      </c>
    </row>
    <row r="2086" spans="1:11" x14ac:dyDescent="0.25">
      <c r="A2086" t="s">
        <v>6993</v>
      </c>
      <c r="B2086" t="s">
        <v>6994</v>
      </c>
      <c r="C2086" t="s">
        <v>1877</v>
      </c>
      <c r="D2086" t="s">
        <v>6995</v>
      </c>
      <c r="E2086" t="s">
        <v>14</v>
      </c>
      <c r="F2086" t="s">
        <v>15</v>
      </c>
      <c r="G2086">
        <v>28204</v>
      </c>
      <c r="H2086" t="s">
        <v>16</v>
      </c>
      <c r="I2086">
        <v>295</v>
      </c>
      <c r="J2086">
        <v>1</v>
      </c>
      <c r="K2086" t="s">
        <v>8935</v>
      </c>
    </row>
    <row r="2087" spans="1:11" x14ac:dyDescent="0.25">
      <c r="A2087" t="s">
        <v>6996</v>
      </c>
      <c r="B2087" t="s">
        <v>6997</v>
      </c>
      <c r="C2087" t="s">
        <v>6998</v>
      </c>
      <c r="D2087" t="s">
        <v>6999</v>
      </c>
      <c r="E2087" t="s">
        <v>14</v>
      </c>
      <c r="F2087" t="s">
        <v>15</v>
      </c>
      <c r="G2087">
        <v>28205</v>
      </c>
      <c r="H2087" t="s">
        <v>16</v>
      </c>
      <c r="I2087">
        <v>63</v>
      </c>
      <c r="J2087">
        <v>0</v>
      </c>
      <c r="K2087" t="s">
        <v>8932</v>
      </c>
    </row>
    <row r="2088" spans="1:11" x14ac:dyDescent="0.25">
      <c r="A2088" t="s">
        <v>7000</v>
      </c>
      <c r="B2088" t="s">
        <v>6178</v>
      </c>
      <c r="C2088" t="s">
        <v>7001</v>
      </c>
      <c r="D2088" t="s">
        <v>7002</v>
      </c>
      <c r="E2088" t="s">
        <v>14</v>
      </c>
      <c r="F2088" t="s">
        <v>15</v>
      </c>
      <c r="G2088">
        <v>28202</v>
      </c>
      <c r="H2088" t="s">
        <v>21</v>
      </c>
      <c r="I2088">
        <v>54</v>
      </c>
      <c r="J2088">
        <v>0</v>
      </c>
      <c r="K2088" t="s">
        <v>8921</v>
      </c>
    </row>
    <row r="2089" spans="1:11" x14ac:dyDescent="0.25">
      <c r="A2089" t="s">
        <v>7003</v>
      </c>
      <c r="B2089" t="s">
        <v>7004</v>
      </c>
      <c r="C2089" t="s">
        <v>546</v>
      </c>
      <c r="D2089" t="s">
        <v>7005</v>
      </c>
      <c r="E2089" t="s">
        <v>14</v>
      </c>
      <c r="F2089" t="s">
        <v>15</v>
      </c>
      <c r="G2089">
        <v>28227</v>
      </c>
      <c r="H2089" t="s">
        <v>21</v>
      </c>
      <c r="I2089">
        <v>92</v>
      </c>
      <c r="J2089">
        <v>1</v>
      </c>
      <c r="K2089" t="s">
        <v>8921</v>
      </c>
    </row>
    <row r="2090" spans="1:11" x14ac:dyDescent="0.25">
      <c r="A2090" t="s">
        <v>7006</v>
      </c>
      <c r="B2090" t="s">
        <v>7007</v>
      </c>
      <c r="C2090" t="s">
        <v>3243</v>
      </c>
      <c r="D2090" t="s">
        <v>7008</v>
      </c>
      <c r="E2090" t="s">
        <v>14</v>
      </c>
      <c r="F2090" t="s">
        <v>15</v>
      </c>
      <c r="G2090">
        <v>28202</v>
      </c>
      <c r="H2090" t="s">
        <v>26</v>
      </c>
      <c r="I2090">
        <v>199</v>
      </c>
      <c r="J2090">
        <v>1</v>
      </c>
      <c r="K2090" t="s">
        <v>8935</v>
      </c>
    </row>
    <row r="2091" spans="1:11" x14ac:dyDescent="0.25">
      <c r="A2091" t="s">
        <v>7009</v>
      </c>
      <c r="B2091" t="s">
        <v>7010</v>
      </c>
      <c r="C2091" t="s">
        <v>59</v>
      </c>
      <c r="D2091" t="s">
        <v>7011</v>
      </c>
      <c r="E2091" t="s">
        <v>14</v>
      </c>
      <c r="F2091" t="s">
        <v>15</v>
      </c>
      <c r="G2091">
        <v>28217</v>
      </c>
      <c r="H2091" t="s">
        <v>26</v>
      </c>
      <c r="I2091">
        <v>10</v>
      </c>
      <c r="J2091">
        <v>1</v>
      </c>
      <c r="K2091" t="s">
        <v>8935</v>
      </c>
    </row>
    <row r="2092" spans="1:11" x14ac:dyDescent="0.25">
      <c r="A2092" t="s">
        <v>7012</v>
      </c>
      <c r="B2092" t="s">
        <v>7013</v>
      </c>
      <c r="C2092" t="s">
        <v>7014</v>
      </c>
      <c r="D2092" t="s">
        <v>7015</v>
      </c>
      <c r="E2092" t="s">
        <v>14</v>
      </c>
      <c r="F2092" t="s">
        <v>15</v>
      </c>
      <c r="G2092">
        <v>28217</v>
      </c>
      <c r="H2092" t="s">
        <v>21</v>
      </c>
      <c r="I2092">
        <v>146</v>
      </c>
      <c r="J2092">
        <v>1</v>
      </c>
      <c r="K2092" t="s">
        <v>8935</v>
      </c>
    </row>
    <row r="2093" spans="1:11" x14ac:dyDescent="0.25">
      <c r="A2093" t="s">
        <v>7016</v>
      </c>
      <c r="B2093" t="s">
        <v>6659</v>
      </c>
      <c r="C2093" t="s">
        <v>221</v>
      </c>
      <c r="D2093" t="s">
        <v>7017</v>
      </c>
      <c r="E2093" t="s">
        <v>14</v>
      </c>
      <c r="F2093" t="s">
        <v>15</v>
      </c>
      <c r="G2093">
        <v>28278</v>
      </c>
      <c r="H2093" t="s">
        <v>101</v>
      </c>
      <c r="I2093">
        <v>26</v>
      </c>
      <c r="J2093">
        <v>1</v>
      </c>
      <c r="K2093" t="s">
        <v>8935</v>
      </c>
    </row>
    <row r="2094" spans="1:11" x14ac:dyDescent="0.25">
      <c r="A2094" t="s">
        <v>7018</v>
      </c>
      <c r="B2094" t="s">
        <v>7019</v>
      </c>
      <c r="C2094" t="s">
        <v>2723</v>
      </c>
      <c r="D2094" t="s">
        <v>7020</v>
      </c>
      <c r="E2094" t="s">
        <v>14</v>
      </c>
      <c r="F2094" t="s">
        <v>15</v>
      </c>
      <c r="G2094">
        <v>28273</v>
      </c>
      <c r="H2094" t="s">
        <v>21</v>
      </c>
      <c r="I2094">
        <v>37</v>
      </c>
      <c r="J2094">
        <v>1</v>
      </c>
      <c r="K2094" t="s">
        <v>8935</v>
      </c>
    </row>
    <row r="2095" spans="1:11" x14ac:dyDescent="0.25">
      <c r="A2095" t="s">
        <v>7021</v>
      </c>
      <c r="B2095" t="s">
        <v>1057</v>
      </c>
      <c r="C2095" t="s">
        <v>7022</v>
      </c>
      <c r="D2095" t="s">
        <v>7023</v>
      </c>
      <c r="E2095" t="s">
        <v>14</v>
      </c>
      <c r="F2095" t="s">
        <v>15</v>
      </c>
      <c r="G2095">
        <v>28203</v>
      </c>
      <c r="H2095" t="s">
        <v>21</v>
      </c>
      <c r="I2095">
        <v>109</v>
      </c>
      <c r="J2095">
        <v>1</v>
      </c>
      <c r="K2095" t="s">
        <v>8935</v>
      </c>
    </row>
    <row r="2096" spans="1:11" x14ac:dyDescent="0.25">
      <c r="A2096" t="s">
        <v>7024</v>
      </c>
      <c r="B2096" t="s">
        <v>82</v>
      </c>
      <c r="C2096" t="s">
        <v>2611</v>
      </c>
      <c r="D2096" t="s">
        <v>6213</v>
      </c>
      <c r="E2096" t="s">
        <v>14</v>
      </c>
      <c r="F2096" t="s">
        <v>15</v>
      </c>
      <c r="G2096">
        <v>28204</v>
      </c>
      <c r="H2096" t="s">
        <v>16</v>
      </c>
      <c r="I2096">
        <v>13</v>
      </c>
      <c r="J2096">
        <v>0</v>
      </c>
      <c r="K2096" t="s">
        <v>8935</v>
      </c>
    </row>
    <row r="2097" spans="1:11" x14ac:dyDescent="0.25">
      <c r="A2097" t="s">
        <v>7025</v>
      </c>
      <c r="B2097" t="s">
        <v>176</v>
      </c>
      <c r="C2097" t="s">
        <v>177</v>
      </c>
      <c r="D2097" t="s">
        <v>7026</v>
      </c>
      <c r="E2097" t="s">
        <v>14</v>
      </c>
      <c r="F2097" t="s">
        <v>15</v>
      </c>
      <c r="G2097">
        <v>28277</v>
      </c>
      <c r="H2097" t="s">
        <v>48</v>
      </c>
      <c r="I2097">
        <v>14</v>
      </c>
      <c r="J2097">
        <v>1</v>
      </c>
      <c r="K2097" t="s">
        <v>8935</v>
      </c>
    </row>
    <row r="2098" spans="1:11" x14ac:dyDescent="0.25">
      <c r="A2098" t="s">
        <v>7027</v>
      </c>
      <c r="B2098" t="s">
        <v>7028</v>
      </c>
      <c r="C2098" t="s">
        <v>7029</v>
      </c>
      <c r="D2098" t="s">
        <v>7030</v>
      </c>
      <c r="E2098" t="s">
        <v>14</v>
      </c>
      <c r="F2098" t="s">
        <v>15</v>
      </c>
      <c r="G2098">
        <v>28262</v>
      </c>
      <c r="H2098" t="s">
        <v>21</v>
      </c>
      <c r="I2098">
        <v>342</v>
      </c>
      <c r="J2098">
        <v>1</v>
      </c>
      <c r="K2098" t="s">
        <v>8935</v>
      </c>
    </row>
    <row r="2099" spans="1:11" x14ac:dyDescent="0.25">
      <c r="A2099" t="s">
        <v>7031</v>
      </c>
      <c r="B2099" t="s">
        <v>7032</v>
      </c>
      <c r="C2099" t="s">
        <v>7033</v>
      </c>
      <c r="D2099" t="s">
        <v>7034</v>
      </c>
      <c r="E2099" t="s">
        <v>14</v>
      </c>
      <c r="F2099" t="s">
        <v>15</v>
      </c>
      <c r="G2099">
        <v>28217</v>
      </c>
      <c r="H2099" t="s">
        <v>16</v>
      </c>
      <c r="I2099">
        <v>21</v>
      </c>
      <c r="J2099">
        <v>1</v>
      </c>
      <c r="K2099" t="s">
        <v>8935</v>
      </c>
    </row>
    <row r="2100" spans="1:11" x14ac:dyDescent="0.25">
      <c r="A2100" t="s">
        <v>7035</v>
      </c>
      <c r="B2100" t="s">
        <v>7036</v>
      </c>
      <c r="C2100" t="s">
        <v>7037</v>
      </c>
      <c r="D2100" t="s">
        <v>7038</v>
      </c>
      <c r="E2100" t="s">
        <v>14</v>
      </c>
      <c r="F2100" t="s">
        <v>15</v>
      </c>
      <c r="G2100">
        <v>28204</v>
      </c>
      <c r="H2100" t="s">
        <v>39</v>
      </c>
      <c r="I2100">
        <v>593</v>
      </c>
      <c r="J2100">
        <v>1</v>
      </c>
      <c r="K2100" t="s">
        <v>8935</v>
      </c>
    </row>
    <row r="2101" spans="1:11" x14ac:dyDescent="0.25">
      <c r="A2101" t="s">
        <v>7039</v>
      </c>
      <c r="B2101" t="s">
        <v>7040</v>
      </c>
      <c r="C2101" t="s">
        <v>193</v>
      </c>
      <c r="D2101" t="s">
        <v>7041</v>
      </c>
      <c r="E2101" t="s">
        <v>14</v>
      </c>
      <c r="F2101" t="s">
        <v>15</v>
      </c>
      <c r="G2101">
        <v>28226</v>
      </c>
      <c r="H2101" t="s">
        <v>195</v>
      </c>
      <c r="I2101">
        <v>27</v>
      </c>
      <c r="J2101">
        <v>1</v>
      </c>
      <c r="K2101" t="s">
        <v>8935</v>
      </c>
    </row>
    <row r="2102" spans="1:11" x14ac:dyDescent="0.25">
      <c r="A2102" t="s">
        <v>7042</v>
      </c>
      <c r="B2102" t="s">
        <v>7043</v>
      </c>
      <c r="C2102" t="s">
        <v>7044</v>
      </c>
      <c r="D2102" t="s">
        <v>2335</v>
      </c>
      <c r="E2102" t="s">
        <v>14</v>
      </c>
      <c r="F2102" t="s">
        <v>15</v>
      </c>
      <c r="G2102">
        <v>28207</v>
      </c>
      <c r="H2102" t="s">
        <v>16</v>
      </c>
      <c r="I2102">
        <v>143</v>
      </c>
      <c r="J2102">
        <v>1</v>
      </c>
      <c r="K2102" t="s">
        <v>8921</v>
      </c>
    </row>
    <row r="2103" spans="1:11" x14ac:dyDescent="0.25">
      <c r="A2103" t="s">
        <v>7045</v>
      </c>
      <c r="B2103" t="s">
        <v>7046</v>
      </c>
      <c r="C2103" t="s">
        <v>7047</v>
      </c>
      <c r="D2103" t="s">
        <v>954</v>
      </c>
      <c r="E2103" t="s">
        <v>14</v>
      </c>
      <c r="F2103" t="s">
        <v>15</v>
      </c>
      <c r="G2103">
        <v>28202</v>
      </c>
      <c r="H2103" t="s">
        <v>21</v>
      </c>
      <c r="I2103">
        <v>101</v>
      </c>
      <c r="J2103">
        <v>1</v>
      </c>
      <c r="K2103" t="s">
        <v>8935</v>
      </c>
    </row>
    <row r="2104" spans="1:11" x14ac:dyDescent="0.25">
      <c r="A2104" t="s">
        <v>7048</v>
      </c>
      <c r="B2104" t="s">
        <v>7049</v>
      </c>
      <c r="C2104" t="s">
        <v>7050</v>
      </c>
      <c r="D2104" t="s">
        <v>3432</v>
      </c>
      <c r="E2104" t="s">
        <v>14</v>
      </c>
      <c r="F2104" t="s">
        <v>15</v>
      </c>
      <c r="G2104">
        <v>28205</v>
      </c>
      <c r="H2104" t="s">
        <v>39</v>
      </c>
      <c r="I2104">
        <v>149</v>
      </c>
      <c r="J2104">
        <v>1</v>
      </c>
      <c r="K2104" t="s">
        <v>8935</v>
      </c>
    </row>
    <row r="2105" spans="1:11" x14ac:dyDescent="0.25">
      <c r="A2105" t="s">
        <v>7051</v>
      </c>
      <c r="B2105" t="s">
        <v>7052</v>
      </c>
      <c r="C2105" t="s">
        <v>7053</v>
      </c>
      <c r="D2105" t="s">
        <v>7054</v>
      </c>
      <c r="E2105" t="s">
        <v>14</v>
      </c>
      <c r="F2105" t="s">
        <v>15</v>
      </c>
      <c r="G2105">
        <v>28277</v>
      </c>
      <c r="H2105" t="s">
        <v>39</v>
      </c>
      <c r="I2105">
        <v>19</v>
      </c>
      <c r="J2105">
        <v>1</v>
      </c>
      <c r="K2105" t="s">
        <v>8935</v>
      </c>
    </row>
    <row r="2106" spans="1:11" x14ac:dyDescent="0.25">
      <c r="A2106" t="s">
        <v>7055</v>
      </c>
      <c r="B2106" t="s">
        <v>1301</v>
      </c>
      <c r="C2106" t="s">
        <v>3288</v>
      </c>
      <c r="D2106" t="s">
        <v>30</v>
      </c>
      <c r="E2106" t="s">
        <v>14</v>
      </c>
      <c r="F2106" t="s">
        <v>15</v>
      </c>
      <c r="G2106">
        <v>28203</v>
      </c>
      <c r="H2106" t="s">
        <v>21</v>
      </c>
      <c r="I2106">
        <v>4</v>
      </c>
      <c r="J2106">
        <v>0</v>
      </c>
      <c r="K2106" t="s">
        <v>8935</v>
      </c>
    </row>
    <row r="2107" spans="1:11" x14ac:dyDescent="0.25">
      <c r="A2107" t="s">
        <v>7056</v>
      </c>
      <c r="B2107" t="s">
        <v>3004</v>
      </c>
      <c r="C2107" t="s">
        <v>7057</v>
      </c>
      <c r="D2107" t="s">
        <v>5794</v>
      </c>
      <c r="E2107" t="s">
        <v>14</v>
      </c>
      <c r="F2107" t="s">
        <v>15</v>
      </c>
      <c r="G2107">
        <v>28202</v>
      </c>
      <c r="H2107" t="s">
        <v>26</v>
      </c>
      <c r="I2107">
        <v>30</v>
      </c>
      <c r="J2107">
        <v>0</v>
      </c>
      <c r="K2107" t="s">
        <v>8935</v>
      </c>
    </row>
    <row r="2108" spans="1:11" x14ac:dyDescent="0.25">
      <c r="A2108" t="s">
        <v>7058</v>
      </c>
      <c r="B2108" t="s">
        <v>7059</v>
      </c>
      <c r="C2108" t="s">
        <v>1094</v>
      </c>
      <c r="D2108" t="s">
        <v>7060</v>
      </c>
      <c r="E2108" t="s">
        <v>14</v>
      </c>
      <c r="F2108" t="s">
        <v>15</v>
      </c>
      <c r="G2108">
        <v>28208</v>
      </c>
      <c r="H2108" t="s">
        <v>26</v>
      </c>
      <c r="I2108">
        <v>3</v>
      </c>
      <c r="J2108">
        <v>1</v>
      </c>
      <c r="K2108" t="s">
        <v>8925</v>
      </c>
    </row>
    <row r="2109" spans="1:11" x14ac:dyDescent="0.25">
      <c r="A2109" t="s">
        <v>7061</v>
      </c>
      <c r="B2109" t="s">
        <v>6292</v>
      </c>
      <c r="C2109" t="s">
        <v>1494</v>
      </c>
      <c r="D2109" t="s">
        <v>7062</v>
      </c>
      <c r="E2109" t="s">
        <v>14</v>
      </c>
      <c r="F2109" t="s">
        <v>15</v>
      </c>
      <c r="G2109">
        <v>28227</v>
      </c>
      <c r="H2109" t="s">
        <v>101</v>
      </c>
      <c r="I2109">
        <v>19</v>
      </c>
      <c r="J2109">
        <v>1</v>
      </c>
      <c r="K2109" t="s">
        <v>8935</v>
      </c>
    </row>
    <row r="2110" spans="1:11" x14ac:dyDescent="0.25">
      <c r="A2110" t="s">
        <v>7063</v>
      </c>
      <c r="B2110" t="s">
        <v>1909</v>
      </c>
      <c r="C2110" t="s">
        <v>2641</v>
      </c>
      <c r="D2110" t="s">
        <v>7064</v>
      </c>
      <c r="E2110" t="s">
        <v>14</v>
      </c>
      <c r="F2110" t="s">
        <v>15</v>
      </c>
      <c r="G2110">
        <v>28277</v>
      </c>
      <c r="H2110" t="s">
        <v>48</v>
      </c>
      <c r="I2110">
        <v>60</v>
      </c>
      <c r="J2110">
        <v>0</v>
      </c>
      <c r="K2110" t="s">
        <v>8921</v>
      </c>
    </row>
    <row r="2111" spans="1:11" x14ac:dyDescent="0.25">
      <c r="A2111" t="s">
        <v>7065</v>
      </c>
      <c r="B2111" t="s">
        <v>7066</v>
      </c>
      <c r="C2111" t="s">
        <v>7067</v>
      </c>
      <c r="D2111" t="s">
        <v>7068</v>
      </c>
      <c r="E2111" t="s">
        <v>14</v>
      </c>
      <c r="F2111" t="s">
        <v>15</v>
      </c>
      <c r="G2111">
        <v>28205</v>
      </c>
      <c r="H2111" t="s">
        <v>39</v>
      </c>
      <c r="I2111">
        <v>408</v>
      </c>
      <c r="J2111">
        <v>1</v>
      </c>
      <c r="K2111" t="s">
        <v>8935</v>
      </c>
    </row>
    <row r="2112" spans="1:11" x14ac:dyDescent="0.25">
      <c r="A2112" t="s">
        <v>7069</v>
      </c>
      <c r="B2112" t="s">
        <v>7070</v>
      </c>
      <c r="C2112" t="s">
        <v>2779</v>
      </c>
      <c r="D2112" t="s">
        <v>7071</v>
      </c>
      <c r="E2112" t="s">
        <v>14</v>
      </c>
      <c r="F2112" t="s">
        <v>15</v>
      </c>
      <c r="G2112">
        <v>28211</v>
      </c>
      <c r="H2112" t="s">
        <v>39</v>
      </c>
      <c r="I2112">
        <v>403</v>
      </c>
      <c r="J2112">
        <v>1</v>
      </c>
      <c r="K2112" t="s">
        <v>8923</v>
      </c>
    </row>
    <row r="2113" spans="1:11" x14ac:dyDescent="0.25">
      <c r="A2113" t="s">
        <v>7072</v>
      </c>
      <c r="B2113" t="s">
        <v>312</v>
      </c>
      <c r="C2113" t="s">
        <v>7073</v>
      </c>
      <c r="D2113" t="s">
        <v>7074</v>
      </c>
      <c r="E2113" t="s">
        <v>14</v>
      </c>
      <c r="F2113" t="s">
        <v>15</v>
      </c>
      <c r="G2113">
        <v>28217</v>
      </c>
      <c r="H2113" t="s">
        <v>16</v>
      </c>
      <c r="I2113">
        <v>114</v>
      </c>
      <c r="J2113">
        <v>1</v>
      </c>
      <c r="K2113" t="s">
        <v>8925</v>
      </c>
    </row>
    <row r="2114" spans="1:11" x14ac:dyDescent="0.25">
      <c r="A2114" t="s">
        <v>7075</v>
      </c>
      <c r="B2114" t="s">
        <v>7076</v>
      </c>
      <c r="C2114" t="s">
        <v>7077</v>
      </c>
      <c r="D2114" t="s">
        <v>7078</v>
      </c>
      <c r="E2114" t="s">
        <v>14</v>
      </c>
      <c r="F2114" t="s">
        <v>15</v>
      </c>
      <c r="G2114">
        <v>28203</v>
      </c>
      <c r="H2114" t="s">
        <v>21</v>
      </c>
      <c r="I2114">
        <v>292</v>
      </c>
      <c r="J2114">
        <v>1</v>
      </c>
      <c r="K2114" t="s">
        <v>8935</v>
      </c>
    </row>
    <row r="2115" spans="1:11" x14ac:dyDescent="0.25">
      <c r="A2115" t="s">
        <v>7079</v>
      </c>
      <c r="B2115" t="s">
        <v>7080</v>
      </c>
      <c r="C2115" t="s">
        <v>7081</v>
      </c>
      <c r="E2115" t="s">
        <v>14</v>
      </c>
      <c r="F2115" t="s">
        <v>15</v>
      </c>
      <c r="G2115">
        <v>28204</v>
      </c>
      <c r="H2115" t="s">
        <v>146</v>
      </c>
      <c r="I2115">
        <v>15</v>
      </c>
      <c r="J2115">
        <v>1</v>
      </c>
      <c r="K2115" t="s">
        <v>8923</v>
      </c>
    </row>
    <row r="2116" spans="1:11" x14ac:dyDescent="0.25">
      <c r="A2116" t="s">
        <v>7082</v>
      </c>
      <c r="B2116" t="s">
        <v>7083</v>
      </c>
      <c r="C2116" t="s">
        <v>333</v>
      </c>
      <c r="D2116" t="s">
        <v>7084</v>
      </c>
      <c r="E2116" t="s">
        <v>14</v>
      </c>
      <c r="F2116" t="s">
        <v>15</v>
      </c>
      <c r="G2116">
        <v>28209</v>
      </c>
      <c r="H2116" t="s">
        <v>16</v>
      </c>
      <c r="I2116">
        <v>49</v>
      </c>
      <c r="J2116">
        <v>1</v>
      </c>
      <c r="K2116" t="s">
        <v>8935</v>
      </c>
    </row>
    <row r="2117" spans="1:11" x14ac:dyDescent="0.25">
      <c r="A2117" t="s">
        <v>7085</v>
      </c>
      <c r="B2117" t="s">
        <v>7086</v>
      </c>
      <c r="C2117" t="s">
        <v>6432</v>
      </c>
      <c r="D2117" t="s">
        <v>7087</v>
      </c>
      <c r="E2117" t="s">
        <v>14</v>
      </c>
      <c r="F2117" t="s">
        <v>15</v>
      </c>
      <c r="G2117">
        <v>28216</v>
      </c>
      <c r="H2117" t="s">
        <v>195</v>
      </c>
      <c r="I2117">
        <v>3</v>
      </c>
      <c r="J2117">
        <v>1</v>
      </c>
      <c r="K2117" t="s">
        <v>8935</v>
      </c>
    </row>
    <row r="2118" spans="1:11" x14ac:dyDescent="0.25">
      <c r="A2118" t="s">
        <v>7088</v>
      </c>
      <c r="B2118" t="s">
        <v>7089</v>
      </c>
      <c r="C2118" t="s">
        <v>735</v>
      </c>
      <c r="D2118" t="s">
        <v>7090</v>
      </c>
      <c r="E2118" t="s">
        <v>14</v>
      </c>
      <c r="F2118" t="s">
        <v>15</v>
      </c>
      <c r="G2118">
        <v>28227</v>
      </c>
      <c r="H2118" t="s">
        <v>16</v>
      </c>
      <c r="I2118">
        <v>28</v>
      </c>
      <c r="J2118">
        <v>1</v>
      </c>
      <c r="K2118" t="s">
        <v>8935</v>
      </c>
    </row>
    <row r="2119" spans="1:11" x14ac:dyDescent="0.25">
      <c r="A2119" t="s">
        <v>7091</v>
      </c>
      <c r="B2119" t="s">
        <v>7092</v>
      </c>
      <c r="C2119" t="s">
        <v>7093</v>
      </c>
      <c r="D2119" t="s">
        <v>7094</v>
      </c>
      <c r="E2119" t="s">
        <v>14</v>
      </c>
      <c r="F2119" t="s">
        <v>15</v>
      </c>
      <c r="G2119">
        <v>28205</v>
      </c>
      <c r="H2119" t="s">
        <v>16</v>
      </c>
      <c r="I2119">
        <v>4</v>
      </c>
      <c r="J2119">
        <v>1</v>
      </c>
      <c r="K2119" t="s">
        <v>8935</v>
      </c>
    </row>
    <row r="2120" spans="1:11" x14ac:dyDescent="0.25">
      <c r="A2120" t="s">
        <v>7095</v>
      </c>
      <c r="B2120" t="s">
        <v>7096</v>
      </c>
      <c r="C2120" t="s">
        <v>6627</v>
      </c>
      <c r="D2120" t="s">
        <v>7097</v>
      </c>
      <c r="E2120" t="s">
        <v>14</v>
      </c>
      <c r="F2120" t="s">
        <v>15</v>
      </c>
      <c r="G2120">
        <v>28209</v>
      </c>
      <c r="H2120" t="s">
        <v>39</v>
      </c>
      <c r="I2120">
        <v>72</v>
      </c>
      <c r="J2120">
        <v>1</v>
      </c>
      <c r="K2120" t="s">
        <v>8935</v>
      </c>
    </row>
    <row r="2121" spans="1:11" x14ac:dyDescent="0.25">
      <c r="A2121" t="s">
        <v>7098</v>
      </c>
      <c r="B2121" t="s">
        <v>7099</v>
      </c>
      <c r="C2121" t="s">
        <v>1526</v>
      </c>
      <c r="D2121" t="s">
        <v>7100</v>
      </c>
      <c r="E2121" t="s">
        <v>14</v>
      </c>
      <c r="F2121" t="s">
        <v>15</v>
      </c>
      <c r="G2121">
        <v>28277</v>
      </c>
      <c r="H2121" t="s">
        <v>39</v>
      </c>
      <c r="I2121">
        <v>53</v>
      </c>
      <c r="J2121">
        <v>1</v>
      </c>
      <c r="K2121" t="s">
        <v>8935</v>
      </c>
    </row>
    <row r="2122" spans="1:11" x14ac:dyDescent="0.25">
      <c r="A2122" t="s">
        <v>7101</v>
      </c>
      <c r="B2122" t="s">
        <v>7102</v>
      </c>
      <c r="C2122" t="s">
        <v>4010</v>
      </c>
      <c r="D2122" t="s">
        <v>7103</v>
      </c>
      <c r="E2122" t="s">
        <v>14</v>
      </c>
      <c r="F2122" t="s">
        <v>15</v>
      </c>
      <c r="G2122">
        <v>28262</v>
      </c>
      <c r="H2122" t="s">
        <v>21</v>
      </c>
      <c r="I2122">
        <v>36</v>
      </c>
      <c r="J2122">
        <v>1</v>
      </c>
      <c r="K2122" t="s">
        <v>8925</v>
      </c>
    </row>
    <row r="2123" spans="1:11" x14ac:dyDescent="0.25">
      <c r="A2123" t="s">
        <v>7104</v>
      </c>
      <c r="B2123" t="s">
        <v>312</v>
      </c>
      <c r="C2123" t="s">
        <v>7105</v>
      </c>
      <c r="D2123" t="s">
        <v>7106</v>
      </c>
      <c r="E2123" t="s">
        <v>14</v>
      </c>
      <c r="F2123" t="s">
        <v>15</v>
      </c>
      <c r="G2123">
        <v>28205</v>
      </c>
      <c r="H2123" t="s">
        <v>16</v>
      </c>
      <c r="I2123">
        <v>414</v>
      </c>
      <c r="J2123">
        <v>1</v>
      </c>
      <c r="K2123" t="s">
        <v>8925</v>
      </c>
    </row>
    <row r="2124" spans="1:11" x14ac:dyDescent="0.25">
      <c r="A2124" t="s">
        <v>7107</v>
      </c>
      <c r="B2124" t="s">
        <v>7108</v>
      </c>
      <c r="C2124" t="s">
        <v>7109</v>
      </c>
      <c r="D2124" t="s">
        <v>3787</v>
      </c>
      <c r="E2124" t="s">
        <v>14</v>
      </c>
      <c r="F2124" t="s">
        <v>15</v>
      </c>
      <c r="G2124">
        <v>28227</v>
      </c>
      <c r="H2124" t="s">
        <v>21</v>
      </c>
      <c r="I2124">
        <v>37</v>
      </c>
      <c r="J2124">
        <v>1</v>
      </c>
      <c r="K2124" t="s">
        <v>8935</v>
      </c>
    </row>
    <row r="2125" spans="1:11" x14ac:dyDescent="0.25">
      <c r="A2125" t="s">
        <v>7110</v>
      </c>
      <c r="B2125" t="s">
        <v>279</v>
      </c>
      <c r="C2125" t="s">
        <v>7111</v>
      </c>
      <c r="D2125" t="s">
        <v>7112</v>
      </c>
      <c r="E2125" t="s">
        <v>14</v>
      </c>
      <c r="F2125" t="s">
        <v>15</v>
      </c>
      <c r="G2125">
        <v>28210</v>
      </c>
      <c r="H2125" t="s">
        <v>16</v>
      </c>
      <c r="I2125">
        <v>158</v>
      </c>
      <c r="J2125">
        <v>1</v>
      </c>
      <c r="K2125" t="s">
        <v>8926</v>
      </c>
    </row>
    <row r="2126" spans="1:11" x14ac:dyDescent="0.25">
      <c r="A2126" t="s">
        <v>7113</v>
      </c>
      <c r="B2126" t="s">
        <v>7114</v>
      </c>
      <c r="C2126" t="s">
        <v>7115</v>
      </c>
      <c r="E2126" t="s">
        <v>14</v>
      </c>
      <c r="F2126" t="s">
        <v>15</v>
      </c>
      <c r="H2126" t="s">
        <v>146</v>
      </c>
      <c r="I2126">
        <v>5</v>
      </c>
      <c r="J2126">
        <v>1</v>
      </c>
      <c r="K2126" t="s">
        <v>8935</v>
      </c>
    </row>
    <row r="2127" spans="1:11" x14ac:dyDescent="0.25">
      <c r="A2127" t="s">
        <v>7116</v>
      </c>
      <c r="B2127" t="s">
        <v>3026</v>
      </c>
      <c r="C2127" t="s">
        <v>7117</v>
      </c>
      <c r="D2127" t="s">
        <v>7118</v>
      </c>
      <c r="E2127" t="s">
        <v>14</v>
      </c>
      <c r="F2127" t="s">
        <v>15</v>
      </c>
      <c r="G2127">
        <v>28269</v>
      </c>
      <c r="H2127" t="s">
        <v>48</v>
      </c>
      <c r="I2127">
        <v>39</v>
      </c>
      <c r="J2127">
        <v>1</v>
      </c>
      <c r="K2127" t="s">
        <v>8920</v>
      </c>
    </row>
    <row r="2128" spans="1:11" x14ac:dyDescent="0.25">
      <c r="A2128" t="s">
        <v>7119</v>
      </c>
      <c r="B2128" t="s">
        <v>7120</v>
      </c>
      <c r="C2128" t="s">
        <v>7121</v>
      </c>
      <c r="D2128" t="s">
        <v>7122</v>
      </c>
      <c r="E2128" t="s">
        <v>14</v>
      </c>
      <c r="F2128" t="s">
        <v>15</v>
      </c>
      <c r="G2128">
        <v>28206</v>
      </c>
      <c r="H2128" t="s">
        <v>16</v>
      </c>
      <c r="I2128">
        <v>141</v>
      </c>
      <c r="J2128">
        <v>0</v>
      </c>
      <c r="K2128" t="s">
        <v>8935</v>
      </c>
    </row>
    <row r="2129" spans="1:11" x14ac:dyDescent="0.25">
      <c r="A2129" t="s">
        <v>7123</v>
      </c>
      <c r="B2129" t="s">
        <v>7124</v>
      </c>
      <c r="C2129" t="s">
        <v>7125</v>
      </c>
      <c r="D2129" t="s">
        <v>7126</v>
      </c>
      <c r="E2129" t="s">
        <v>14</v>
      </c>
      <c r="F2129" t="s">
        <v>15</v>
      </c>
      <c r="G2129">
        <v>28211</v>
      </c>
      <c r="H2129" t="s">
        <v>16</v>
      </c>
      <c r="I2129">
        <v>268</v>
      </c>
      <c r="J2129">
        <v>1</v>
      </c>
      <c r="K2129" t="s">
        <v>8928</v>
      </c>
    </row>
    <row r="2130" spans="1:11" x14ac:dyDescent="0.25">
      <c r="A2130" t="s">
        <v>7127</v>
      </c>
      <c r="B2130" t="s">
        <v>7128</v>
      </c>
      <c r="C2130" t="s">
        <v>7129</v>
      </c>
      <c r="D2130" t="s">
        <v>7130</v>
      </c>
      <c r="E2130" t="s">
        <v>14</v>
      </c>
      <c r="F2130" t="s">
        <v>15</v>
      </c>
      <c r="G2130">
        <v>28208</v>
      </c>
      <c r="H2130" t="s">
        <v>21</v>
      </c>
      <c r="I2130">
        <v>23</v>
      </c>
      <c r="J2130">
        <v>1</v>
      </c>
      <c r="K2130" t="s">
        <v>8922</v>
      </c>
    </row>
    <row r="2131" spans="1:11" x14ac:dyDescent="0.25">
      <c r="A2131" t="s">
        <v>7131</v>
      </c>
      <c r="B2131" t="s">
        <v>7132</v>
      </c>
      <c r="C2131" t="s">
        <v>2242</v>
      </c>
      <c r="D2131" t="s">
        <v>7133</v>
      </c>
      <c r="E2131" t="s">
        <v>14</v>
      </c>
      <c r="F2131" t="s">
        <v>15</v>
      </c>
      <c r="G2131">
        <v>28209</v>
      </c>
      <c r="H2131" t="s">
        <v>21</v>
      </c>
      <c r="I2131">
        <v>88</v>
      </c>
      <c r="J2131">
        <v>1</v>
      </c>
      <c r="K2131" t="s">
        <v>8935</v>
      </c>
    </row>
    <row r="2132" spans="1:11" x14ac:dyDescent="0.25">
      <c r="A2132" t="s">
        <v>7134</v>
      </c>
      <c r="B2132" t="s">
        <v>7135</v>
      </c>
      <c r="C2132" t="s">
        <v>6639</v>
      </c>
      <c r="D2132" t="s">
        <v>7136</v>
      </c>
      <c r="E2132" t="s">
        <v>14</v>
      </c>
      <c r="F2132" t="s">
        <v>15</v>
      </c>
      <c r="G2132">
        <v>28244</v>
      </c>
      <c r="H2132" t="s">
        <v>26</v>
      </c>
      <c r="I2132">
        <v>356</v>
      </c>
      <c r="J2132">
        <v>1</v>
      </c>
      <c r="K2132" t="s">
        <v>8935</v>
      </c>
    </row>
    <row r="2133" spans="1:11" x14ac:dyDescent="0.25">
      <c r="A2133" t="s">
        <v>7137</v>
      </c>
      <c r="B2133" t="s">
        <v>7138</v>
      </c>
      <c r="C2133" t="s">
        <v>3837</v>
      </c>
      <c r="D2133" t="s">
        <v>7139</v>
      </c>
      <c r="E2133" t="s">
        <v>14</v>
      </c>
      <c r="F2133" t="s">
        <v>15</v>
      </c>
      <c r="G2133">
        <v>28273</v>
      </c>
      <c r="H2133" t="s">
        <v>101</v>
      </c>
      <c r="I2133">
        <v>86</v>
      </c>
      <c r="J2133">
        <v>1</v>
      </c>
      <c r="K2133" t="s">
        <v>8935</v>
      </c>
    </row>
    <row r="2134" spans="1:11" x14ac:dyDescent="0.25">
      <c r="A2134" t="s">
        <v>7140</v>
      </c>
      <c r="B2134" t="s">
        <v>4033</v>
      </c>
      <c r="C2134" t="s">
        <v>7141</v>
      </c>
      <c r="D2134" t="s">
        <v>5913</v>
      </c>
      <c r="E2134" t="s">
        <v>14</v>
      </c>
      <c r="F2134" t="s">
        <v>15</v>
      </c>
      <c r="G2134">
        <v>28277</v>
      </c>
      <c r="H2134" t="s">
        <v>26</v>
      </c>
      <c r="I2134">
        <v>61</v>
      </c>
      <c r="J2134">
        <v>0</v>
      </c>
      <c r="K2134" t="s">
        <v>8935</v>
      </c>
    </row>
    <row r="2135" spans="1:11" x14ac:dyDescent="0.25">
      <c r="A2135" t="s">
        <v>7142</v>
      </c>
      <c r="B2135" t="s">
        <v>7143</v>
      </c>
      <c r="C2135" t="s">
        <v>7144</v>
      </c>
      <c r="D2135" t="s">
        <v>7145</v>
      </c>
      <c r="E2135" t="s">
        <v>14</v>
      </c>
      <c r="F2135" t="s">
        <v>15</v>
      </c>
      <c r="G2135">
        <v>28202</v>
      </c>
      <c r="H2135" t="s">
        <v>16</v>
      </c>
      <c r="I2135">
        <v>53</v>
      </c>
      <c r="J2135">
        <v>1</v>
      </c>
      <c r="K2135" t="s">
        <v>8935</v>
      </c>
    </row>
    <row r="2136" spans="1:11" x14ac:dyDescent="0.25">
      <c r="A2136" t="s">
        <v>7146</v>
      </c>
      <c r="B2136" t="s">
        <v>7147</v>
      </c>
      <c r="C2136" t="s">
        <v>7148</v>
      </c>
      <c r="D2136" t="s">
        <v>7149</v>
      </c>
      <c r="E2136" t="s">
        <v>14</v>
      </c>
      <c r="F2136" t="s">
        <v>15</v>
      </c>
      <c r="G2136">
        <v>28209</v>
      </c>
      <c r="H2136" t="s">
        <v>16</v>
      </c>
      <c r="I2136">
        <v>105</v>
      </c>
      <c r="J2136">
        <v>0</v>
      </c>
      <c r="K2136" t="s">
        <v>8927</v>
      </c>
    </row>
    <row r="2137" spans="1:11" x14ac:dyDescent="0.25">
      <c r="A2137" t="s">
        <v>7150</v>
      </c>
      <c r="B2137" t="s">
        <v>7151</v>
      </c>
      <c r="C2137" t="s">
        <v>7152</v>
      </c>
      <c r="D2137" t="s">
        <v>2930</v>
      </c>
      <c r="E2137" t="s">
        <v>14</v>
      </c>
      <c r="F2137" t="s">
        <v>15</v>
      </c>
      <c r="G2137">
        <v>28227</v>
      </c>
      <c r="H2137" t="s">
        <v>16</v>
      </c>
      <c r="I2137">
        <v>54</v>
      </c>
      <c r="J2137">
        <v>1</v>
      </c>
      <c r="K2137" t="s">
        <v>8926</v>
      </c>
    </row>
    <row r="2138" spans="1:11" x14ac:dyDescent="0.25">
      <c r="A2138" t="s">
        <v>7153</v>
      </c>
      <c r="B2138" t="s">
        <v>7154</v>
      </c>
      <c r="C2138" t="s">
        <v>7155</v>
      </c>
      <c r="D2138" t="s">
        <v>3713</v>
      </c>
      <c r="E2138" t="s">
        <v>14</v>
      </c>
      <c r="F2138" t="s">
        <v>15</v>
      </c>
      <c r="G2138">
        <v>28202</v>
      </c>
      <c r="H2138" t="s">
        <v>16</v>
      </c>
      <c r="I2138">
        <v>74</v>
      </c>
      <c r="J2138">
        <v>1</v>
      </c>
      <c r="K2138" t="s">
        <v>8921</v>
      </c>
    </row>
    <row r="2139" spans="1:11" x14ac:dyDescent="0.25">
      <c r="A2139" t="s">
        <v>7156</v>
      </c>
      <c r="B2139" t="s">
        <v>7157</v>
      </c>
      <c r="C2139" t="s">
        <v>1200</v>
      </c>
      <c r="D2139" t="s">
        <v>7158</v>
      </c>
      <c r="E2139" t="s">
        <v>14</v>
      </c>
      <c r="F2139" t="s">
        <v>15</v>
      </c>
      <c r="G2139">
        <v>28211</v>
      </c>
      <c r="H2139" t="s">
        <v>48</v>
      </c>
      <c r="I2139">
        <v>31</v>
      </c>
      <c r="J2139">
        <v>1</v>
      </c>
      <c r="K2139" t="s">
        <v>8935</v>
      </c>
    </row>
    <row r="2140" spans="1:11" x14ac:dyDescent="0.25">
      <c r="A2140" t="s">
        <v>7159</v>
      </c>
      <c r="B2140" t="s">
        <v>4140</v>
      </c>
      <c r="C2140" t="s">
        <v>7160</v>
      </c>
      <c r="D2140" t="s">
        <v>7161</v>
      </c>
      <c r="E2140" t="s">
        <v>14</v>
      </c>
      <c r="F2140" t="s">
        <v>15</v>
      </c>
      <c r="G2140">
        <v>28205</v>
      </c>
      <c r="H2140" t="s">
        <v>16</v>
      </c>
      <c r="I2140">
        <v>214</v>
      </c>
      <c r="J2140">
        <v>1</v>
      </c>
      <c r="K2140" t="s">
        <v>8925</v>
      </c>
    </row>
    <row r="2141" spans="1:11" x14ac:dyDescent="0.25">
      <c r="A2141" t="s">
        <v>7162</v>
      </c>
      <c r="B2141" t="s">
        <v>2058</v>
      </c>
      <c r="C2141" t="s">
        <v>3226</v>
      </c>
      <c r="D2141" t="s">
        <v>7163</v>
      </c>
      <c r="E2141" t="s">
        <v>14</v>
      </c>
      <c r="F2141" t="s">
        <v>15</v>
      </c>
      <c r="G2141">
        <v>28211</v>
      </c>
      <c r="H2141" t="s">
        <v>101</v>
      </c>
      <c r="I2141">
        <v>9</v>
      </c>
      <c r="J2141">
        <v>0</v>
      </c>
      <c r="K2141" t="s">
        <v>8935</v>
      </c>
    </row>
    <row r="2142" spans="1:11" x14ac:dyDescent="0.25">
      <c r="A2142" t="s">
        <v>7164</v>
      </c>
      <c r="B2142" t="s">
        <v>7165</v>
      </c>
      <c r="C2142" t="s">
        <v>6044</v>
      </c>
      <c r="D2142" t="s">
        <v>7166</v>
      </c>
      <c r="E2142" t="s">
        <v>14</v>
      </c>
      <c r="F2142" t="s">
        <v>15</v>
      </c>
      <c r="G2142">
        <v>28262</v>
      </c>
      <c r="H2142" t="s">
        <v>21</v>
      </c>
      <c r="I2142">
        <v>36</v>
      </c>
      <c r="J2142">
        <v>0</v>
      </c>
      <c r="K2142" t="s">
        <v>8920</v>
      </c>
    </row>
    <row r="2143" spans="1:11" x14ac:dyDescent="0.25">
      <c r="A2143" t="s">
        <v>7167</v>
      </c>
      <c r="B2143" t="s">
        <v>7168</v>
      </c>
      <c r="C2143" t="s">
        <v>7169</v>
      </c>
      <c r="D2143" t="s">
        <v>7170</v>
      </c>
      <c r="E2143" t="s">
        <v>14</v>
      </c>
      <c r="F2143" t="s">
        <v>15</v>
      </c>
      <c r="G2143">
        <v>28205</v>
      </c>
      <c r="H2143" t="s">
        <v>26</v>
      </c>
      <c r="I2143">
        <v>499</v>
      </c>
      <c r="J2143">
        <v>1</v>
      </c>
      <c r="K2143" t="s">
        <v>8937</v>
      </c>
    </row>
    <row r="2144" spans="1:11" x14ac:dyDescent="0.25">
      <c r="A2144" t="s">
        <v>7171</v>
      </c>
      <c r="B2144" t="s">
        <v>139</v>
      </c>
      <c r="C2144" t="s">
        <v>7172</v>
      </c>
      <c r="D2144" t="s">
        <v>7173</v>
      </c>
      <c r="E2144" t="s">
        <v>14</v>
      </c>
      <c r="F2144" t="s">
        <v>15</v>
      </c>
      <c r="G2144">
        <v>28216</v>
      </c>
      <c r="H2144" t="s">
        <v>101</v>
      </c>
      <c r="I2144">
        <v>6</v>
      </c>
      <c r="J2144">
        <v>1</v>
      </c>
      <c r="K2144" t="s">
        <v>8926</v>
      </c>
    </row>
    <row r="2145" spans="1:11" x14ac:dyDescent="0.25">
      <c r="A2145" t="s">
        <v>7174</v>
      </c>
      <c r="B2145" t="s">
        <v>7175</v>
      </c>
      <c r="C2145" t="s">
        <v>7176</v>
      </c>
      <c r="E2145" t="s">
        <v>14</v>
      </c>
      <c r="F2145" t="s">
        <v>15</v>
      </c>
      <c r="G2145">
        <v>28105</v>
      </c>
      <c r="H2145" t="s">
        <v>146</v>
      </c>
      <c r="I2145">
        <v>5</v>
      </c>
      <c r="J2145">
        <v>1</v>
      </c>
      <c r="K2145" t="s">
        <v>8921</v>
      </c>
    </row>
    <row r="2146" spans="1:11" x14ac:dyDescent="0.25">
      <c r="A2146" t="s">
        <v>7177</v>
      </c>
      <c r="B2146" t="s">
        <v>7178</v>
      </c>
      <c r="C2146" t="s">
        <v>715</v>
      </c>
      <c r="D2146" t="s">
        <v>7179</v>
      </c>
      <c r="E2146" t="s">
        <v>14</v>
      </c>
      <c r="F2146" t="s">
        <v>15</v>
      </c>
      <c r="G2146">
        <v>28208</v>
      </c>
      <c r="H2146" t="s">
        <v>26</v>
      </c>
      <c r="I2146">
        <v>29</v>
      </c>
      <c r="J2146">
        <v>1</v>
      </c>
      <c r="K2146" t="s">
        <v>8925</v>
      </c>
    </row>
    <row r="2147" spans="1:11" x14ac:dyDescent="0.25">
      <c r="A2147" t="s">
        <v>7180</v>
      </c>
      <c r="B2147" t="s">
        <v>5250</v>
      </c>
      <c r="C2147" t="s">
        <v>2818</v>
      </c>
      <c r="D2147" t="s">
        <v>3878</v>
      </c>
      <c r="E2147" t="s">
        <v>14</v>
      </c>
      <c r="F2147" t="s">
        <v>15</v>
      </c>
      <c r="G2147">
        <v>28210</v>
      </c>
      <c r="H2147" t="s">
        <v>26</v>
      </c>
      <c r="I2147">
        <v>8</v>
      </c>
      <c r="J2147">
        <v>1</v>
      </c>
      <c r="K2147" t="s">
        <v>8931</v>
      </c>
    </row>
    <row r="2148" spans="1:11" x14ac:dyDescent="0.25">
      <c r="A2148" t="s">
        <v>7181</v>
      </c>
      <c r="B2148" t="s">
        <v>7182</v>
      </c>
      <c r="C2148" t="s">
        <v>7183</v>
      </c>
      <c r="D2148" t="s">
        <v>7184</v>
      </c>
      <c r="E2148" t="s">
        <v>14</v>
      </c>
      <c r="F2148" t="s">
        <v>15</v>
      </c>
      <c r="G2148">
        <v>28217</v>
      </c>
      <c r="H2148" t="s">
        <v>48</v>
      </c>
      <c r="I2148">
        <v>76</v>
      </c>
      <c r="J2148">
        <v>1</v>
      </c>
      <c r="K2148" t="s">
        <v>8925</v>
      </c>
    </row>
    <row r="2149" spans="1:11" x14ac:dyDescent="0.25">
      <c r="A2149" t="s">
        <v>7185</v>
      </c>
      <c r="B2149" t="s">
        <v>279</v>
      </c>
      <c r="C2149" t="s">
        <v>7186</v>
      </c>
      <c r="D2149" t="s">
        <v>1644</v>
      </c>
      <c r="E2149" t="s">
        <v>14</v>
      </c>
      <c r="F2149" t="s">
        <v>15</v>
      </c>
      <c r="G2149">
        <v>28209</v>
      </c>
      <c r="H2149" t="s">
        <v>21</v>
      </c>
      <c r="I2149">
        <v>55</v>
      </c>
      <c r="J2149">
        <v>0</v>
      </c>
      <c r="K2149" t="s">
        <v>8926</v>
      </c>
    </row>
    <row r="2150" spans="1:11" x14ac:dyDescent="0.25">
      <c r="A2150" t="s">
        <v>7187</v>
      </c>
      <c r="B2150" t="s">
        <v>7188</v>
      </c>
      <c r="C2150" t="s">
        <v>7189</v>
      </c>
      <c r="D2150" t="s">
        <v>7190</v>
      </c>
      <c r="E2150" t="s">
        <v>14</v>
      </c>
      <c r="F2150" t="s">
        <v>15</v>
      </c>
      <c r="G2150">
        <v>28208</v>
      </c>
      <c r="H2150" t="s">
        <v>26</v>
      </c>
      <c r="I2150">
        <v>119</v>
      </c>
      <c r="J2150">
        <v>1</v>
      </c>
      <c r="K2150" t="s">
        <v>8921</v>
      </c>
    </row>
    <row r="2151" spans="1:11" x14ac:dyDescent="0.25">
      <c r="A2151" t="s">
        <v>7191</v>
      </c>
      <c r="B2151" t="s">
        <v>811</v>
      </c>
      <c r="C2151" t="s">
        <v>7192</v>
      </c>
      <c r="D2151" t="s">
        <v>7193</v>
      </c>
      <c r="E2151" t="s">
        <v>14</v>
      </c>
      <c r="F2151" t="s">
        <v>15</v>
      </c>
      <c r="G2151">
        <v>28212</v>
      </c>
      <c r="H2151" t="s">
        <v>16</v>
      </c>
      <c r="I2151">
        <v>38</v>
      </c>
      <c r="J2151">
        <v>1</v>
      </c>
      <c r="K2151" t="s">
        <v>8925</v>
      </c>
    </row>
    <row r="2152" spans="1:11" x14ac:dyDescent="0.25">
      <c r="A2152" t="s">
        <v>7194</v>
      </c>
      <c r="B2152" t="s">
        <v>4369</v>
      </c>
      <c r="C2152" t="s">
        <v>263</v>
      </c>
      <c r="D2152" t="s">
        <v>7195</v>
      </c>
      <c r="E2152" t="s">
        <v>14</v>
      </c>
      <c r="F2152" t="s">
        <v>15</v>
      </c>
      <c r="G2152">
        <v>28262</v>
      </c>
      <c r="H2152" t="s">
        <v>195</v>
      </c>
      <c r="I2152">
        <v>13</v>
      </c>
      <c r="J2152">
        <v>1</v>
      </c>
      <c r="K2152" t="s">
        <v>8935</v>
      </c>
    </row>
    <row r="2153" spans="1:11" x14ac:dyDescent="0.25">
      <c r="A2153" t="s">
        <v>7196</v>
      </c>
      <c r="B2153" t="s">
        <v>86</v>
      </c>
      <c r="C2153" t="s">
        <v>2456</v>
      </c>
      <c r="D2153" t="s">
        <v>7197</v>
      </c>
      <c r="E2153" t="s">
        <v>14</v>
      </c>
      <c r="F2153" t="s">
        <v>15</v>
      </c>
      <c r="G2153">
        <v>28211</v>
      </c>
      <c r="H2153" t="s">
        <v>21</v>
      </c>
      <c r="I2153">
        <v>102</v>
      </c>
      <c r="J2153">
        <v>1</v>
      </c>
      <c r="K2153" t="s">
        <v>8935</v>
      </c>
    </row>
    <row r="2154" spans="1:11" x14ac:dyDescent="0.25">
      <c r="A2154" t="s">
        <v>7198</v>
      </c>
      <c r="B2154" t="s">
        <v>7199</v>
      </c>
      <c r="C2154" t="s">
        <v>7200</v>
      </c>
      <c r="D2154" t="s">
        <v>7201</v>
      </c>
      <c r="E2154" t="s">
        <v>14</v>
      </c>
      <c r="F2154" t="s">
        <v>15</v>
      </c>
      <c r="G2154">
        <v>28202</v>
      </c>
      <c r="H2154" t="s">
        <v>21</v>
      </c>
      <c r="I2154">
        <v>41</v>
      </c>
      <c r="J2154">
        <v>1</v>
      </c>
      <c r="K2154" t="s">
        <v>8935</v>
      </c>
    </row>
    <row r="2155" spans="1:11" x14ac:dyDescent="0.25">
      <c r="A2155" t="s">
        <v>7202</v>
      </c>
      <c r="B2155" t="s">
        <v>7203</v>
      </c>
      <c r="C2155" t="s">
        <v>1867</v>
      </c>
      <c r="D2155" t="s">
        <v>7204</v>
      </c>
      <c r="E2155" t="s">
        <v>14</v>
      </c>
      <c r="F2155" t="s">
        <v>15</v>
      </c>
      <c r="G2155">
        <v>28277</v>
      </c>
      <c r="H2155" t="s">
        <v>48</v>
      </c>
      <c r="I2155">
        <v>83</v>
      </c>
      <c r="J2155">
        <v>0</v>
      </c>
      <c r="K2155" t="s">
        <v>8935</v>
      </c>
    </row>
    <row r="2156" spans="1:11" x14ac:dyDescent="0.25">
      <c r="A2156" t="s">
        <v>7205</v>
      </c>
      <c r="B2156" t="s">
        <v>7206</v>
      </c>
      <c r="C2156" t="s">
        <v>1461</v>
      </c>
      <c r="D2156" t="s">
        <v>7207</v>
      </c>
      <c r="E2156" t="s">
        <v>14</v>
      </c>
      <c r="F2156" t="s">
        <v>15</v>
      </c>
      <c r="G2156">
        <v>28211</v>
      </c>
      <c r="H2156" t="s">
        <v>48</v>
      </c>
      <c r="I2156">
        <v>31</v>
      </c>
      <c r="J2156">
        <v>1</v>
      </c>
      <c r="K2156" t="s">
        <v>8935</v>
      </c>
    </row>
    <row r="2157" spans="1:11" x14ac:dyDescent="0.25">
      <c r="A2157" t="s">
        <v>7208</v>
      </c>
      <c r="B2157" t="s">
        <v>7209</v>
      </c>
      <c r="C2157" t="s">
        <v>7210</v>
      </c>
      <c r="D2157" t="s">
        <v>2219</v>
      </c>
      <c r="E2157" t="s">
        <v>14</v>
      </c>
      <c r="F2157" t="s">
        <v>15</v>
      </c>
      <c r="G2157">
        <v>28204</v>
      </c>
      <c r="H2157" t="s">
        <v>26</v>
      </c>
      <c r="I2157">
        <v>58</v>
      </c>
      <c r="J2157">
        <v>1</v>
      </c>
      <c r="K2157" t="s">
        <v>8935</v>
      </c>
    </row>
    <row r="2158" spans="1:11" x14ac:dyDescent="0.25">
      <c r="A2158" t="s">
        <v>7211</v>
      </c>
      <c r="B2158" t="s">
        <v>7212</v>
      </c>
      <c r="C2158" t="s">
        <v>7213</v>
      </c>
      <c r="D2158" t="s">
        <v>7214</v>
      </c>
      <c r="E2158" t="s">
        <v>14</v>
      </c>
      <c r="F2158" t="s">
        <v>15</v>
      </c>
      <c r="G2158">
        <v>28203</v>
      </c>
      <c r="H2158" t="s">
        <v>21</v>
      </c>
      <c r="I2158">
        <v>86</v>
      </c>
      <c r="J2158">
        <v>1</v>
      </c>
      <c r="K2158" t="s">
        <v>8926</v>
      </c>
    </row>
    <row r="2159" spans="1:11" x14ac:dyDescent="0.25">
      <c r="A2159" t="s">
        <v>7215</v>
      </c>
      <c r="B2159" t="s">
        <v>139</v>
      </c>
      <c r="C2159" t="s">
        <v>7216</v>
      </c>
      <c r="D2159" t="s">
        <v>7217</v>
      </c>
      <c r="E2159" t="s">
        <v>14</v>
      </c>
      <c r="F2159" t="s">
        <v>15</v>
      </c>
      <c r="G2159">
        <v>28215</v>
      </c>
      <c r="H2159" t="s">
        <v>21</v>
      </c>
      <c r="I2159">
        <v>22</v>
      </c>
      <c r="J2159">
        <v>1</v>
      </c>
      <c r="K2159" t="s">
        <v>8926</v>
      </c>
    </row>
    <row r="2160" spans="1:11" x14ac:dyDescent="0.25">
      <c r="A2160" t="s">
        <v>7218</v>
      </c>
      <c r="B2160" t="s">
        <v>811</v>
      </c>
      <c r="C2160" t="s">
        <v>7219</v>
      </c>
      <c r="D2160" t="s">
        <v>7220</v>
      </c>
      <c r="E2160" t="s">
        <v>14</v>
      </c>
      <c r="F2160" t="s">
        <v>15</v>
      </c>
      <c r="G2160">
        <v>28273</v>
      </c>
      <c r="H2160" t="s">
        <v>21</v>
      </c>
      <c r="I2160">
        <v>120</v>
      </c>
      <c r="J2160">
        <v>1</v>
      </c>
      <c r="K2160" t="s">
        <v>8925</v>
      </c>
    </row>
    <row r="2161" spans="1:11" x14ac:dyDescent="0.25">
      <c r="A2161" t="s">
        <v>7221</v>
      </c>
      <c r="B2161" t="s">
        <v>7222</v>
      </c>
      <c r="C2161" t="s">
        <v>7223</v>
      </c>
      <c r="D2161" t="s">
        <v>7224</v>
      </c>
      <c r="E2161" t="s">
        <v>14</v>
      </c>
      <c r="F2161" t="s">
        <v>15</v>
      </c>
      <c r="G2161">
        <v>28269</v>
      </c>
      <c r="H2161" t="s">
        <v>26</v>
      </c>
      <c r="I2161">
        <v>30</v>
      </c>
      <c r="J2161">
        <v>1</v>
      </c>
      <c r="K2161" t="s">
        <v>8935</v>
      </c>
    </row>
    <row r="2162" spans="1:11" x14ac:dyDescent="0.25">
      <c r="A2162" t="s">
        <v>7225</v>
      </c>
      <c r="B2162" t="s">
        <v>7226</v>
      </c>
      <c r="C2162" t="s">
        <v>6168</v>
      </c>
      <c r="D2162" t="s">
        <v>7227</v>
      </c>
      <c r="E2162" t="s">
        <v>14</v>
      </c>
      <c r="F2162" t="s">
        <v>15</v>
      </c>
      <c r="G2162">
        <v>28213</v>
      </c>
      <c r="H2162" t="s">
        <v>16</v>
      </c>
      <c r="I2162">
        <v>31</v>
      </c>
      <c r="J2162">
        <v>1</v>
      </c>
      <c r="K2162" t="s">
        <v>8935</v>
      </c>
    </row>
    <row r="2163" spans="1:11" x14ac:dyDescent="0.25">
      <c r="A2163" t="s">
        <v>7228</v>
      </c>
      <c r="B2163" t="s">
        <v>7229</v>
      </c>
      <c r="C2163" t="s">
        <v>7230</v>
      </c>
      <c r="D2163" t="s">
        <v>7231</v>
      </c>
      <c r="E2163" t="s">
        <v>14</v>
      </c>
      <c r="F2163" t="s">
        <v>15</v>
      </c>
      <c r="G2163">
        <v>28277</v>
      </c>
      <c r="H2163" t="s">
        <v>16</v>
      </c>
      <c r="I2163">
        <v>167</v>
      </c>
      <c r="J2163">
        <v>1</v>
      </c>
      <c r="K2163" t="s">
        <v>8935</v>
      </c>
    </row>
    <row r="2164" spans="1:11" x14ac:dyDescent="0.25">
      <c r="A2164" t="s">
        <v>7232</v>
      </c>
      <c r="B2164" t="s">
        <v>7233</v>
      </c>
      <c r="C2164" t="s">
        <v>7234</v>
      </c>
      <c r="D2164" t="s">
        <v>7235</v>
      </c>
      <c r="E2164" t="s">
        <v>14</v>
      </c>
      <c r="F2164" t="s">
        <v>15</v>
      </c>
      <c r="G2164">
        <v>28205</v>
      </c>
      <c r="H2164" t="s">
        <v>16</v>
      </c>
      <c r="I2164">
        <v>5</v>
      </c>
      <c r="J2164">
        <v>1</v>
      </c>
      <c r="K2164" t="s">
        <v>8935</v>
      </c>
    </row>
    <row r="2165" spans="1:11" x14ac:dyDescent="0.25">
      <c r="A2165" t="s">
        <v>7236</v>
      </c>
      <c r="B2165" t="s">
        <v>2469</v>
      </c>
      <c r="C2165" t="s">
        <v>364</v>
      </c>
      <c r="D2165" t="s">
        <v>7237</v>
      </c>
      <c r="E2165" t="s">
        <v>14</v>
      </c>
      <c r="F2165" t="s">
        <v>15</v>
      </c>
      <c r="G2165">
        <v>28277</v>
      </c>
      <c r="H2165" t="s">
        <v>26</v>
      </c>
      <c r="I2165">
        <v>4</v>
      </c>
      <c r="J2165">
        <v>1</v>
      </c>
      <c r="K2165" t="s">
        <v>8935</v>
      </c>
    </row>
    <row r="2166" spans="1:11" x14ac:dyDescent="0.25">
      <c r="A2166" t="s">
        <v>7238</v>
      </c>
      <c r="B2166" t="s">
        <v>7239</v>
      </c>
      <c r="C2166" t="s">
        <v>7240</v>
      </c>
      <c r="D2166" t="s">
        <v>4126</v>
      </c>
      <c r="E2166" t="s">
        <v>14</v>
      </c>
      <c r="F2166" t="s">
        <v>15</v>
      </c>
      <c r="G2166">
        <v>28273</v>
      </c>
      <c r="H2166" t="s">
        <v>16</v>
      </c>
      <c r="I2166">
        <v>132</v>
      </c>
      <c r="J2166">
        <v>1</v>
      </c>
      <c r="K2166" t="s">
        <v>8935</v>
      </c>
    </row>
    <row r="2167" spans="1:11" x14ac:dyDescent="0.25">
      <c r="A2167" t="s">
        <v>7241</v>
      </c>
      <c r="B2167" t="s">
        <v>172</v>
      </c>
      <c r="C2167" t="s">
        <v>7242</v>
      </c>
      <c r="D2167" t="s">
        <v>7243</v>
      </c>
      <c r="E2167" t="s">
        <v>14</v>
      </c>
      <c r="F2167" t="s">
        <v>15</v>
      </c>
      <c r="G2167">
        <v>28217</v>
      </c>
      <c r="H2167" t="s">
        <v>16</v>
      </c>
      <c r="I2167">
        <v>349</v>
      </c>
      <c r="J2167">
        <v>1</v>
      </c>
      <c r="K2167" t="s">
        <v>8927</v>
      </c>
    </row>
    <row r="2168" spans="1:11" x14ac:dyDescent="0.25">
      <c r="A2168" t="s">
        <v>7244</v>
      </c>
      <c r="B2168" t="s">
        <v>4720</v>
      </c>
      <c r="C2168" t="s">
        <v>1608</v>
      </c>
      <c r="D2168" t="s">
        <v>7245</v>
      </c>
      <c r="E2168" t="s">
        <v>14</v>
      </c>
      <c r="F2168" t="s">
        <v>15</v>
      </c>
      <c r="G2168">
        <v>28269</v>
      </c>
      <c r="H2168" t="s">
        <v>195</v>
      </c>
      <c r="I2168">
        <v>22</v>
      </c>
      <c r="J2168">
        <v>1</v>
      </c>
      <c r="K2168" t="s">
        <v>8921</v>
      </c>
    </row>
    <row r="2169" spans="1:11" x14ac:dyDescent="0.25">
      <c r="A2169" t="s">
        <v>7246</v>
      </c>
      <c r="B2169" t="s">
        <v>1273</v>
      </c>
      <c r="C2169" t="s">
        <v>4189</v>
      </c>
      <c r="D2169" t="s">
        <v>7247</v>
      </c>
      <c r="E2169" t="s">
        <v>14</v>
      </c>
      <c r="F2169" t="s">
        <v>15</v>
      </c>
      <c r="G2169">
        <v>28213</v>
      </c>
      <c r="H2169" t="s">
        <v>101</v>
      </c>
      <c r="I2169">
        <v>13</v>
      </c>
      <c r="J2169">
        <v>1</v>
      </c>
      <c r="K2169" t="s">
        <v>8935</v>
      </c>
    </row>
    <row r="2170" spans="1:11" x14ac:dyDescent="0.25">
      <c r="A2170" t="s">
        <v>7248</v>
      </c>
      <c r="B2170" t="s">
        <v>7249</v>
      </c>
      <c r="C2170" t="s">
        <v>7250</v>
      </c>
      <c r="D2170" t="s">
        <v>3220</v>
      </c>
      <c r="E2170" t="s">
        <v>14</v>
      </c>
      <c r="F2170" t="s">
        <v>15</v>
      </c>
      <c r="G2170">
        <v>28202</v>
      </c>
      <c r="H2170" t="s">
        <v>26</v>
      </c>
      <c r="I2170">
        <v>55</v>
      </c>
      <c r="J2170">
        <v>0</v>
      </c>
      <c r="K2170" t="s">
        <v>8935</v>
      </c>
    </row>
    <row r="2171" spans="1:11" x14ac:dyDescent="0.25">
      <c r="A2171" t="s">
        <v>7251</v>
      </c>
      <c r="B2171" t="s">
        <v>7252</v>
      </c>
      <c r="C2171" t="s">
        <v>193</v>
      </c>
      <c r="D2171" t="s">
        <v>7253</v>
      </c>
      <c r="E2171" t="s">
        <v>14</v>
      </c>
      <c r="F2171" t="s">
        <v>15</v>
      </c>
      <c r="G2171">
        <v>28209</v>
      </c>
      <c r="H2171" t="s">
        <v>195</v>
      </c>
      <c r="I2171">
        <v>33</v>
      </c>
      <c r="J2171">
        <v>1</v>
      </c>
      <c r="K2171" t="s">
        <v>8935</v>
      </c>
    </row>
    <row r="2172" spans="1:11" x14ac:dyDescent="0.25">
      <c r="A2172" t="s">
        <v>7254</v>
      </c>
      <c r="B2172" t="s">
        <v>7255</v>
      </c>
      <c r="C2172" t="s">
        <v>1526</v>
      </c>
      <c r="D2172" t="s">
        <v>137</v>
      </c>
      <c r="E2172" t="s">
        <v>14</v>
      </c>
      <c r="F2172" t="s">
        <v>15</v>
      </c>
      <c r="G2172">
        <v>28202</v>
      </c>
      <c r="H2172" t="s">
        <v>16</v>
      </c>
      <c r="I2172">
        <v>77</v>
      </c>
      <c r="J2172">
        <v>1</v>
      </c>
      <c r="K2172" t="s">
        <v>8935</v>
      </c>
    </row>
    <row r="2173" spans="1:11" x14ac:dyDescent="0.25">
      <c r="A2173" t="s">
        <v>7256</v>
      </c>
      <c r="B2173" t="s">
        <v>7257</v>
      </c>
      <c r="C2173" t="s">
        <v>7258</v>
      </c>
      <c r="D2173" t="s">
        <v>3273</v>
      </c>
      <c r="E2173" t="s">
        <v>14</v>
      </c>
      <c r="F2173" t="s">
        <v>15</v>
      </c>
      <c r="G2173">
        <v>28262</v>
      </c>
      <c r="H2173" t="s">
        <v>26</v>
      </c>
      <c r="I2173">
        <v>67</v>
      </c>
      <c r="J2173">
        <v>0</v>
      </c>
      <c r="K2173" t="s">
        <v>8936</v>
      </c>
    </row>
    <row r="2174" spans="1:11" x14ac:dyDescent="0.25">
      <c r="A2174" t="s">
        <v>7259</v>
      </c>
      <c r="B2174" t="s">
        <v>7260</v>
      </c>
      <c r="C2174" t="s">
        <v>7261</v>
      </c>
      <c r="D2174" t="s">
        <v>7262</v>
      </c>
      <c r="E2174" t="s">
        <v>14</v>
      </c>
      <c r="F2174" t="s">
        <v>15</v>
      </c>
      <c r="G2174">
        <v>28209</v>
      </c>
      <c r="H2174" t="s">
        <v>16</v>
      </c>
      <c r="I2174">
        <v>574</v>
      </c>
      <c r="J2174">
        <v>1</v>
      </c>
      <c r="K2174" t="s">
        <v>8935</v>
      </c>
    </row>
    <row r="2175" spans="1:11" x14ac:dyDescent="0.25">
      <c r="A2175" t="s">
        <v>7263</v>
      </c>
      <c r="B2175" t="s">
        <v>7264</v>
      </c>
      <c r="C2175" t="s">
        <v>7265</v>
      </c>
      <c r="D2175" t="s">
        <v>7266</v>
      </c>
      <c r="E2175" t="s">
        <v>14</v>
      </c>
      <c r="F2175" t="s">
        <v>15</v>
      </c>
      <c r="G2175">
        <v>28277</v>
      </c>
      <c r="H2175" t="s">
        <v>16</v>
      </c>
      <c r="I2175">
        <v>162</v>
      </c>
      <c r="J2175">
        <v>1</v>
      </c>
      <c r="K2175" t="s">
        <v>8921</v>
      </c>
    </row>
    <row r="2176" spans="1:11" x14ac:dyDescent="0.25">
      <c r="A2176" t="s">
        <v>7267</v>
      </c>
      <c r="B2176" t="s">
        <v>7268</v>
      </c>
      <c r="C2176" t="s">
        <v>7269</v>
      </c>
      <c r="D2176" t="s">
        <v>2432</v>
      </c>
      <c r="E2176" t="s">
        <v>14</v>
      </c>
      <c r="F2176" t="s">
        <v>15</v>
      </c>
      <c r="G2176">
        <v>28273</v>
      </c>
      <c r="H2176" t="s">
        <v>26</v>
      </c>
      <c r="I2176">
        <v>28</v>
      </c>
      <c r="J2176">
        <v>0</v>
      </c>
      <c r="K2176" t="s">
        <v>8935</v>
      </c>
    </row>
    <row r="2177" spans="1:11" x14ac:dyDescent="0.25">
      <c r="A2177" t="s">
        <v>7270</v>
      </c>
      <c r="B2177" t="s">
        <v>7271</v>
      </c>
      <c r="C2177" t="s">
        <v>7272</v>
      </c>
      <c r="D2177" t="s">
        <v>7273</v>
      </c>
      <c r="E2177" t="s">
        <v>14</v>
      </c>
      <c r="F2177" t="s">
        <v>15</v>
      </c>
      <c r="G2177">
        <v>28277</v>
      </c>
      <c r="H2177" t="s">
        <v>21</v>
      </c>
      <c r="I2177">
        <v>42</v>
      </c>
      <c r="J2177">
        <v>1</v>
      </c>
      <c r="K2177" t="s">
        <v>8926</v>
      </c>
    </row>
    <row r="2178" spans="1:11" x14ac:dyDescent="0.25">
      <c r="A2178" t="s">
        <v>7274</v>
      </c>
      <c r="B2178" t="s">
        <v>668</v>
      </c>
      <c r="C2178" t="s">
        <v>7275</v>
      </c>
      <c r="D2178" t="s">
        <v>6055</v>
      </c>
      <c r="E2178" t="s">
        <v>14</v>
      </c>
      <c r="F2178" t="s">
        <v>15</v>
      </c>
      <c r="G2178">
        <v>28262</v>
      </c>
      <c r="H2178" t="s">
        <v>21</v>
      </c>
      <c r="I2178">
        <v>160</v>
      </c>
      <c r="J2178">
        <v>1</v>
      </c>
      <c r="K2178" t="s">
        <v>8920</v>
      </c>
    </row>
    <row r="2179" spans="1:11" x14ac:dyDescent="0.25">
      <c r="A2179" t="s">
        <v>7276</v>
      </c>
      <c r="B2179" t="s">
        <v>895</v>
      </c>
      <c r="C2179" t="s">
        <v>7277</v>
      </c>
      <c r="D2179" t="s">
        <v>7278</v>
      </c>
      <c r="E2179" t="s">
        <v>14</v>
      </c>
      <c r="F2179" t="s">
        <v>15</v>
      </c>
      <c r="G2179">
        <v>28262</v>
      </c>
      <c r="H2179" t="s">
        <v>21</v>
      </c>
      <c r="I2179">
        <v>219</v>
      </c>
      <c r="J2179">
        <v>1</v>
      </c>
      <c r="K2179" t="s">
        <v>8935</v>
      </c>
    </row>
    <row r="2180" spans="1:11" x14ac:dyDescent="0.25">
      <c r="A2180" t="s">
        <v>7279</v>
      </c>
      <c r="B2180" t="s">
        <v>7280</v>
      </c>
      <c r="C2180" t="s">
        <v>4232</v>
      </c>
      <c r="D2180" t="s">
        <v>7281</v>
      </c>
      <c r="E2180" t="s">
        <v>14</v>
      </c>
      <c r="F2180" t="s">
        <v>15</v>
      </c>
      <c r="G2180">
        <v>28226</v>
      </c>
      <c r="H2180" t="s">
        <v>39</v>
      </c>
      <c r="I2180">
        <v>136</v>
      </c>
      <c r="J2180">
        <v>1</v>
      </c>
      <c r="K2180" t="s">
        <v>8931</v>
      </c>
    </row>
    <row r="2181" spans="1:11" x14ac:dyDescent="0.25">
      <c r="A2181" t="s">
        <v>7282</v>
      </c>
      <c r="B2181" t="s">
        <v>316</v>
      </c>
      <c r="C2181" t="s">
        <v>317</v>
      </c>
      <c r="D2181" t="s">
        <v>7283</v>
      </c>
      <c r="E2181" t="s">
        <v>14</v>
      </c>
      <c r="F2181" t="s">
        <v>15</v>
      </c>
      <c r="G2181">
        <v>28273</v>
      </c>
      <c r="H2181" t="s">
        <v>48</v>
      </c>
      <c r="I2181">
        <v>6</v>
      </c>
      <c r="J2181">
        <v>1</v>
      </c>
      <c r="K2181" t="s">
        <v>8935</v>
      </c>
    </row>
    <row r="2182" spans="1:11" x14ac:dyDescent="0.25">
      <c r="A2182" t="s">
        <v>7284</v>
      </c>
      <c r="B2182" t="s">
        <v>82</v>
      </c>
      <c r="C2182" t="s">
        <v>7285</v>
      </c>
      <c r="D2182" t="s">
        <v>7286</v>
      </c>
      <c r="E2182" t="s">
        <v>14</v>
      </c>
      <c r="F2182" t="s">
        <v>15</v>
      </c>
      <c r="G2182">
        <v>28269</v>
      </c>
      <c r="H2182" t="s">
        <v>39</v>
      </c>
      <c r="I2182">
        <v>3</v>
      </c>
      <c r="J2182">
        <v>0</v>
      </c>
      <c r="K2182" t="s">
        <v>8935</v>
      </c>
    </row>
    <row r="2183" spans="1:11" x14ac:dyDescent="0.25">
      <c r="A2183" t="s">
        <v>7287</v>
      </c>
      <c r="B2183" t="s">
        <v>7288</v>
      </c>
      <c r="C2183" t="s">
        <v>221</v>
      </c>
      <c r="D2183" t="s">
        <v>7289</v>
      </c>
      <c r="E2183" t="s">
        <v>14</v>
      </c>
      <c r="F2183" t="s">
        <v>15</v>
      </c>
      <c r="G2183">
        <v>28216</v>
      </c>
      <c r="H2183" t="s">
        <v>101</v>
      </c>
      <c r="I2183">
        <v>10</v>
      </c>
      <c r="J2183">
        <v>1</v>
      </c>
      <c r="K2183" t="s">
        <v>8935</v>
      </c>
    </row>
    <row r="2184" spans="1:11" x14ac:dyDescent="0.25">
      <c r="A2184" t="e">
        <f>-RaFxUB2rClGSnhqGvrpKw</f>
        <v>#NAME?</v>
      </c>
      <c r="B2184" t="s">
        <v>7290</v>
      </c>
      <c r="C2184" t="s">
        <v>1478</v>
      </c>
      <c r="D2184" t="s">
        <v>7291</v>
      </c>
      <c r="E2184" t="s">
        <v>14</v>
      </c>
      <c r="F2184" t="s">
        <v>15</v>
      </c>
      <c r="G2184">
        <v>28288</v>
      </c>
      <c r="H2184" t="s">
        <v>48</v>
      </c>
      <c r="I2184">
        <v>4</v>
      </c>
      <c r="J2184">
        <v>0</v>
      </c>
      <c r="K2184" t="s">
        <v>8935</v>
      </c>
    </row>
    <row r="2185" spans="1:11" x14ac:dyDescent="0.25">
      <c r="A2185" t="s">
        <v>7292</v>
      </c>
      <c r="B2185" t="s">
        <v>7293</v>
      </c>
      <c r="C2185" t="s">
        <v>7294</v>
      </c>
      <c r="D2185" t="s">
        <v>7295</v>
      </c>
      <c r="E2185" t="s">
        <v>14</v>
      </c>
      <c r="F2185" t="s">
        <v>15</v>
      </c>
      <c r="G2185">
        <v>28202</v>
      </c>
      <c r="H2185" t="s">
        <v>26</v>
      </c>
      <c r="I2185">
        <v>213</v>
      </c>
      <c r="J2185">
        <v>1</v>
      </c>
      <c r="K2185" t="s">
        <v>8935</v>
      </c>
    </row>
    <row r="2186" spans="1:11" x14ac:dyDescent="0.25">
      <c r="A2186" t="s">
        <v>7296</v>
      </c>
      <c r="B2186" t="s">
        <v>7297</v>
      </c>
      <c r="C2186" t="s">
        <v>1087</v>
      </c>
      <c r="D2186" t="s">
        <v>7298</v>
      </c>
      <c r="E2186" t="s">
        <v>14</v>
      </c>
      <c r="F2186" t="s">
        <v>15</v>
      </c>
      <c r="G2186">
        <v>28262</v>
      </c>
      <c r="H2186" t="s">
        <v>48</v>
      </c>
      <c r="I2186">
        <v>85</v>
      </c>
      <c r="J2186">
        <v>1</v>
      </c>
      <c r="K2186" t="s">
        <v>8935</v>
      </c>
    </row>
    <row r="2187" spans="1:11" x14ac:dyDescent="0.25">
      <c r="A2187" t="s">
        <v>7299</v>
      </c>
      <c r="B2187" t="s">
        <v>7300</v>
      </c>
      <c r="C2187" t="s">
        <v>7301</v>
      </c>
      <c r="D2187" t="s">
        <v>7302</v>
      </c>
      <c r="E2187" t="s">
        <v>14</v>
      </c>
      <c r="F2187" t="s">
        <v>15</v>
      </c>
      <c r="G2187">
        <v>28214</v>
      </c>
      <c r="H2187" t="s">
        <v>48</v>
      </c>
      <c r="I2187">
        <v>12</v>
      </c>
      <c r="J2187">
        <v>0</v>
      </c>
      <c r="K2187" t="s">
        <v>8935</v>
      </c>
    </row>
    <row r="2188" spans="1:11" x14ac:dyDescent="0.25">
      <c r="A2188" t="s">
        <v>7303</v>
      </c>
      <c r="B2188" t="s">
        <v>7304</v>
      </c>
      <c r="C2188" t="s">
        <v>7305</v>
      </c>
      <c r="D2188" t="s">
        <v>3713</v>
      </c>
      <c r="E2188" t="s">
        <v>14</v>
      </c>
      <c r="F2188" t="s">
        <v>15</v>
      </c>
      <c r="G2188">
        <v>28202</v>
      </c>
      <c r="H2188" t="s">
        <v>26</v>
      </c>
      <c r="I2188">
        <v>5</v>
      </c>
      <c r="J2188">
        <v>1</v>
      </c>
      <c r="K2188" t="s">
        <v>8925</v>
      </c>
    </row>
    <row r="2189" spans="1:11" x14ac:dyDescent="0.25">
      <c r="A2189" t="s">
        <v>7306</v>
      </c>
      <c r="B2189" t="s">
        <v>7307</v>
      </c>
      <c r="C2189" t="s">
        <v>7308</v>
      </c>
      <c r="D2189" t="s">
        <v>7309</v>
      </c>
      <c r="E2189" t="s">
        <v>14</v>
      </c>
      <c r="F2189" t="s">
        <v>15</v>
      </c>
      <c r="G2189">
        <v>28203</v>
      </c>
      <c r="H2189" t="s">
        <v>16</v>
      </c>
      <c r="I2189">
        <v>369</v>
      </c>
      <c r="J2189">
        <v>1</v>
      </c>
      <c r="K2189" t="s">
        <v>8930</v>
      </c>
    </row>
    <row r="2190" spans="1:11" x14ac:dyDescent="0.25">
      <c r="A2190" t="s">
        <v>7310</v>
      </c>
      <c r="B2190" t="s">
        <v>176</v>
      </c>
      <c r="C2190" t="s">
        <v>317</v>
      </c>
      <c r="D2190" t="s">
        <v>7311</v>
      </c>
      <c r="E2190" t="s">
        <v>14</v>
      </c>
      <c r="F2190" t="s">
        <v>15</v>
      </c>
      <c r="G2190">
        <v>28212</v>
      </c>
      <c r="H2190" t="s">
        <v>48</v>
      </c>
      <c r="I2190">
        <v>24</v>
      </c>
      <c r="J2190">
        <v>1</v>
      </c>
      <c r="K2190" t="s">
        <v>8935</v>
      </c>
    </row>
    <row r="2191" spans="1:11" x14ac:dyDescent="0.25">
      <c r="A2191" t="s">
        <v>7312</v>
      </c>
      <c r="B2191" t="s">
        <v>691</v>
      </c>
      <c r="C2191" t="s">
        <v>7313</v>
      </c>
      <c r="D2191" t="s">
        <v>7314</v>
      </c>
      <c r="E2191" t="s">
        <v>14</v>
      </c>
      <c r="F2191" t="s">
        <v>15</v>
      </c>
      <c r="G2191">
        <v>28273</v>
      </c>
      <c r="H2191" t="s">
        <v>21</v>
      </c>
      <c r="I2191">
        <v>25</v>
      </c>
      <c r="J2191">
        <v>1</v>
      </c>
      <c r="K2191" t="s">
        <v>8935</v>
      </c>
    </row>
    <row r="2192" spans="1:11" x14ac:dyDescent="0.25">
      <c r="A2192" t="s">
        <v>7315</v>
      </c>
      <c r="B2192" t="s">
        <v>1301</v>
      </c>
      <c r="C2192" t="s">
        <v>7316</v>
      </c>
      <c r="D2192" t="s">
        <v>7317</v>
      </c>
      <c r="E2192" t="s">
        <v>14</v>
      </c>
      <c r="F2192" t="s">
        <v>15</v>
      </c>
      <c r="G2192">
        <v>28202</v>
      </c>
      <c r="H2192" t="s">
        <v>26</v>
      </c>
      <c r="I2192">
        <v>5</v>
      </c>
      <c r="J2192">
        <v>0</v>
      </c>
      <c r="K2192" t="s">
        <v>8935</v>
      </c>
    </row>
    <row r="2193" spans="1:11" x14ac:dyDescent="0.25">
      <c r="A2193" t="s">
        <v>7318</v>
      </c>
      <c r="B2193" t="s">
        <v>7319</v>
      </c>
      <c r="C2193" t="s">
        <v>7320</v>
      </c>
      <c r="D2193" t="s">
        <v>7321</v>
      </c>
      <c r="E2193" t="s">
        <v>14</v>
      </c>
      <c r="F2193" t="s">
        <v>15</v>
      </c>
      <c r="G2193">
        <v>28204</v>
      </c>
      <c r="H2193" t="s">
        <v>39</v>
      </c>
      <c r="I2193">
        <v>143</v>
      </c>
      <c r="J2193">
        <v>1</v>
      </c>
      <c r="K2193" t="s">
        <v>8924</v>
      </c>
    </row>
    <row r="2194" spans="1:11" x14ac:dyDescent="0.25">
      <c r="A2194" t="s">
        <v>7322</v>
      </c>
      <c r="B2194" t="s">
        <v>7323</v>
      </c>
      <c r="C2194" t="s">
        <v>7324</v>
      </c>
      <c r="D2194" t="s">
        <v>2668</v>
      </c>
      <c r="E2194" t="s">
        <v>14</v>
      </c>
      <c r="F2194" t="s">
        <v>15</v>
      </c>
      <c r="G2194">
        <v>28205</v>
      </c>
      <c r="H2194" t="s">
        <v>39</v>
      </c>
      <c r="I2194">
        <v>33</v>
      </c>
      <c r="J2194">
        <v>1</v>
      </c>
      <c r="K2194" t="s">
        <v>8927</v>
      </c>
    </row>
    <row r="2195" spans="1:11" x14ac:dyDescent="0.25">
      <c r="A2195" t="s">
        <v>7325</v>
      </c>
      <c r="B2195" t="s">
        <v>7326</v>
      </c>
      <c r="C2195" t="s">
        <v>7327</v>
      </c>
      <c r="D2195" t="s">
        <v>2124</v>
      </c>
      <c r="E2195" t="s">
        <v>14</v>
      </c>
      <c r="F2195" t="s">
        <v>15</v>
      </c>
      <c r="G2195">
        <v>28211</v>
      </c>
      <c r="H2195" t="s">
        <v>21</v>
      </c>
      <c r="I2195">
        <v>30</v>
      </c>
      <c r="J2195">
        <v>0</v>
      </c>
      <c r="K2195" t="s">
        <v>8935</v>
      </c>
    </row>
    <row r="2196" spans="1:11" x14ac:dyDescent="0.25">
      <c r="A2196" t="s">
        <v>7328</v>
      </c>
      <c r="B2196" t="s">
        <v>1068</v>
      </c>
      <c r="C2196" t="s">
        <v>7329</v>
      </c>
      <c r="D2196" t="s">
        <v>7330</v>
      </c>
      <c r="E2196" t="s">
        <v>14</v>
      </c>
      <c r="F2196" t="s">
        <v>15</v>
      </c>
      <c r="G2196">
        <v>28212</v>
      </c>
      <c r="H2196" t="s">
        <v>26</v>
      </c>
      <c r="I2196">
        <v>3</v>
      </c>
      <c r="J2196">
        <v>0</v>
      </c>
      <c r="K2196" t="s">
        <v>8929</v>
      </c>
    </row>
    <row r="2197" spans="1:11" x14ac:dyDescent="0.25">
      <c r="A2197" t="s">
        <v>7331</v>
      </c>
      <c r="B2197" t="s">
        <v>254</v>
      </c>
      <c r="C2197" t="s">
        <v>7332</v>
      </c>
      <c r="D2197" t="s">
        <v>7333</v>
      </c>
      <c r="E2197" t="s">
        <v>14</v>
      </c>
      <c r="F2197" t="s">
        <v>15</v>
      </c>
      <c r="G2197">
        <v>28217</v>
      </c>
      <c r="H2197" t="s">
        <v>101</v>
      </c>
      <c r="I2197">
        <v>9</v>
      </c>
      <c r="J2197">
        <v>0</v>
      </c>
      <c r="K2197" t="s">
        <v>8935</v>
      </c>
    </row>
    <row r="2198" spans="1:11" x14ac:dyDescent="0.25">
      <c r="A2198" t="s">
        <v>7334</v>
      </c>
      <c r="B2198" t="s">
        <v>279</v>
      </c>
      <c r="C2198" t="s">
        <v>7335</v>
      </c>
      <c r="D2198" t="s">
        <v>7336</v>
      </c>
      <c r="E2198" t="s">
        <v>14</v>
      </c>
      <c r="F2198" t="s">
        <v>15</v>
      </c>
      <c r="G2198">
        <v>28270</v>
      </c>
      <c r="H2198" t="s">
        <v>21</v>
      </c>
      <c r="I2198">
        <v>5</v>
      </c>
      <c r="J2198">
        <v>0</v>
      </c>
      <c r="K2198" t="s">
        <v>8926</v>
      </c>
    </row>
    <row r="2199" spans="1:11" x14ac:dyDescent="0.25">
      <c r="A2199" t="s">
        <v>7337</v>
      </c>
      <c r="B2199" t="s">
        <v>6840</v>
      </c>
      <c r="C2199" t="s">
        <v>6698</v>
      </c>
      <c r="D2199" t="s">
        <v>7338</v>
      </c>
      <c r="E2199" t="s">
        <v>14</v>
      </c>
      <c r="F2199" t="s">
        <v>15</v>
      </c>
      <c r="G2199">
        <v>28269</v>
      </c>
      <c r="H2199" t="s">
        <v>48</v>
      </c>
      <c r="I2199">
        <v>10</v>
      </c>
      <c r="J2199">
        <v>1</v>
      </c>
      <c r="K2199" t="s">
        <v>8935</v>
      </c>
    </row>
    <row r="2200" spans="1:11" x14ac:dyDescent="0.25">
      <c r="A2200" t="s">
        <v>7339</v>
      </c>
      <c r="B2200" t="s">
        <v>7340</v>
      </c>
      <c r="C2200" t="s">
        <v>5919</v>
      </c>
      <c r="D2200" t="s">
        <v>7341</v>
      </c>
      <c r="E2200" t="s">
        <v>14</v>
      </c>
      <c r="F2200" t="s">
        <v>15</v>
      </c>
      <c r="G2200">
        <v>28262</v>
      </c>
      <c r="H2200" t="s">
        <v>16</v>
      </c>
      <c r="I2200">
        <v>87</v>
      </c>
      <c r="J2200">
        <v>1</v>
      </c>
      <c r="K2200" t="s">
        <v>8935</v>
      </c>
    </row>
    <row r="2201" spans="1:11" x14ac:dyDescent="0.25">
      <c r="A2201" t="s">
        <v>7342</v>
      </c>
      <c r="B2201" t="s">
        <v>279</v>
      </c>
      <c r="C2201" t="s">
        <v>7343</v>
      </c>
      <c r="D2201" t="s">
        <v>7344</v>
      </c>
      <c r="E2201" t="s">
        <v>14</v>
      </c>
      <c r="F2201" t="s">
        <v>15</v>
      </c>
      <c r="G2201">
        <v>28210</v>
      </c>
      <c r="H2201" t="s">
        <v>21</v>
      </c>
      <c r="I2201">
        <v>20</v>
      </c>
      <c r="J2201">
        <v>1</v>
      </c>
      <c r="K2201" t="s">
        <v>8926</v>
      </c>
    </row>
    <row r="2202" spans="1:11" x14ac:dyDescent="0.25">
      <c r="A2202" t="s">
        <v>7345</v>
      </c>
      <c r="B2202" t="s">
        <v>7346</v>
      </c>
      <c r="C2202" t="s">
        <v>7347</v>
      </c>
      <c r="D2202" t="s">
        <v>7348</v>
      </c>
      <c r="E2202" t="s">
        <v>14</v>
      </c>
      <c r="F2202" t="s">
        <v>15</v>
      </c>
      <c r="G2202">
        <v>28269</v>
      </c>
      <c r="H2202" t="s">
        <v>16</v>
      </c>
      <c r="I2202">
        <v>58</v>
      </c>
      <c r="J2202">
        <v>1</v>
      </c>
      <c r="K2202" t="s">
        <v>8935</v>
      </c>
    </row>
    <row r="2203" spans="1:11" x14ac:dyDescent="0.25">
      <c r="A2203" t="s">
        <v>7349</v>
      </c>
      <c r="B2203" t="s">
        <v>4225</v>
      </c>
      <c r="C2203" t="s">
        <v>7350</v>
      </c>
      <c r="D2203" t="s">
        <v>7351</v>
      </c>
      <c r="E2203" t="s">
        <v>14</v>
      </c>
      <c r="F2203" t="s">
        <v>15</v>
      </c>
      <c r="G2203">
        <v>28202</v>
      </c>
      <c r="H2203" t="s">
        <v>48</v>
      </c>
      <c r="I2203">
        <v>3</v>
      </c>
      <c r="J2203">
        <v>0</v>
      </c>
      <c r="K2203" t="s">
        <v>8935</v>
      </c>
    </row>
    <row r="2204" spans="1:11" x14ac:dyDescent="0.25">
      <c r="A2204" t="s">
        <v>7352</v>
      </c>
      <c r="B2204" t="s">
        <v>7353</v>
      </c>
      <c r="C2204" t="s">
        <v>46</v>
      </c>
      <c r="D2204" t="s">
        <v>7354</v>
      </c>
      <c r="E2204" t="s">
        <v>14</v>
      </c>
      <c r="F2204" t="s">
        <v>15</v>
      </c>
      <c r="G2204">
        <v>28277</v>
      </c>
      <c r="H2204" t="s">
        <v>26</v>
      </c>
      <c r="I2204">
        <v>36</v>
      </c>
      <c r="J2204">
        <v>1</v>
      </c>
      <c r="K2204" t="s">
        <v>8935</v>
      </c>
    </row>
    <row r="2205" spans="1:11" x14ac:dyDescent="0.25">
      <c r="A2205" t="s">
        <v>7355</v>
      </c>
      <c r="B2205" t="s">
        <v>4624</v>
      </c>
      <c r="C2205" t="s">
        <v>2035</v>
      </c>
      <c r="D2205" t="s">
        <v>7356</v>
      </c>
      <c r="E2205" t="s">
        <v>14</v>
      </c>
      <c r="F2205" t="s">
        <v>15</v>
      </c>
      <c r="G2205">
        <v>28211</v>
      </c>
      <c r="H2205" t="s">
        <v>21</v>
      </c>
      <c r="I2205">
        <v>23</v>
      </c>
      <c r="J2205">
        <v>1</v>
      </c>
      <c r="K2205" t="s">
        <v>8935</v>
      </c>
    </row>
    <row r="2206" spans="1:11" x14ac:dyDescent="0.25">
      <c r="A2206" t="s">
        <v>7357</v>
      </c>
      <c r="B2206" t="s">
        <v>7358</v>
      </c>
      <c r="C2206" t="s">
        <v>7359</v>
      </c>
      <c r="D2206" t="s">
        <v>7360</v>
      </c>
      <c r="E2206" t="s">
        <v>14</v>
      </c>
      <c r="F2206" t="s">
        <v>15</v>
      </c>
      <c r="G2206">
        <v>28209</v>
      </c>
      <c r="H2206" t="s">
        <v>21</v>
      </c>
      <c r="I2206">
        <v>16</v>
      </c>
      <c r="J2206">
        <v>0</v>
      </c>
      <c r="K2206" t="s">
        <v>8935</v>
      </c>
    </row>
    <row r="2207" spans="1:11" x14ac:dyDescent="0.25">
      <c r="A2207" t="s">
        <v>7361</v>
      </c>
      <c r="B2207" t="s">
        <v>7362</v>
      </c>
      <c r="C2207" t="s">
        <v>7363</v>
      </c>
      <c r="D2207" t="s">
        <v>7364</v>
      </c>
      <c r="E2207" t="s">
        <v>14</v>
      </c>
      <c r="F2207" t="s">
        <v>15</v>
      </c>
      <c r="G2207">
        <v>28269</v>
      </c>
      <c r="H2207" t="s">
        <v>26</v>
      </c>
      <c r="I2207">
        <v>12</v>
      </c>
      <c r="J2207">
        <v>0</v>
      </c>
      <c r="K2207" t="s">
        <v>8935</v>
      </c>
    </row>
    <row r="2208" spans="1:11" x14ac:dyDescent="0.25">
      <c r="A2208" t="s">
        <v>7365</v>
      </c>
      <c r="B2208" t="s">
        <v>316</v>
      </c>
      <c r="C2208" t="s">
        <v>317</v>
      </c>
      <c r="D2208" t="s">
        <v>7366</v>
      </c>
      <c r="E2208" t="s">
        <v>14</v>
      </c>
      <c r="F2208" t="s">
        <v>15</v>
      </c>
      <c r="G2208">
        <v>28216</v>
      </c>
      <c r="H2208" t="s">
        <v>48</v>
      </c>
      <c r="I2208">
        <v>3</v>
      </c>
      <c r="J2208">
        <v>1</v>
      </c>
      <c r="K2208" t="s">
        <v>8935</v>
      </c>
    </row>
    <row r="2209" spans="1:11" x14ac:dyDescent="0.25">
      <c r="A2209" t="s">
        <v>7367</v>
      </c>
      <c r="B2209" t="s">
        <v>7368</v>
      </c>
      <c r="C2209" t="s">
        <v>7369</v>
      </c>
      <c r="D2209" t="s">
        <v>34</v>
      </c>
      <c r="E2209" t="s">
        <v>14</v>
      </c>
      <c r="F2209" t="s">
        <v>15</v>
      </c>
      <c r="G2209">
        <v>28205</v>
      </c>
      <c r="H2209" t="s">
        <v>146</v>
      </c>
      <c r="I2209">
        <v>3</v>
      </c>
      <c r="J2209">
        <v>0</v>
      </c>
      <c r="K2209" t="s">
        <v>8935</v>
      </c>
    </row>
    <row r="2210" spans="1:11" x14ac:dyDescent="0.25">
      <c r="A2210" t="s">
        <v>7370</v>
      </c>
      <c r="B2210" t="s">
        <v>7371</v>
      </c>
      <c r="C2210" t="s">
        <v>2907</v>
      </c>
      <c r="D2210" t="s">
        <v>7372</v>
      </c>
      <c r="E2210" t="s">
        <v>14</v>
      </c>
      <c r="F2210" t="s">
        <v>15</v>
      </c>
      <c r="G2210">
        <v>28206</v>
      </c>
      <c r="H2210" t="s">
        <v>48</v>
      </c>
      <c r="I2210">
        <v>9</v>
      </c>
      <c r="J2210">
        <v>1</v>
      </c>
      <c r="K2210" t="s">
        <v>8935</v>
      </c>
    </row>
    <row r="2211" spans="1:11" x14ac:dyDescent="0.25">
      <c r="A2211" t="s">
        <v>7373</v>
      </c>
      <c r="B2211" t="s">
        <v>7374</v>
      </c>
      <c r="C2211" t="s">
        <v>7375</v>
      </c>
      <c r="D2211" t="s">
        <v>7376</v>
      </c>
      <c r="E2211" t="s">
        <v>14</v>
      </c>
      <c r="F2211" t="s">
        <v>15</v>
      </c>
      <c r="G2211">
        <v>28206</v>
      </c>
      <c r="H2211" t="s">
        <v>26</v>
      </c>
      <c r="I2211">
        <v>89</v>
      </c>
      <c r="J2211">
        <v>1</v>
      </c>
      <c r="K2211" t="s">
        <v>8935</v>
      </c>
    </row>
    <row r="2212" spans="1:11" x14ac:dyDescent="0.25">
      <c r="A2212" t="s">
        <v>7377</v>
      </c>
      <c r="B2212" t="s">
        <v>379</v>
      </c>
      <c r="C2212" t="s">
        <v>7378</v>
      </c>
      <c r="D2212" t="s">
        <v>2070</v>
      </c>
      <c r="E2212" t="s">
        <v>14</v>
      </c>
      <c r="F2212" t="s">
        <v>15</v>
      </c>
      <c r="G2212">
        <v>28277</v>
      </c>
      <c r="H2212" t="s">
        <v>21</v>
      </c>
      <c r="I2212">
        <v>20</v>
      </c>
      <c r="J2212">
        <v>0</v>
      </c>
      <c r="K2212" t="s">
        <v>8930</v>
      </c>
    </row>
    <row r="2213" spans="1:11" x14ac:dyDescent="0.25">
      <c r="A2213" t="s">
        <v>7379</v>
      </c>
      <c r="B2213" t="s">
        <v>7380</v>
      </c>
      <c r="C2213" t="s">
        <v>7381</v>
      </c>
      <c r="D2213" t="s">
        <v>5661</v>
      </c>
      <c r="E2213" t="s">
        <v>14</v>
      </c>
      <c r="F2213" t="s">
        <v>15</v>
      </c>
      <c r="G2213">
        <v>28270</v>
      </c>
      <c r="H2213" t="s">
        <v>26</v>
      </c>
      <c r="I2213">
        <v>3</v>
      </c>
      <c r="J2213">
        <v>0</v>
      </c>
      <c r="K2213" t="s">
        <v>8935</v>
      </c>
    </row>
    <row r="2214" spans="1:11" x14ac:dyDescent="0.25">
      <c r="A2214" t="s">
        <v>7382</v>
      </c>
      <c r="B2214" t="s">
        <v>7383</v>
      </c>
      <c r="C2214" t="s">
        <v>7384</v>
      </c>
      <c r="D2214" t="s">
        <v>7385</v>
      </c>
      <c r="E2214" t="s">
        <v>14</v>
      </c>
      <c r="F2214" t="s">
        <v>15</v>
      </c>
      <c r="G2214">
        <v>28203</v>
      </c>
      <c r="H2214" t="s">
        <v>26</v>
      </c>
      <c r="I2214">
        <v>30</v>
      </c>
      <c r="J2214">
        <v>0</v>
      </c>
      <c r="K2214" t="s">
        <v>8935</v>
      </c>
    </row>
    <row r="2215" spans="1:11" x14ac:dyDescent="0.25">
      <c r="A2215" t="s">
        <v>7386</v>
      </c>
      <c r="B2215" t="s">
        <v>7387</v>
      </c>
      <c r="C2215" t="s">
        <v>7388</v>
      </c>
      <c r="D2215" t="s">
        <v>7389</v>
      </c>
      <c r="E2215" t="s">
        <v>14</v>
      </c>
      <c r="F2215" t="s">
        <v>15</v>
      </c>
      <c r="G2215">
        <v>28262</v>
      </c>
      <c r="H2215" t="s">
        <v>21</v>
      </c>
      <c r="I2215">
        <v>292</v>
      </c>
      <c r="J2215">
        <v>1</v>
      </c>
      <c r="K2215" t="s">
        <v>8927</v>
      </c>
    </row>
    <row r="2216" spans="1:11" x14ac:dyDescent="0.25">
      <c r="A2216" t="s">
        <v>7390</v>
      </c>
      <c r="B2216" t="s">
        <v>7391</v>
      </c>
      <c r="C2216" t="s">
        <v>5068</v>
      </c>
      <c r="D2216" t="s">
        <v>7392</v>
      </c>
      <c r="E2216" t="s">
        <v>14</v>
      </c>
      <c r="F2216" t="s">
        <v>15</v>
      </c>
      <c r="G2216">
        <v>28226</v>
      </c>
      <c r="H2216" t="s">
        <v>39</v>
      </c>
      <c r="I2216">
        <v>9</v>
      </c>
      <c r="J2216">
        <v>1</v>
      </c>
      <c r="K2216" t="s">
        <v>8935</v>
      </c>
    </row>
    <row r="2217" spans="1:11" x14ac:dyDescent="0.25">
      <c r="A2217" t="s">
        <v>7393</v>
      </c>
      <c r="B2217" t="s">
        <v>139</v>
      </c>
      <c r="C2217" t="s">
        <v>7394</v>
      </c>
      <c r="D2217" t="s">
        <v>7395</v>
      </c>
      <c r="E2217" t="s">
        <v>14</v>
      </c>
      <c r="F2217" t="s">
        <v>15</v>
      </c>
      <c r="G2217">
        <v>28205</v>
      </c>
      <c r="H2217" t="s">
        <v>48</v>
      </c>
      <c r="I2217">
        <v>9</v>
      </c>
      <c r="J2217">
        <v>0</v>
      </c>
      <c r="K2217" t="s">
        <v>8926</v>
      </c>
    </row>
    <row r="2218" spans="1:11" x14ac:dyDescent="0.25">
      <c r="A2218" t="s">
        <v>7396</v>
      </c>
      <c r="B2218" t="s">
        <v>7397</v>
      </c>
      <c r="C2218" t="s">
        <v>7398</v>
      </c>
      <c r="D2218" t="s">
        <v>7399</v>
      </c>
      <c r="E2218" t="s">
        <v>14</v>
      </c>
      <c r="F2218" t="s">
        <v>15</v>
      </c>
      <c r="G2218">
        <v>28277</v>
      </c>
      <c r="H2218" t="s">
        <v>16</v>
      </c>
      <c r="I2218">
        <v>86</v>
      </c>
      <c r="J2218">
        <v>1</v>
      </c>
      <c r="K2218" t="s">
        <v>8920</v>
      </c>
    </row>
    <row r="2219" spans="1:11" x14ac:dyDescent="0.25">
      <c r="A2219" t="s">
        <v>7400</v>
      </c>
      <c r="B2219" t="s">
        <v>7401</v>
      </c>
      <c r="C2219" t="s">
        <v>7402</v>
      </c>
      <c r="D2219" t="s">
        <v>1410</v>
      </c>
      <c r="E2219" t="s">
        <v>14</v>
      </c>
      <c r="F2219" t="s">
        <v>15</v>
      </c>
      <c r="G2219">
        <v>28226</v>
      </c>
      <c r="H2219" t="s">
        <v>21</v>
      </c>
      <c r="I2219">
        <v>18</v>
      </c>
      <c r="J2219">
        <v>1</v>
      </c>
      <c r="K2219" t="s">
        <v>8931</v>
      </c>
    </row>
    <row r="2220" spans="1:11" x14ac:dyDescent="0.25">
      <c r="A2220" t="s">
        <v>7403</v>
      </c>
      <c r="B2220" t="s">
        <v>7404</v>
      </c>
      <c r="C2220" t="s">
        <v>1135</v>
      </c>
      <c r="D2220" t="s">
        <v>7405</v>
      </c>
      <c r="E2220" t="s">
        <v>14</v>
      </c>
      <c r="F2220" t="s">
        <v>15</v>
      </c>
      <c r="G2220">
        <v>28203</v>
      </c>
      <c r="H2220" t="s">
        <v>48</v>
      </c>
      <c r="I2220">
        <v>13</v>
      </c>
      <c r="J2220">
        <v>1</v>
      </c>
      <c r="K2220" t="s">
        <v>8935</v>
      </c>
    </row>
    <row r="2221" spans="1:11" x14ac:dyDescent="0.25">
      <c r="A2221" t="s">
        <v>7406</v>
      </c>
      <c r="B2221" t="s">
        <v>7407</v>
      </c>
      <c r="C2221" t="s">
        <v>7408</v>
      </c>
      <c r="D2221" t="s">
        <v>7409</v>
      </c>
      <c r="E2221" t="s">
        <v>14</v>
      </c>
      <c r="F2221" t="s">
        <v>15</v>
      </c>
      <c r="G2221">
        <v>28213</v>
      </c>
      <c r="H2221" t="s">
        <v>21</v>
      </c>
      <c r="I2221">
        <v>42</v>
      </c>
      <c r="J2221">
        <v>0</v>
      </c>
      <c r="K2221" t="s">
        <v>8935</v>
      </c>
    </row>
    <row r="2222" spans="1:11" x14ac:dyDescent="0.25">
      <c r="A2222" t="s">
        <v>7410</v>
      </c>
      <c r="B2222" t="s">
        <v>7411</v>
      </c>
      <c r="C2222" t="s">
        <v>7412</v>
      </c>
      <c r="D2222" t="s">
        <v>1006</v>
      </c>
      <c r="E2222" t="s">
        <v>14</v>
      </c>
      <c r="F2222" t="s">
        <v>15</v>
      </c>
      <c r="G2222">
        <v>28205</v>
      </c>
      <c r="H2222" t="s">
        <v>16</v>
      </c>
      <c r="I2222">
        <v>258</v>
      </c>
      <c r="J2222">
        <v>1</v>
      </c>
      <c r="K2222" t="s">
        <v>8935</v>
      </c>
    </row>
    <row r="2223" spans="1:11" x14ac:dyDescent="0.25">
      <c r="A2223" t="s">
        <v>7413</v>
      </c>
      <c r="B2223" t="s">
        <v>7414</v>
      </c>
      <c r="C2223" t="s">
        <v>700</v>
      </c>
      <c r="D2223" t="s">
        <v>7415</v>
      </c>
      <c r="E2223" t="s">
        <v>14</v>
      </c>
      <c r="F2223" t="s">
        <v>15</v>
      </c>
      <c r="G2223">
        <v>28278</v>
      </c>
      <c r="H2223" t="s">
        <v>16</v>
      </c>
      <c r="I2223">
        <v>40</v>
      </c>
      <c r="J2223">
        <v>1</v>
      </c>
      <c r="K2223" t="s">
        <v>8935</v>
      </c>
    </row>
    <row r="2224" spans="1:11" x14ac:dyDescent="0.25">
      <c r="A2224" t="s">
        <v>7416</v>
      </c>
      <c r="B2224" t="s">
        <v>7417</v>
      </c>
      <c r="C2224" t="s">
        <v>7418</v>
      </c>
      <c r="D2224" t="s">
        <v>5265</v>
      </c>
      <c r="E2224" t="s">
        <v>14</v>
      </c>
      <c r="F2224" t="s">
        <v>15</v>
      </c>
      <c r="G2224">
        <v>28202</v>
      </c>
      <c r="H2224" t="s">
        <v>16</v>
      </c>
      <c r="I2224">
        <v>125</v>
      </c>
      <c r="J2224">
        <v>1</v>
      </c>
      <c r="K2224" t="s">
        <v>8935</v>
      </c>
    </row>
    <row r="2225" spans="1:11" x14ac:dyDescent="0.25">
      <c r="A2225" t="s">
        <v>7419</v>
      </c>
      <c r="B2225" t="s">
        <v>1682</v>
      </c>
      <c r="C2225" t="s">
        <v>415</v>
      </c>
      <c r="D2225" t="s">
        <v>7420</v>
      </c>
      <c r="E2225" t="s">
        <v>14</v>
      </c>
      <c r="F2225" t="s">
        <v>15</v>
      </c>
      <c r="G2225">
        <v>28210</v>
      </c>
      <c r="H2225" t="s">
        <v>26</v>
      </c>
      <c r="I2225">
        <v>9</v>
      </c>
      <c r="J2225">
        <v>1</v>
      </c>
      <c r="K2225" t="s">
        <v>8935</v>
      </c>
    </row>
    <row r="2226" spans="1:11" x14ac:dyDescent="0.25">
      <c r="A2226" t="s">
        <v>7421</v>
      </c>
      <c r="B2226" t="s">
        <v>5250</v>
      </c>
      <c r="C2226" t="s">
        <v>7422</v>
      </c>
      <c r="D2226" t="s">
        <v>7423</v>
      </c>
      <c r="E2226" t="s">
        <v>14</v>
      </c>
      <c r="F2226" t="s">
        <v>15</v>
      </c>
      <c r="G2226">
        <v>28273</v>
      </c>
      <c r="H2226" t="s">
        <v>16</v>
      </c>
      <c r="I2226">
        <v>4</v>
      </c>
      <c r="J2226">
        <v>1</v>
      </c>
      <c r="K2226" t="s">
        <v>8931</v>
      </c>
    </row>
    <row r="2227" spans="1:11" x14ac:dyDescent="0.25">
      <c r="A2227" t="s">
        <v>7424</v>
      </c>
      <c r="B2227" t="s">
        <v>143</v>
      </c>
      <c r="C2227" t="s">
        <v>7425</v>
      </c>
      <c r="D2227" t="s">
        <v>1009</v>
      </c>
      <c r="E2227" t="s">
        <v>14</v>
      </c>
      <c r="F2227" t="s">
        <v>15</v>
      </c>
      <c r="G2227">
        <v>28204</v>
      </c>
      <c r="H2227" t="s">
        <v>16</v>
      </c>
      <c r="I2227">
        <v>99</v>
      </c>
      <c r="J2227">
        <v>0</v>
      </c>
      <c r="K2227" t="s">
        <v>8932</v>
      </c>
    </row>
    <row r="2228" spans="1:11" x14ac:dyDescent="0.25">
      <c r="A2228" t="s">
        <v>7426</v>
      </c>
      <c r="B2228" t="s">
        <v>7427</v>
      </c>
      <c r="C2228" t="s">
        <v>7428</v>
      </c>
      <c r="D2228" t="s">
        <v>7429</v>
      </c>
      <c r="E2228" t="s">
        <v>14</v>
      </c>
      <c r="F2228" t="s">
        <v>15</v>
      </c>
      <c r="G2228">
        <v>28217</v>
      </c>
      <c r="H2228" t="s">
        <v>48</v>
      </c>
      <c r="I2228">
        <v>32</v>
      </c>
      <c r="J2228">
        <v>1</v>
      </c>
      <c r="K2228" t="s">
        <v>8935</v>
      </c>
    </row>
    <row r="2229" spans="1:11" x14ac:dyDescent="0.25">
      <c r="A2229" t="s">
        <v>7430</v>
      </c>
      <c r="B2229" t="s">
        <v>7431</v>
      </c>
      <c r="C2229" t="s">
        <v>7432</v>
      </c>
      <c r="D2229" t="s">
        <v>7433</v>
      </c>
      <c r="E2229" t="s">
        <v>14</v>
      </c>
      <c r="F2229" t="s">
        <v>15</v>
      </c>
      <c r="G2229">
        <v>28202</v>
      </c>
      <c r="H2229" t="s">
        <v>21</v>
      </c>
      <c r="I2229">
        <v>21</v>
      </c>
      <c r="J2229">
        <v>1</v>
      </c>
      <c r="K2229" t="s">
        <v>8935</v>
      </c>
    </row>
    <row r="2230" spans="1:11" x14ac:dyDescent="0.25">
      <c r="A2230" t="s">
        <v>7434</v>
      </c>
      <c r="B2230" t="s">
        <v>4238</v>
      </c>
      <c r="C2230" t="s">
        <v>263</v>
      </c>
      <c r="D2230" t="s">
        <v>7435</v>
      </c>
      <c r="E2230" t="s">
        <v>14</v>
      </c>
      <c r="F2230" t="s">
        <v>15</v>
      </c>
      <c r="G2230">
        <v>28208</v>
      </c>
      <c r="H2230" t="s">
        <v>48</v>
      </c>
      <c r="I2230">
        <v>6</v>
      </c>
      <c r="J2230">
        <v>1</v>
      </c>
      <c r="K2230" t="s">
        <v>8935</v>
      </c>
    </row>
    <row r="2231" spans="1:11" x14ac:dyDescent="0.25">
      <c r="A2231" t="s">
        <v>7436</v>
      </c>
      <c r="B2231" t="s">
        <v>359</v>
      </c>
      <c r="C2231" t="s">
        <v>7437</v>
      </c>
      <c r="D2231" t="s">
        <v>7438</v>
      </c>
      <c r="E2231" t="s">
        <v>14</v>
      </c>
      <c r="F2231" t="s">
        <v>15</v>
      </c>
      <c r="G2231">
        <v>28202</v>
      </c>
      <c r="H2231" t="s">
        <v>21</v>
      </c>
      <c r="I2231">
        <v>8</v>
      </c>
      <c r="J2231">
        <v>0</v>
      </c>
      <c r="K2231" t="s">
        <v>8935</v>
      </c>
    </row>
    <row r="2232" spans="1:11" x14ac:dyDescent="0.25">
      <c r="A2232" t="s">
        <v>7439</v>
      </c>
      <c r="B2232" t="s">
        <v>7440</v>
      </c>
      <c r="C2232" t="s">
        <v>7441</v>
      </c>
      <c r="D2232" t="s">
        <v>133</v>
      </c>
      <c r="E2232" t="s">
        <v>14</v>
      </c>
      <c r="F2232" t="s">
        <v>15</v>
      </c>
      <c r="G2232">
        <v>28211</v>
      </c>
      <c r="H2232" t="s">
        <v>48</v>
      </c>
      <c r="I2232">
        <v>223</v>
      </c>
      <c r="J2232">
        <v>0</v>
      </c>
      <c r="K2232" t="s">
        <v>8935</v>
      </c>
    </row>
    <row r="2233" spans="1:11" x14ac:dyDescent="0.25">
      <c r="A2233" t="s">
        <v>7442</v>
      </c>
      <c r="B2233" t="s">
        <v>7443</v>
      </c>
      <c r="C2233" t="s">
        <v>7444</v>
      </c>
      <c r="D2233" t="s">
        <v>7445</v>
      </c>
      <c r="E2233" t="s">
        <v>14</v>
      </c>
      <c r="F2233" t="s">
        <v>15</v>
      </c>
      <c r="G2233">
        <v>28206</v>
      </c>
      <c r="H2233" t="s">
        <v>16</v>
      </c>
      <c r="I2233">
        <v>22</v>
      </c>
      <c r="J2233">
        <v>1</v>
      </c>
      <c r="K2233" t="s">
        <v>8935</v>
      </c>
    </row>
    <row r="2234" spans="1:11" x14ac:dyDescent="0.25">
      <c r="A2234" t="s">
        <v>7446</v>
      </c>
      <c r="B2234" t="s">
        <v>7447</v>
      </c>
      <c r="C2234" t="s">
        <v>1683</v>
      </c>
      <c r="D2234" t="s">
        <v>7448</v>
      </c>
      <c r="E2234" t="s">
        <v>14</v>
      </c>
      <c r="F2234" t="s">
        <v>15</v>
      </c>
      <c r="G2234">
        <v>28273</v>
      </c>
      <c r="H2234" t="s">
        <v>48</v>
      </c>
      <c r="I2234">
        <v>10</v>
      </c>
      <c r="J2234">
        <v>0</v>
      </c>
      <c r="K2234" t="s">
        <v>8935</v>
      </c>
    </row>
    <row r="2235" spans="1:11" x14ac:dyDescent="0.25">
      <c r="A2235" t="s">
        <v>7449</v>
      </c>
      <c r="B2235" t="s">
        <v>7450</v>
      </c>
      <c r="C2235" t="s">
        <v>735</v>
      </c>
      <c r="D2235" t="s">
        <v>7451</v>
      </c>
      <c r="E2235" t="s">
        <v>14</v>
      </c>
      <c r="F2235" t="s">
        <v>15</v>
      </c>
      <c r="G2235">
        <v>28226</v>
      </c>
      <c r="H2235" t="s">
        <v>21</v>
      </c>
      <c r="I2235">
        <v>34</v>
      </c>
      <c r="J2235">
        <v>1</v>
      </c>
      <c r="K2235" t="s">
        <v>8935</v>
      </c>
    </row>
    <row r="2236" spans="1:11" x14ac:dyDescent="0.25">
      <c r="A2236" t="s">
        <v>7452</v>
      </c>
      <c r="B2236" t="s">
        <v>7453</v>
      </c>
      <c r="C2236" t="s">
        <v>321</v>
      </c>
      <c r="D2236" t="s">
        <v>7454</v>
      </c>
      <c r="E2236" t="s">
        <v>14</v>
      </c>
      <c r="F2236" t="s">
        <v>15</v>
      </c>
      <c r="G2236">
        <v>28216</v>
      </c>
      <c r="H2236" t="s">
        <v>48</v>
      </c>
      <c r="I2236">
        <v>12</v>
      </c>
      <c r="J2236">
        <v>1</v>
      </c>
      <c r="K2236" t="s">
        <v>8935</v>
      </c>
    </row>
    <row r="2237" spans="1:11" x14ac:dyDescent="0.25">
      <c r="A2237" t="s">
        <v>7455</v>
      </c>
      <c r="B2237" t="s">
        <v>7456</v>
      </c>
      <c r="C2237" t="s">
        <v>546</v>
      </c>
      <c r="D2237" t="s">
        <v>7457</v>
      </c>
      <c r="E2237" t="s">
        <v>14</v>
      </c>
      <c r="F2237" t="s">
        <v>15</v>
      </c>
      <c r="G2237">
        <v>28269</v>
      </c>
      <c r="H2237" t="s">
        <v>16</v>
      </c>
      <c r="I2237">
        <v>98</v>
      </c>
      <c r="J2237">
        <v>1</v>
      </c>
      <c r="K2237" t="s">
        <v>8921</v>
      </c>
    </row>
    <row r="2238" spans="1:11" x14ac:dyDescent="0.25">
      <c r="A2238" t="s">
        <v>7458</v>
      </c>
      <c r="B2238" t="s">
        <v>7459</v>
      </c>
      <c r="C2238" t="s">
        <v>7460</v>
      </c>
      <c r="E2238" t="s">
        <v>14</v>
      </c>
      <c r="F2238" t="s">
        <v>15</v>
      </c>
      <c r="G2238">
        <v>28205</v>
      </c>
      <c r="H2238" t="s">
        <v>16</v>
      </c>
      <c r="I2238">
        <v>8</v>
      </c>
      <c r="J2238">
        <v>1</v>
      </c>
      <c r="K2238" t="s">
        <v>8935</v>
      </c>
    </row>
    <row r="2239" spans="1:11" x14ac:dyDescent="0.25">
      <c r="A2239" t="s">
        <v>7461</v>
      </c>
      <c r="B2239" t="s">
        <v>2821</v>
      </c>
      <c r="C2239" t="s">
        <v>364</v>
      </c>
      <c r="D2239" t="s">
        <v>7462</v>
      </c>
      <c r="E2239" t="s">
        <v>14</v>
      </c>
      <c r="F2239" t="s">
        <v>15</v>
      </c>
      <c r="G2239">
        <v>28202</v>
      </c>
      <c r="H2239" t="s">
        <v>48</v>
      </c>
      <c r="I2239">
        <v>14</v>
      </c>
      <c r="J2239">
        <v>1</v>
      </c>
      <c r="K2239" t="s">
        <v>8935</v>
      </c>
    </row>
    <row r="2240" spans="1:11" x14ac:dyDescent="0.25">
      <c r="A2240" t="s">
        <v>7463</v>
      </c>
      <c r="B2240" t="s">
        <v>7464</v>
      </c>
      <c r="C2240" t="s">
        <v>7465</v>
      </c>
      <c r="D2240" t="s">
        <v>7466</v>
      </c>
      <c r="E2240" t="s">
        <v>14</v>
      </c>
      <c r="F2240" t="s">
        <v>15</v>
      </c>
      <c r="G2240">
        <v>28273</v>
      </c>
      <c r="H2240" t="s">
        <v>21</v>
      </c>
      <c r="I2240">
        <v>126</v>
      </c>
      <c r="J2240">
        <v>1</v>
      </c>
      <c r="K2240" t="s">
        <v>8936</v>
      </c>
    </row>
    <row r="2241" spans="1:11" x14ac:dyDescent="0.25">
      <c r="A2241" t="s">
        <v>7467</v>
      </c>
      <c r="B2241" t="s">
        <v>7468</v>
      </c>
      <c r="C2241" t="s">
        <v>7469</v>
      </c>
      <c r="D2241" t="s">
        <v>1523</v>
      </c>
      <c r="E2241" t="s">
        <v>14</v>
      </c>
      <c r="F2241" t="s">
        <v>15</v>
      </c>
      <c r="G2241">
        <v>28211</v>
      </c>
      <c r="H2241" t="s">
        <v>21</v>
      </c>
      <c r="I2241">
        <v>23</v>
      </c>
      <c r="J2241">
        <v>1</v>
      </c>
      <c r="K2241" t="s">
        <v>8935</v>
      </c>
    </row>
    <row r="2242" spans="1:11" x14ac:dyDescent="0.25">
      <c r="A2242" t="s">
        <v>7470</v>
      </c>
      <c r="B2242" t="s">
        <v>7471</v>
      </c>
      <c r="C2242" t="s">
        <v>7472</v>
      </c>
      <c r="D2242" t="s">
        <v>7473</v>
      </c>
      <c r="E2242" t="s">
        <v>14</v>
      </c>
      <c r="F2242" t="s">
        <v>15</v>
      </c>
      <c r="G2242">
        <v>28209</v>
      </c>
      <c r="H2242" t="s">
        <v>21</v>
      </c>
      <c r="I2242">
        <v>16</v>
      </c>
      <c r="J2242">
        <v>0</v>
      </c>
      <c r="K2242" t="s">
        <v>8935</v>
      </c>
    </row>
    <row r="2243" spans="1:11" x14ac:dyDescent="0.25">
      <c r="A2243" t="s">
        <v>7474</v>
      </c>
      <c r="B2243" t="s">
        <v>3148</v>
      </c>
      <c r="C2243" t="s">
        <v>7475</v>
      </c>
      <c r="D2243" t="s">
        <v>1449</v>
      </c>
      <c r="E2243" t="s">
        <v>14</v>
      </c>
      <c r="F2243" t="s">
        <v>15</v>
      </c>
      <c r="G2243">
        <v>28202</v>
      </c>
      <c r="H2243" t="s">
        <v>21</v>
      </c>
      <c r="I2243">
        <v>35</v>
      </c>
      <c r="J2243">
        <v>1</v>
      </c>
      <c r="K2243" t="s">
        <v>8935</v>
      </c>
    </row>
    <row r="2244" spans="1:11" x14ac:dyDescent="0.25">
      <c r="A2244" t="e">
        <f>-iE-wYKjSzNKp_9Q9G3W4w</f>
        <v>#NAME?</v>
      </c>
      <c r="B2244" t="s">
        <v>7476</v>
      </c>
      <c r="C2244" t="s">
        <v>7477</v>
      </c>
      <c r="D2244" t="s">
        <v>7478</v>
      </c>
      <c r="E2244" t="s">
        <v>14</v>
      </c>
      <c r="F2244" t="s">
        <v>15</v>
      </c>
      <c r="G2244">
        <v>28226</v>
      </c>
      <c r="H2244" t="s">
        <v>26</v>
      </c>
      <c r="I2244">
        <v>29</v>
      </c>
      <c r="J2244">
        <v>0</v>
      </c>
      <c r="K2244" t="s">
        <v>8935</v>
      </c>
    </row>
    <row r="2245" spans="1:11" x14ac:dyDescent="0.25">
      <c r="A2245" t="s">
        <v>7479</v>
      </c>
      <c r="B2245" t="s">
        <v>7480</v>
      </c>
      <c r="C2245" t="s">
        <v>6432</v>
      </c>
      <c r="D2245" t="s">
        <v>7481</v>
      </c>
      <c r="E2245" t="s">
        <v>14</v>
      </c>
      <c r="F2245" t="s">
        <v>15</v>
      </c>
      <c r="G2245">
        <v>28205</v>
      </c>
      <c r="H2245" t="s">
        <v>195</v>
      </c>
      <c r="I2245">
        <v>8</v>
      </c>
      <c r="J2245">
        <v>1</v>
      </c>
      <c r="K2245" t="s">
        <v>8935</v>
      </c>
    </row>
    <row r="2246" spans="1:11" x14ac:dyDescent="0.25">
      <c r="A2246" t="s">
        <v>7482</v>
      </c>
      <c r="B2246" t="s">
        <v>7483</v>
      </c>
      <c r="C2246" t="s">
        <v>622</v>
      </c>
      <c r="D2246" t="s">
        <v>7484</v>
      </c>
      <c r="E2246" t="s">
        <v>14</v>
      </c>
      <c r="F2246" t="s">
        <v>15</v>
      </c>
      <c r="G2246">
        <v>28273</v>
      </c>
      <c r="H2246" t="s">
        <v>195</v>
      </c>
      <c r="I2246">
        <v>30</v>
      </c>
      <c r="J2246">
        <v>1</v>
      </c>
      <c r="K2246" t="s">
        <v>8935</v>
      </c>
    </row>
    <row r="2247" spans="1:11" x14ac:dyDescent="0.25">
      <c r="A2247" t="s">
        <v>7485</v>
      </c>
      <c r="B2247" t="s">
        <v>7486</v>
      </c>
      <c r="C2247" t="s">
        <v>5042</v>
      </c>
      <c r="D2247" t="s">
        <v>5175</v>
      </c>
      <c r="E2247" t="s">
        <v>14</v>
      </c>
      <c r="F2247" t="s">
        <v>15</v>
      </c>
      <c r="G2247">
        <v>28212</v>
      </c>
      <c r="H2247" t="s">
        <v>16</v>
      </c>
      <c r="I2247">
        <v>61</v>
      </c>
      <c r="J2247">
        <v>0</v>
      </c>
      <c r="K2247" t="s">
        <v>8935</v>
      </c>
    </row>
    <row r="2248" spans="1:11" x14ac:dyDescent="0.25">
      <c r="A2248" t="s">
        <v>7487</v>
      </c>
      <c r="B2248" t="s">
        <v>1358</v>
      </c>
      <c r="C2248" t="s">
        <v>7488</v>
      </c>
      <c r="D2248" t="s">
        <v>7489</v>
      </c>
      <c r="E2248" t="s">
        <v>14</v>
      </c>
      <c r="F2248" t="s">
        <v>15</v>
      </c>
      <c r="G2248">
        <v>28208</v>
      </c>
      <c r="H2248" t="s">
        <v>48</v>
      </c>
      <c r="I2248">
        <v>25</v>
      </c>
      <c r="J2248">
        <v>1</v>
      </c>
      <c r="K2248" t="s">
        <v>8935</v>
      </c>
    </row>
    <row r="2249" spans="1:11" x14ac:dyDescent="0.25">
      <c r="A2249" t="s">
        <v>7490</v>
      </c>
      <c r="B2249" t="s">
        <v>7491</v>
      </c>
      <c r="C2249" t="s">
        <v>7492</v>
      </c>
      <c r="D2249" t="s">
        <v>7493</v>
      </c>
      <c r="E2249" t="s">
        <v>14</v>
      </c>
      <c r="F2249" t="s">
        <v>15</v>
      </c>
      <c r="G2249">
        <v>28203</v>
      </c>
      <c r="H2249" t="s">
        <v>16</v>
      </c>
      <c r="I2249">
        <v>227</v>
      </c>
      <c r="J2249">
        <v>1</v>
      </c>
      <c r="K2249" t="s">
        <v>8935</v>
      </c>
    </row>
    <row r="2250" spans="1:11" x14ac:dyDescent="0.25">
      <c r="A2250" t="s">
        <v>7494</v>
      </c>
      <c r="B2250" t="s">
        <v>1004</v>
      </c>
      <c r="C2250" t="s">
        <v>7495</v>
      </c>
      <c r="D2250" t="s">
        <v>2794</v>
      </c>
      <c r="E2250" t="s">
        <v>14</v>
      </c>
      <c r="F2250" t="s">
        <v>15</v>
      </c>
      <c r="G2250">
        <v>28209</v>
      </c>
      <c r="H2250" t="s">
        <v>16</v>
      </c>
      <c r="I2250">
        <v>3</v>
      </c>
      <c r="J2250">
        <v>0</v>
      </c>
      <c r="K2250" t="s">
        <v>8935</v>
      </c>
    </row>
    <row r="2251" spans="1:11" x14ac:dyDescent="0.25">
      <c r="A2251" t="s">
        <v>7496</v>
      </c>
      <c r="B2251" t="s">
        <v>7497</v>
      </c>
      <c r="C2251" t="s">
        <v>149</v>
      </c>
      <c r="D2251" t="s">
        <v>7498</v>
      </c>
      <c r="E2251" t="s">
        <v>14</v>
      </c>
      <c r="F2251" t="s">
        <v>15</v>
      </c>
      <c r="G2251">
        <v>28226</v>
      </c>
      <c r="H2251" t="s">
        <v>16</v>
      </c>
      <c r="I2251">
        <v>11</v>
      </c>
      <c r="J2251">
        <v>1</v>
      </c>
      <c r="K2251" t="s">
        <v>8935</v>
      </c>
    </row>
    <row r="2252" spans="1:11" x14ac:dyDescent="0.25">
      <c r="A2252" t="s">
        <v>7499</v>
      </c>
      <c r="B2252" t="s">
        <v>422</v>
      </c>
      <c r="C2252" t="s">
        <v>7500</v>
      </c>
      <c r="D2252" t="s">
        <v>7501</v>
      </c>
      <c r="E2252" t="s">
        <v>14</v>
      </c>
      <c r="F2252" t="s">
        <v>15</v>
      </c>
      <c r="G2252">
        <v>28262</v>
      </c>
      <c r="H2252" t="s">
        <v>26</v>
      </c>
      <c r="I2252">
        <v>15</v>
      </c>
      <c r="J2252">
        <v>1</v>
      </c>
      <c r="K2252" t="s">
        <v>8920</v>
      </c>
    </row>
    <row r="2253" spans="1:11" x14ac:dyDescent="0.25">
      <c r="A2253" t="s">
        <v>7502</v>
      </c>
      <c r="B2253" t="s">
        <v>139</v>
      </c>
      <c r="C2253" t="s">
        <v>7503</v>
      </c>
      <c r="D2253" t="s">
        <v>7504</v>
      </c>
      <c r="E2253" t="s">
        <v>14</v>
      </c>
      <c r="F2253" t="s">
        <v>15</v>
      </c>
      <c r="G2253">
        <v>28216</v>
      </c>
      <c r="H2253" t="s">
        <v>26</v>
      </c>
      <c r="I2253">
        <v>7</v>
      </c>
      <c r="J2253">
        <v>1</v>
      </c>
      <c r="K2253" t="s">
        <v>8926</v>
      </c>
    </row>
    <row r="2254" spans="1:11" x14ac:dyDescent="0.25">
      <c r="A2254" t="s">
        <v>7505</v>
      </c>
      <c r="B2254" t="s">
        <v>7506</v>
      </c>
      <c r="C2254" t="s">
        <v>411</v>
      </c>
      <c r="D2254" t="s">
        <v>7507</v>
      </c>
      <c r="E2254" t="s">
        <v>14</v>
      </c>
      <c r="F2254" t="s">
        <v>15</v>
      </c>
      <c r="G2254">
        <v>28203</v>
      </c>
      <c r="H2254" t="s">
        <v>16</v>
      </c>
      <c r="I2254">
        <v>41</v>
      </c>
      <c r="J2254">
        <v>1</v>
      </c>
      <c r="K2254" t="s">
        <v>8935</v>
      </c>
    </row>
    <row r="2255" spans="1:11" x14ac:dyDescent="0.25">
      <c r="A2255" t="s">
        <v>7508</v>
      </c>
      <c r="B2255" t="s">
        <v>7509</v>
      </c>
      <c r="C2255" t="s">
        <v>7510</v>
      </c>
      <c r="D2255" t="s">
        <v>7511</v>
      </c>
      <c r="E2255" t="s">
        <v>14</v>
      </c>
      <c r="F2255" t="s">
        <v>15</v>
      </c>
      <c r="G2255">
        <v>28205</v>
      </c>
      <c r="H2255" t="s">
        <v>39</v>
      </c>
      <c r="I2255">
        <v>17</v>
      </c>
      <c r="J2255">
        <v>1</v>
      </c>
      <c r="K2255" t="s">
        <v>8935</v>
      </c>
    </row>
    <row r="2256" spans="1:11" x14ac:dyDescent="0.25">
      <c r="A2256" t="e">
        <f>-HIwk8B2mWzGS84vuM8ybA</f>
        <v>#NAME?</v>
      </c>
      <c r="B2256" t="s">
        <v>7512</v>
      </c>
      <c r="C2256" t="s">
        <v>2723</v>
      </c>
      <c r="D2256" t="s">
        <v>7513</v>
      </c>
      <c r="E2256" t="s">
        <v>14</v>
      </c>
      <c r="F2256" t="s">
        <v>15</v>
      </c>
      <c r="G2256">
        <v>28212</v>
      </c>
      <c r="H2256" t="s">
        <v>21</v>
      </c>
      <c r="I2256">
        <v>31</v>
      </c>
      <c r="J2256">
        <v>1</v>
      </c>
      <c r="K2256" t="s">
        <v>8935</v>
      </c>
    </row>
    <row r="2257" spans="1:11" x14ac:dyDescent="0.25">
      <c r="A2257" t="s">
        <v>7514</v>
      </c>
      <c r="B2257" t="s">
        <v>7515</v>
      </c>
      <c r="C2257" t="s">
        <v>7516</v>
      </c>
      <c r="D2257" t="s">
        <v>7517</v>
      </c>
      <c r="E2257" t="s">
        <v>14</v>
      </c>
      <c r="F2257" t="s">
        <v>15</v>
      </c>
      <c r="G2257">
        <v>28204</v>
      </c>
      <c r="H2257" t="s">
        <v>21</v>
      </c>
      <c r="I2257">
        <v>19</v>
      </c>
      <c r="J2257">
        <v>0</v>
      </c>
      <c r="K2257" t="s">
        <v>8935</v>
      </c>
    </row>
    <row r="2258" spans="1:11" x14ac:dyDescent="0.25">
      <c r="A2258" t="s">
        <v>7518</v>
      </c>
      <c r="B2258" t="s">
        <v>7519</v>
      </c>
      <c r="C2258" t="s">
        <v>4297</v>
      </c>
      <c r="D2258" t="s">
        <v>7520</v>
      </c>
      <c r="E2258" t="s">
        <v>14</v>
      </c>
      <c r="F2258" t="s">
        <v>15</v>
      </c>
      <c r="G2258">
        <v>28211</v>
      </c>
      <c r="H2258" t="s">
        <v>26</v>
      </c>
      <c r="I2258">
        <v>123</v>
      </c>
      <c r="J2258">
        <v>0</v>
      </c>
      <c r="K2258" t="s">
        <v>8935</v>
      </c>
    </row>
    <row r="2259" spans="1:11" x14ac:dyDescent="0.25">
      <c r="A2259" t="s">
        <v>7521</v>
      </c>
      <c r="B2259" t="s">
        <v>103</v>
      </c>
      <c r="C2259" t="s">
        <v>7522</v>
      </c>
      <c r="D2259" t="s">
        <v>7523</v>
      </c>
      <c r="E2259" t="s">
        <v>14</v>
      </c>
      <c r="F2259" t="s">
        <v>15</v>
      </c>
      <c r="G2259">
        <v>28211</v>
      </c>
      <c r="H2259" t="s">
        <v>16</v>
      </c>
      <c r="I2259">
        <v>110</v>
      </c>
      <c r="J2259">
        <v>1</v>
      </c>
      <c r="K2259" t="s">
        <v>8921</v>
      </c>
    </row>
    <row r="2260" spans="1:11" x14ac:dyDescent="0.25">
      <c r="A2260" t="s">
        <v>7524</v>
      </c>
      <c r="B2260" t="s">
        <v>220</v>
      </c>
      <c r="C2260" t="s">
        <v>221</v>
      </c>
      <c r="D2260" t="s">
        <v>7525</v>
      </c>
      <c r="E2260" t="s">
        <v>14</v>
      </c>
      <c r="F2260" t="s">
        <v>15</v>
      </c>
      <c r="G2260">
        <v>28217</v>
      </c>
      <c r="H2260" t="s">
        <v>195</v>
      </c>
      <c r="I2260">
        <v>13</v>
      </c>
      <c r="J2260">
        <v>1</v>
      </c>
      <c r="K2260" t="s">
        <v>8935</v>
      </c>
    </row>
    <row r="2261" spans="1:11" x14ac:dyDescent="0.25">
      <c r="A2261" t="s">
        <v>7526</v>
      </c>
      <c r="B2261" t="s">
        <v>103</v>
      </c>
      <c r="C2261" t="s">
        <v>7527</v>
      </c>
      <c r="D2261" t="s">
        <v>7528</v>
      </c>
      <c r="E2261" t="s">
        <v>14</v>
      </c>
      <c r="F2261" t="s">
        <v>15</v>
      </c>
      <c r="G2261">
        <v>28202</v>
      </c>
      <c r="H2261" t="s">
        <v>26</v>
      </c>
      <c r="I2261">
        <v>8</v>
      </c>
      <c r="J2261">
        <v>0</v>
      </c>
      <c r="K2261" t="s">
        <v>8921</v>
      </c>
    </row>
    <row r="2262" spans="1:11" x14ac:dyDescent="0.25">
      <c r="A2262" t="s">
        <v>7529</v>
      </c>
      <c r="B2262" t="s">
        <v>6541</v>
      </c>
      <c r="C2262" t="s">
        <v>7530</v>
      </c>
      <c r="D2262" t="s">
        <v>7531</v>
      </c>
      <c r="E2262" t="s">
        <v>14</v>
      </c>
      <c r="F2262" t="s">
        <v>15</v>
      </c>
      <c r="G2262">
        <v>28208</v>
      </c>
      <c r="H2262" t="s">
        <v>21</v>
      </c>
      <c r="I2262">
        <v>69</v>
      </c>
      <c r="J2262">
        <v>1</v>
      </c>
      <c r="K2262" t="s">
        <v>8935</v>
      </c>
    </row>
    <row r="2263" spans="1:11" x14ac:dyDescent="0.25">
      <c r="A2263" t="s">
        <v>7532</v>
      </c>
      <c r="B2263" t="s">
        <v>7533</v>
      </c>
      <c r="C2263" t="s">
        <v>7534</v>
      </c>
      <c r="D2263" t="s">
        <v>7535</v>
      </c>
      <c r="E2263" t="s">
        <v>14</v>
      </c>
      <c r="F2263" t="s">
        <v>15</v>
      </c>
      <c r="G2263">
        <v>28277</v>
      </c>
      <c r="H2263" t="s">
        <v>16</v>
      </c>
      <c r="I2263">
        <v>288</v>
      </c>
      <c r="J2263">
        <v>1</v>
      </c>
      <c r="K2263" t="s">
        <v>8935</v>
      </c>
    </row>
    <row r="2264" spans="1:11" x14ac:dyDescent="0.25">
      <c r="A2264" t="s">
        <v>7536</v>
      </c>
      <c r="B2264" t="s">
        <v>7537</v>
      </c>
      <c r="C2264" t="s">
        <v>7538</v>
      </c>
      <c r="D2264" t="s">
        <v>7539</v>
      </c>
      <c r="E2264" t="s">
        <v>14</v>
      </c>
      <c r="F2264" t="s">
        <v>15</v>
      </c>
      <c r="G2264">
        <v>28209</v>
      </c>
      <c r="H2264" t="s">
        <v>39</v>
      </c>
      <c r="I2264">
        <v>280</v>
      </c>
      <c r="J2264">
        <v>1</v>
      </c>
      <c r="K2264" t="s">
        <v>8935</v>
      </c>
    </row>
    <row r="2265" spans="1:11" x14ac:dyDescent="0.25">
      <c r="A2265" t="s">
        <v>7540</v>
      </c>
      <c r="B2265" t="s">
        <v>1222</v>
      </c>
      <c r="C2265" t="s">
        <v>7541</v>
      </c>
      <c r="D2265" t="s">
        <v>7542</v>
      </c>
      <c r="E2265" t="s">
        <v>14</v>
      </c>
      <c r="F2265" t="s">
        <v>15</v>
      </c>
      <c r="G2265">
        <v>28208</v>
      </c>
      <c r="H2265" t="s">
        <v>16</v>
      </c>
      <c r="I2265">
        <v>9</v>
      </c>
      <c r="J2265">
        <v>1</v>
      </c>
      <c r="K2265" t="s">
        <v>8935</v>
      </c>
    </row>
    <row r="2266" spans="1:11" x14ac:dyDescent="0.25">
      <c r="A2266" t="s">
        <v>7543</v>
      </c>
      <c r="B2266" t="s">
        <v>7544</v>
      </c>
      <c r="C2266" t="s">
        <v>7545</v>
      </c>
      <c r="D2266" t="s">
        <v>7546</v>
      </c>
      <c r="E2266" t="s">
        <v>14</v>
      </c>
      <c r="F2266" t="s">
        <v>15</v>
      </c>
      <c r="G2266">
        <v>28217</v>
      </c>
      <c r="H2266" t="s">
        <v>26</v>
      </c>
      <c r="I2266">
        <v>6</v>
      </c>
      <c r="J2266">
        <v>1</v>
      </c>
      <c r="K2266" t="s">
        <v>8933</v>
      </c>
    </row>
    <row r="2267" spans="1:11" x14ac:dyDescent="0.25">
      <c r="A2267" t="s">
        <v>7547</v>
      </c>
      <c r="B2267" t="s">
        <v>7548</v>
      </c>
      <c r="C2267" t="s">
        <v>7549</v>
      </c>
      <c r="D2267" t="s">
        <v>7550</v>
      </c>
      <c r="E2267" t="s">
        <v>14</v>
      </c>
      <c r="F2267" t="s">
        <v>15</v>
      </c>
      <c r="G2267">
        <v>28205</v>
      </c>
      <c r="H2267" t="s">
        <v>39</v>
      </c>
      <c r="I2267">
        <v>18</v>
      </c>
      <c r="J2267">
        <v>1</v>
      </c>
      <c r="K2267" t="s">
        <v>8923</v>
      </c>
    </row>
    <row r="2268" spans="1:11" x14ac:dyDescent="0.25">
      <c r="A2268" t="s">
        <v>7551</v>
      </c>
      <c r="B2268" t="s">
        <v>2582</v>
      </c>
      <c r="C2268" t="s">
        <v>7552</v>
      </c>
      <c r="D2268" t="s">
        <v>7553</v>
      </c>
      <c r="E2268" t="s">
        <v>14</v>
      </c>
      <c r="F2268" t="s">
        <v>15</v>
      </c>
      <c r="G2268">
        <v>28216</v>
      </c>
      <c r="H2268" t="s">
        <v>26</v>
      </c>
      <c r="I2268">
        <v>76</v>
      </c>
      <c r="J2268">
        <v>1</v>
      </c>
      <c r="K2268" t="s">
        <v>8935</v>
      </c>
    </row>
    <row r="2269" spans="1:11" x14ac:dyDescent="0.25">
      <c r="A2269" t="s">
        <v>7554</v>
      </c>
      <c r="B2269" t="s">
        <v>4442</v>
      </c>
      <c r="C2269" t="s">
        <v>7555</v>
      </c>
      <c r="D2269" t="s">
        <v>7556</v>
      </c>
      <c r="E2269" t="s">
        <v>14</v>
      </c>
      <c r="F2269" t="s">
        <v>15</v>
      </c>
      <c r="G2269">
        <v>28273</v>
      </c>
      <c r="H2269" t="s">
        <v>26</v>
      </c>
      <c r="I2269">
        <v>48</v>
      </c>
      <c r="J2269">
        <v>1</v>
      </c>
      <c r="K2269" t="s">
        <v>8935</v>
      </c>
    </row>
    <row r="2270" spans="1:11" x14ac:dyDescent="0.25">
      <c r="A2270" t="s">
        <v>7557</v>
      </c>
      <c r="B2270" t="s">
        <v>103</v>
      </c>
      <c r="C2270" t="s">
        <v>7558</v>
      </c>
      <c r="D2270" t="s">
        <v>1501</v>
      </c>
      <c r="E2270" t="s">
        <v>14</v>
      </c>
      <c r="F2270" t="s">
        <v>15</v>
      </c>
      <c r="G2270">
        <v>28277</v>
      </c>
      <c r="H2270" t="s">
        <v>21</v>
      </c>
      <c r="I2270">
        <v>65</v>
      </c>
      <c r="J2270">
        <v>0</v>
      </c>
      <c r="K2270" t="s">
        <v>8921</v>
      </c>
    </row>
    <row r="2271" spans="1:11" x14ac:dyDescent="0.25">
      <c r="A2271" t="s">
        <v>7559</v>
      </c>
      <c r="B2271" t="s">
        <v>7560</v>
      </c>
      <c r="C2271" t="s">
        <v>1604</v>
      </c>
      <c r="D2271" t="s">
        <v>7561</v>
      </c>
      <c r="E2271" t="s">
        <v>14</v>
      </c>
      <c r="F2271" t="s">
        <v>15</v>
      </c>
      <c r="G2271">
        <v>28210</v>
      </c>
      <c r="H2271" t="s">
        <v>48</v>
      </c>
      <c r="I2271">
        <v>338</v>
      </c>
      <c r="J2271">
        <v>1</v>
      </c>
      <c r="K2271" t="s">
        <v>8935</v>
      </c>
    </row>
    <row r="2272" spans="1:11" x14ac:dyDescent="0.25">
      <c r="A2272" t="s">
        <v>7562</v>
      </c>
      <c r="B2272" t="s">
        <v>7563</v>
      </c>
      <c r="C2272" t="s">
        <v>7564</v>
      </c>
      <c r="D2272" t="s">
        <v>7565</v>
      </c>
      <c r="E2272" t="s">
        <v>14</v>
      </c>
      <c r="F2272" t="s">
        <v>15</v>
      </c>
      <c r="G2272">
        <v>28270</v>
      </c>
      <c r="H2272" t="s">
        <v>21</v>
      </c>
      <c r="I2272">
        <v>6</v>
      </c>
      <c r="J2272">
        <v>0</v>
      </c>
      <c r="K2272" t="s">
        <v>8935</v>
      </c>
    </row>
    <row r="2273" spans="1:11" x14ac:dyDescent="0.25">
      <c r="A2273" t="s">
        <v>7566</v>
      </c>
      <c r="B2273" t="s">
        <v>718</v>
      </c>
      <c r="C2273" t="s">
        <v>7567</v>
      </c>
      <c r="D2273" t="s">
        <v>7568</v>
      </c>
      <c r="E2273" t="s">
        <v>14</v>
      </c>
      <c r="F2273" t="s">
        <v>15</v>
      </c>
      <c r="G2273">
        <v>28213</v>
      </c>
      <c r="H2273" t="s">
        <v>39</v>
      </c>
      <c r="I2273">
        <v>3</v>
      </c>
      <c r="J2273">
        <v>0</v>
      </c>
      <c r="K2273" t="s">
        <v>8935</v>
      </c>
    </row>
    <row r="2274" spans="1:11" x14ac:dyDescent="0.25">
      <c r="A2274" t="s">
        <v>7569</v>
      </c>
      <c r="B2274" t="s">
        <v>2618</v>
      </c>
      <c r="C2274" t="s">
        <v>7570</v>
      </c>
      <c r="D2274" t="s">
        <v>4554</v>
      </c>
      <c r="E2274" t="s">
        <v>14</v>
      </c>
      <c r="F2274" t="s">
        <v>15</v>
      </c>
      <c r="G2274">
        <v>28205</v>
      </c>
      <c r="H2274" t="s">
        <v>16</v>
      </c>
      <c r="I2274">
        <v>4</v>
      </c>
      <c r="J2274">
        <v>0</v>
      </c>
      <c r="K2274" t="s">
        <v>8935</v>
      </c>
    </row>
    <row r="2275" spans="1:11" x14ac:dyDescent="0.25">
      <c r="A2275" t="s">
        <v>7571</v>
      </c>
      <c r="B2275" t="s">
        <v>7572</v>
      </c>
      <c r="C2275" t="s">
        <v>7573</v>
      </c>
      <c r="D2275" t="s">
        <v>554</v>
      </c>
      <c r="E2275" t="s">
        <v>14</v>
      </c>
      <c r="F2275" t="s">
        <v>15</v>
      </c>
      <c r="G2275">
        <v>28262</v>
      </c>
      <c r="H2275" t="s">
        <v>101</v>
      </c>
      <c r="I2275">
        <v>42</v>
      </c>
      <c r="J2275">
        <v>1</v>
      </c>
      <c r="K2275" t="s">
        <v>8935</v>
      </c>
    </row>
    <row r="2276" spans="1:11" x14ac:dyDescent="0.25">
      <c r="A2276" t="s">
        <v>7574</v>
      </c>
      <c r="B2276" t="s">
        <v>760</v>
      </c>
      <c r="C2276" t="s">
        <v>7575</v>
      </c>
      <c r="D2276" t="s">
        <v>7576</v>
      </c>
      <c r="E2276" t="s">
        <v>14</v>
      </c>
      <c r="F2276" t="s">
        <v>15</v>
      </c>
      <c r="G2276">
        <v>28211</v>
      </c>
      <c r="H2276" t="s">
        <v>21</v>
      </c>
      <c r="I2276">
        <v>3</v>
      </c>
      <c r="J2276">
        <v>0</v>
      </c>
      <c r="K2276" t="s">
        <v>8935</v>
      </c>
    </row>
    <row r="2277" spans="1:11" x14ac:dyDescent="0.25">
      <c r="A2277" t="s">
        <v>7577</v>
      </c>
      <c r="B2277" t="s">
        <v>7578</v>
      </c>
      <c r="C2277" t="s">
        <v>7579</v>
      </c>
      <c r="D2277" t="s">
        <v>7580</v>
      </c>
      <c r="E2277" t="s">
        <v>14</v>
      </c>
      <c r="F2277" t="s">
        <v>15</v>
      </c>
      <c r="G2277">
        <v>28211</v>
      </c>
      <c r="H2277" t="s">
        <v>16</v>
      </c>
      <c r="I2277">
        <v>5</v>
      </c>
      <c r="J2277">
        <v>0</v>
      </c>
      <c r="K2277" t="s">
        <v>8935</v>
      </c>
    </row>
    <row r="2278" spans="1:11" x14ac:dyDescent="0.25">
      <c r="A2278" t="s">
        <v>7581</v>
      </c>
      <c r="B2278" t="s">
        <v>7582</v>
      </c>
      <c r="C2278" t="s">
        <v>4744</v>
      </c>
      <c r="D2278" t="s">
        <v>944</v>
      </c>
      <c r="E2278" t="s">
        <v>14</v>
      </c>
      <c r="F2278" t="s">
        <v>15</v>
      </c>
      <c r="G2278">
        <v>28208</v>
      </c>
      <c r="H2278" t="s">
        <v>101</v>
      </c>
      <c r="I2278">
        <v>5</v>
      </c>
      <c r="J2278">
        <v>1</v>
      </c>
      <c r="K2278" t="s">
        <v>8935</v>
      </c>
    </row>
    <row r="2279" spans="1:11" x14ac:dyDescent="0.25">
      <c r="A2279" t="s">
        <v>7583</v>
      </c>
      <c r="B2279" t="s">
        <v>5531</v>
      </c>
      <c r="C2279" t="s">
        <v>1608</v>
      </c>
      <c r="D2279" t="s">
        <v>7584</v>
      </c>
      <c r="E2279" t="s">
        <v>14</v>
      </c>
      <c r="F2279" t="s">
        <v>15</v>
      </c>
      <c r="G2279">
        <v>28269</v>
      </c>
      <c r="H2279" t="s">
        <v>265</v>
      </c>
      <c r="I2279">
        <v>34</v>
      </c>
      <c r="J2279">
        <v>1</v>
      </c>
      <c r="K2279" t="s">
        <v>8921</v>
      </c>
    </row>
    <row r="2280" spans="1:11" x14ac:dyDescent="0.25">
      <c r="A2280" t="s">
        <v>7585</v>
      </c>
      <c r="B2280" t="s">
        <v>7586</v>
      </c>
      <c r="C2280" t="s">
        <v>723</v>
      </c>
      <c r="D2280" t="s">
        <v>7587</v>
      </c>
      <c r="E2280" t="s">
        <v>14</v>
      </c>
      <c r="F2280" t="s">
        <v>15</v>
      </c>
      <c r="G2280">
        <v>28208</v>
      </c>
      <c r="H2280" t="s">
        <v>26</v>
      </c>
      <c r="I2280">
        <v>13</v>
      </c>
      <c r="J2280">
        <v>1</v>
      </c>
      <c r="K2280" t="s">
        <v>8935</v>
      </c>
    </row>
    <row r="2281" spans="1:11" x14ac:dyDescent="0.25">
      <c r="A2281" t="s">
        <v>7588</v>
      </c>
      <c r="B2281" t="s">
        <v>139</v>
      </c>
      <c r="C2281" t="s">
        <v>7589</v>
      </c>
      <c r="D2281" t="s">
        <v>7590</v>
      </c>
      <c r="E2281" t="s">
        <v>14</v>
      </c>
      <c r="F2281" t="s">
        <v>15</v>
      </c>
      <c r="G2281">
        <v>28217</v>
      </c>
      <c r="H2281" t="s">
        <v>26</v>
      </c>
      <c r="I2281">
        <v>6</v>
      </c>
      <c r="J2281">
        <v>0</v>
      </c>
      <c r="K2281" t="s">
        <v>8926</v>
      </c>
    </row>
    <row r="2282" spans="1:11" x14ac:dyDescent="0.25">
      <c r="A2282" t="s">
        <v>7591</v>
      </c>
      <c r="B2282" t="s">
        <v>7592</v>
      </c>
      <c r="C2282" t="s">
        <v>7593</v>
      </c>
      <c r="D2282" t="s">
        <v>7594</v>
      </c>
      <c r="E2282" t="s">
        <v>14</v>
      </c>
      <c r="F2282" t="s">
        <v>15</v>
      </c>
      <c r="G2282">
        <v>28202</v>
      </c>
      <c r="H2282" t="s">
        <v>16</v>
      </c>
      <c r="I2282">
        <v>240</v>
      </c>
      <c r="J2282">
        <v>1</v>
      </c>
      <c r="K2282" t="s">
        <v>8935</v>
      </c>
    </row>
    <row r="2283" spans="1:11" x14ac:dyDescent="0.25">
      <c r="A2283" t="s">
        <v>7595</v>
      </c>
      <c r="B2283" t="s">
        <v>7596</v>
      </c>
      <c r="C2283" t="s">
        <v>7597</v>
      </c>
      <c r="D2283" t="s">
        <v>7598</v>
      </c>
      <c r="E2283" t="s">
        <v>14</v>
      </c>
      <c r="F2283" t="s">
        <v>15</v>
      </c>
      <c r="G2283">
        <v>28262</v>
      </c>
      <c r="H2283" t="s">
        <v>21</v>
      </c>
      <c r="I2283">
        <v>55</v>
      </c>
      <c r="J2283">
        <v>1</v>
      </c>
      <c r="K2283" t="s">
        <v>8935</v>
      </c>
    </row>
    <row r="2284" spans="1:11" x14ac:dyDescent="0.25">
      <c r="A2284" t="s">
        <v>7599</v>
      </c>
      <c r="B2284" t="s">
        <v>2898</v>
      </c>
      <c r="C2284" t="s">
        <v>7600</v>
      </c>
      <c r="D2284" t="s">
        <v>7601</v>
      </c>
      <c r="E2284" t="s">
        <v>14</v>
      </c>
      <c r="F2284" t="s">
        <v>15</v>
      </c>
      <c r="G2284">
        <v>28215</v>
      </c>
      <c r="H2284" t="s">
        <v>26</v>
      </c>
      <c r="I2284">
        <v>4</v>
      </c>
      <c r="J2284">
        <v>1</v>
      </c>
      <c r="K2284" t="s">
        <v>8935</v>
      </c>
    </row>
    <row r="2285" spans="1:11" x14ac:dyDescent="0.25">
      <c r="A2285" t="s">
        <v>7602</v>
      </c>
      <c r="B2285" t="s">
        <v>7603</v>
      </c>
      <c r="C2285" t="s">
        <v>7604</v>
      </c>
      <c r="D2285" t="s">
        <v>4256</v>
      </c>
      <c r="E2285" t="s">
        <v>14</v>
      </c>
      <c r="F2285" t="s">
        <v>15</v>
      </c>
      <c r="G2285">
        <v>28262</v>
      </c>
      <c r="H2285" t="s">
        <v>48</v>
      </c>
      <c r="I2285">
        <v>3</v>
      </c>
      <c r="J2285">
        <v>1</v>
      </c>
      <c r="K2285" t="s">
        <v>8935</v>
      </c>
    </row>
    <row r="2286" spans="1:11" x14ac:dyDescent="0.25">
      <c r="A2286" t="s">
        <v>7605</v>
      </c>
      <c r="B2286" t="s">
        <v>7606</v>
      </c>
      <c r="C2286" t="s">
        <v>7607</v>
      </c>
      <c r="D2286" t="s">
        <v>5036</v>
      </c>
      <c r="E2286" t="s">
        <v>14</v>
      </c>
      <c r="F2286" t="s">
        <v>15</v>
      </c>
      <c r="G2286">
        <v>28262</v>
      </c>
      <c r="H2286" t="s">
        <v>21</v>
      </c>
      <c r="I2286">
        <v>52</v>
      </c>
      <c r="J2286">
        <v>0</v>
      </c>
      <c r="K2286" t="s">
        <v>8923</v>
      </c>
    </row>
    <row r="2287" spans="1:11" x14ac:dyDescent="0.25">
      <c r="A2287" t="s">
        <v>7608</v>
      </c>
      <c r="B2287" t="s">
        <v>7609</v>
      </c>
      <c r="C2287" t="s">
        <v>3458</v>
      </c>
      <c r="D2287" t="s">
        <v>7610</v>
      </c>
      <c r="E2287" t="s">
        <v>14</v>
      </c>
      <c r="F2287" t="s">
        <v>15</v>
      </c>
      <c r="G2287">
        <v>28209</v>
      </c>
      <c r="H2287" t="s">
        <v>21</v>
      </c>
      <c r="I2287">
        <v>164</v>
      </c>
      <c r="J2287">
        <v>1</v>
      </c>
      <c r="K2287" t="s">
        <v>8920</v>
      </c>
    </row>
    <row r="2288" spans="1:11" x14ac:dyDescent="0.25">
      <c r="A2288" t="s">
        <v>7611</v>
      </c>
      <c r="B2288" t="s">
        <v>359</v>
      </c>
      <c r="C2288" t="s">
        <v>7612</v>
      </c>
      <c r="D2288" t="s">
        <v>7613</v>
      </c>
      <c r="E2288" t="s">
        <v>14</v>
      </c>
      <c r="F2288" t="s">
        <v>15</v>
      </c>
      <c r="G2288">
        <v>28202</v>
      </c>
      <c r="H2288" t="s">
        <v>26</v>
      </c>
      <c r="I2288">
        <v>21</v>
      </c>
      <c r="J2288">
        <v>0</v>
      </c>
      <c r="K2288" t="s">
        <v>8935</v>
      </c>
    </row>
    <row r="2289" spans="1:11" x14ac:dyDescent="0.25">
      <c r="A2289" t="s">
        <v>7614</v>
      </c>
      <c r="B2289" t="s">
        <v>7615</v>
      </c>
      <c r="C2289" t="s">
        <v>321</v>
      </c>
      <c r="D2289" t="s">
        <v>7616</v>
      </c>
      <c r="E2289" t="s">
        <v>14</v>
      </c>
      <c r="F2289" t="s">
        <v>15</v>
      </c>
      <c r="G2289">
        <v>28203</v>
      </c>
      <c r="H2289" t="s">
        <v>26</v>
      </c>
      <c r="I2289">
        <v>21</v>
      </c>
      <c r="J2289">
        <v>1</v>
      </c>
      <c r="K2289" t="s">
        <v>8935</v>
      </c>
    </row>
    <row r="2290" spans="1:11" x14ac:dyDescent="0.25">
      <c r="A2290" t="s">
        <v>7617</v>
      </c>
      <c r="B2290" t="s">
        <v>7618</v>
      </c>
      <c r="C2290" t="s">
        <v>321</v>
      </c>
      <c r="D2290" t="s">
        <v>7619</v>
      </c>
      <c r="E2290" t="s">
        <v>14</v>
      </c>
      <c r="F2290" t="s">
        <v>15</v>
      </c>
      <c r="G2290">
        <v>28227</v>
      </c>
      <c r="H2290" t="s">
        <v>101</v>
      </c>
      <c r="I2290">
        <v>14</v>
      </c>
      <c r="J2290">
        <v>1</v>
      </c>
      <c r="K2290" t="s">
        <v>8935</v>
      </c>
    </row>
    <row r="2291" spans="1:11" x14ac:dyDescent="0.25">
      <c r="A2291" t="s">
        <v>7620</v>
      </c>
      <c r="B2291" t="s">
        <v>7621</v>
      </c>
      <c r="C2291" t="s">
        <v>4880</v>
      </c>
      <c r="D2291" t="s">
        <v>7622</v>
      </c>
      <c r="E2291" t="s">
        <v>14</v>
      </c>
      <c r="F2291" t="s">
        <v>15</v>
      </c>
      <c r="G2291">
        <v>28209</v>
      </c>
      <c r="H2291" t="s">
        <v>16</v>
      </c>
      <c r="I2291">
        <v>59</v>
      </c>
      <c r="J2291">
        <v>1</v>
      </c>
      <c r="K2291" t="s">
        <v>8935</v>
      </c>
    </row>
    <row r="2292" spans="1:11" x14ac:dyDescent="0.25">
      <c r="A2292" t="s">
        <v>7623</v>
      </c>
      <c r="B2292" t="s">
        <v>312</v>
      </c>
      <c r="C2292" t="s">
        <v>7624</v>
      </c>
      <c r="D2292" t="s">
        <v>2246</v>
      </c>
      <c r="E2292" t="s">
        <v>14</v>
      </c>
      <c r="F2292" t="s">
        <v>15</v>
      </c>
      <c r="G2292">
        <v>28270</v>
      </c>
      <c r="H2292" t="s">
        <v>48</v>
      </c>
      <c r="I2292">
        <v>6</v>
      </c>
      <c r="J2292">
        <v>0</v>
      </c>
      <c r="K2292" t="s">
        <v>8925</v>
      </c>
    </row>
    <row r="2293" spans="1:11" x14ac:dyDescent="0.25">
      <c r="A2293" t="s">
        <v>7625</v>
      </c>
      <c r="B2293" t="s">
        <v>3737</v>
      </c>
      <c r="C2293" t="s">
        <v>7626</v>
      </c>
      <c r="D2293" t="s">
        <v>2833</v>
      </c>
      <c r="E2293" t="s">
        <v>14</v>
      </c>
      <c r="F2293" t="s">
        <v>15</v>
      </c>
      <c r="G2293">
        <v>28277</v>
      </c>
      <c r="H2293" t="s">
        <v>21</v>
      </c>
      <c r="I2293">
        <v>8</v>
      </c>
      <c r="J2293">
        <v>0</v>
      </c>
      <c r="K2293" t="s">
        <v>8935</v>
      </c>
    </row>
    <row r="2294" spans="1:11" x14ac:dyDescent="0.25">
      <c r="A2294" t="s">
        <v>7627</v>
      </c>
      <c r="B2294" t="s">
        <v>7628</v>
      </c>
      <c r="C2294" t="s">
        <v>4411</v>
      </c>
      <c r="D2294" t="s">
        <v>84</v>
      </c>
      <c r="E2294" t="s">
        <v>14</v>
      </c>
      <c r="F2294" t="s">
        <v>15</v>
      </c>
      <c r="G2294">
        <v>28208</v>
      </c>
      <c r="H2294" t="s">
        <v>21</v>
      </c>
      <c r="I2294">
        <v>53</v>
      </c>
      <c r="J2294">
        <v>1</v>
      </c>
      <c r="K2294" t="s">
        <v>8935</v>
      </c>
    </row>
    <row r="2295" spans="1:11" x14ac:dyDescent="0.25">
      <c r="A2295" t="s">
        <v>7629</v>
      </c>
      <c r="B2295" t="s">
        <v>7630</v>
      </c>
      <c r="C2295" t="s">
        <v>7631</v>
      </c>
      <c r="D2295" t="s">
        <v>4419</v>
      </c>
      <c r="E2295" t="s">
        <v>14</v>
      </c>
      <c r="F2295" t="s">
        <v>15</v>
      </c>
      <c r="G2295">
        <v>28204</v>
      </c>
      <c r="H2295" t="s">
        <v>21</v>
      </c>
      <c r="I2295">
        <v>45</v>
      </c>
      <c r="J2295">
        <v>0</v>
      </c>
      <c r="K2295" t="s">
        <v>8935</v>
      </c>
    </row>
    <row r="2296" spans="1:11" x14ac:dyDescent="0.25">
      <c r="A2296" t="s">
        <v>7632</v>
      </c>
      <c r="B2296" t="s">
        <v>7633</v>
      </c>
      <c r="C2296" t="s">
        <v>7634</v>
      </c>
      <c r="D2296" t="s">
        <v>1105</v>
      </c>
      <c r="E2296" t="s">
        <v>14</v>
      </c>
      <c r="F2296" t="s">
        <v>15</v>
      </c>
      <c r="G2296">
        <v>28202</v>
      </c>
      <c r="H2296" t="s">
        <v>48</v>
      </c>
      <c r="I2296">
        <v>29</v>
      </c>
      <c r="J2296">
        <v>0</v>
      </c>
      <c r="K2296" t="s">
        <v>8935</v>
      </c>
    </row>
    <row r="2297" spans="1:11" x14ac:dyDescent="0.25">
      <c r="A2297" t="s">
        <v>7635</v>
      </c>
      <c r="B2297" t="s">
        <v>7636</v>
      </c>
      <c r="C2297" t="s">
        <v>7637</v>
      </c>
      <c r="E2297" t="s">
        <v>14</v>
      </c>
      <c r="F2297" t="s">
        <v>15</v>
      </c>
      <c r="G2297">
        <v>28217</v>
      </c>
      <c r="H2297" t="s">
        <v>39</v>
      </c>
      <c r="I2297">
        <v>42</v>
      </c>
      <c r="J2297">
        <v>1</v>
      </c>
      <c r="K2297" t="s">
        <v>8935</v>
      </c>
    </row>
    <row r="2298" spans="1:11" x14ac:dyDescent="0.25">
      <c r="A2298" t="s">
        <v>7638</v>
      </c>
      <c r="B2298" t="s">
        <v>2757</v>
      </c>
      <c r="C2298" t="s">
        <v>364</v>
      </c>
      <c r="D2298" t="s">
        <v>7639</v>
      </c>
      <c r="E2298" t="s">
        <v>14</v>
      </c>
      <c r="F2298" t="s">
        <v>15</v>
      </c>
      <c r="G2298">
        <v>28210</v>
      </c>
      <c r="H2298" t="s">
        <v>48</v>
      </c>
      <c r="I2298">
        <v>3</v>
      </c>
      <c r="J2298">
        <v>1</v>
      </c>
      <c r="K2298" t="s">
        <v>8935</v>
      </c>
    </row>
    <row r="2299" spans="1:11" x14ac:dyDescent="0.25">
      <c r="A2299" t="s">
        <v>7640</v>
      </c>
      <c r="B2299" t="s">
        <v>7641</v>
      </c>
      <c r="C2299" t="s">
        <v>7642</v>
      </c>
      <c r="D2299" t="s">
        <v>7643</v>
      </c>
      <c r="E2299" t="s">
        <v>14</v>
      </c>
      <c r="F2299" t="s">
        <v>15</v>
      </c>
      <c r="G2299">
        <v>28206</v>
      </c>
      <c r="H2299" t="s">
        <v>16</v>
      </c>
      <c r="I2299">
        <v>64</v>
      </c>
      <c r="J2299">
        <v>1</v>
      </c>
      <c r="K2299" t="s">
        <v>8935</v>
      </c>
    </row>
    <row r="2300" spans="1:11" x14ac:dyDescent="0.25">
      <c r="A2300" t="s">
        <v>7644</v>
      </c>
      <c r="B2300" t="s">
        <v>7645</v>
      </c>
      <c r="C2300" t="s">
        <v>7646</v>
      </c>
      <c r="D2300" t="s">
        <v>7647</v>
      </c>
      <c r="E2300" t="s">
        <v>14</v>
      </c>
      <c r="F2300" t="s">
        <v>15</v>
      </c>
      <c r="G2300">
        <v>28262</v>
      </c>
      <c r="H2300" t="s">
        <v>101</v>
      </c>
      <c r="I2300">
        <v>3</v>
      </c>
      <c r="J2300">
        <v>1</v>
      </c>
      <c r="K2300" t="s">
        <v>8925</v>
      </c>
    </row>
    <row r="2301" spans="1:11" x14ac:dyDescent="0.25">
      <c r="A2301" t="s">
        <v>7648</v>
      </c>
      <c r="B2301" t="s">
        <v>1432</v>
      </c>
      <c r="C2301" t="s">
        <v>7649</v>
      </c>
      <c r="D2301" t="s">
        <v>7078</v>
      </c>
      <c r="E2301" t="s">
        <v>14</v>
      </c>
      <c r="F2301" t="s">
        <v>15</v>
      </c>
      <c r="G2301">
        <v>28288</v>
      </c>
      <c r="H2301" t="s">
        <v>26</v>
      </c>
      <c r="I2301">
        <v>6</v>
      </c>
      <c r="J2301">
        <v>0</v>
      </c>
      <c r="K2301" t="s">
        <v>8936</v>
      </c>
    </row>
    <row r="2302" spans="1:11" x14ac:dyDescent="0.25">
      <c r="A2302" t="s">
        <v>7650</v>
      </c>
      <c r="B2302" t="s">
        <v>7651</v>
      </c>
      <c r="C2302" t="s">
        <v>7652</v>
      </c>
      <c r="D2302" t="s">
        <v>3980</v>
      </c>
      <c r="E2302" t="s">
        <v>14</v>
      </c>
      <c r="F2302" t="s">
        <v>15</v>
      </c>
      <c r="G2302">
        <v>28212</v>
      </c>
      <c r="H2302" t="s">
        <v>26</v>
      </c>
      <c r="I2302">
        <v>4</v>
      </c>
      <c r="J2302">
        <v>0</v>
      </c>
      <c r="K2302" t="s">
        <v>8925</v>
      </c>
    </row>
    <row r="2303" spans="1:11" x14ac:dyDescent="0.25">
      <c r="A2303" t="s">
        <v>7653</v>
      </c>
      <c r="B2303" t="s">
        <v>7654</v>
      </c>
      <c r="C2303" t="s">
        <v>7655</v>
      </c>
      <c r="D2303" t="s">
        <v>34</v>
      </c>
      <c r="E2303" t="s">
        <v>14</v>
      </c>
      <c r="F2303" t="s">
        <v>15</v>
      </c>
      <c r="G2303">
        <v>28205</v>
      </c>
      <c r="H2303" t="s">
        <v>39</v>
      </c>
      <c r="I2303">
        <v>4</v>
      </c>
      <c r="J2303">
        <v>0</v>
      </c>
      <c r="K2303" t="s">
        <v>8937</v>
      </c>
    </row>
    <row r="2304" spans="1:11" x14ac:dyDescent="0.25">
      <c r="A2304" t="s">
        <v>7656</v>
      </c>
      <c r="B2304" t="s">
        <v>7657</v>
      </c>
      <c r="C2304" t="s">
        <v>7658</v>
      </c>
      <c r="D2304" t="s">
        <v>7659</v>
      </c>
      <c r="E2304" t="s">
        <v>14</v>
      </c>
      <c r="F2304" t="s">
        <v>15</v>
      </c>
      <c r="G2304">
        <v>28277</v>
      </c>
      <c r="H2304" t="s">
        <v>21</v>
      </c>
      <c r="I2304">
        <v>41</v>
      </c>
      <c r="J2304">
        <v>0</v>
      </c>
      <c r="K2304" t="s">
        <v>8922</v>
      </c>
    </row>
    <row r="2305" spans="1:11" x14ac:dyDescent="0.25">
      <c r="A2305" t="s">
        <v>7660</v>
      </c>
      <c r="B2305" t="s">
        <v>279</v>
      </c>
      <c r="C2305" t="s">
        <v>7661</v>
      </c>
      <c r="D2305" t="s">
        <v>7662</v>
      </c>
      <c r="E2305" t="s">
        <v>14</v>
      </c>
      <c r="F2305" t="s">
        <v>15</v>
      </c>
      <c r="G2305">
        <v>28278</v>
      </c>
      <c r="H2305" t="s">
        <v>26</v>
      </c>
      <c r="I2305">
        <v>26</v>
      </c>
      <c r="J2305">
        <v>1</v>
      </c>
      <c r="K2305" t="s">
        <v>8926</v>
      </c>
    </row>
    <row r="2306" spans="1:11" x14ac:dyDescent="0.25">
      <c r="A2306" t="e">
        <f>-L9TeQN_JgLBvqf9wmsBVQ</f>
        <v>#NAME?</v>
      </c>
      <c r="B2306" t="s">
        <v>7663</v>
      </c>
      <c r="C2306" t="s">
        <v>7664</v>
      </c>
      <c r="D2306" t="s">
        <v>7665</v>
      </c>
      <c r="E2306" t="s">
        <v>14</v>
      </c>
      <c r="F2306" t="s">
        <v>15</v>
      </c>
      <c r="G2306">
        <v>28217</v>
      </c>
      <c r="H2306" t="s">
        <v>16</v>
      </c>
      <c r="I2306">
        <v>125</v>
      </c>
      <c r="J2306">
        <v>1</v>
      </c>
      <c r="K2306" t="s">
        <v>8935</v>
      </c>
    </row>
    <row r="2307" spans="1:11" x14ac:dyDescent="0.25">
      <c r="A2307" t="s">
        <v>7666</v>
      </c>
      <c r="B2307" t="s">
        <v>7667</v>
      </c>
      <c r="C2307" t="s">
        <v>7668</v>
      </c>
      <c r="D2307" t="s">
        <v>7669</v>
      </c>
      <c r="E2307" t="s">
        <v>14</v>
      </c>
      <c r="F2307" t="s">
        <v>15</v>
      </c>
      <c r="G2307">
        <v>28277</v>
      </c>
      <c r="H2307" t="s">
        <v>195</v>
      </c>
      <c r="I2307">
        <v>4</v>
      </c>
      <c r="J2307">
        <v>1</v>
      </c>
      <c r="K2307" t="s">
        <v>8935</v>
      </c>
    </row>
    <row r="2308" spans="1:11" x14ac:dyDescent="0.25">
      <c r="A2308" t="s">
        <v>7670</v>
      </c>
      <c r="B2308" t="s">
        <v>7671</v>
      </c>
      <c r="C2308" t="s">
        <v>7672</v>
      </c>
      <c r="D2308" t="s">
        <v>3875</v>
      </c>
      <c r="E2308" t="s">
        <v>14</v>
      </c>
      <c r="F2308" t="s">
        <v>15</v>
      </c>
      <c r="G2308">
        <v>28216</v>
      </c>
      <c r="H2308" t="s">
        <v>48</v>
      </c>
      <c r="I2308">
        <v>3</v>
      </c>
      <c r="J2308">
        <v>0</v>
      </c>
      <c r="K2308" t="s">
        <v>8935</v>
      </c>
    </row>
    <row r="2309" spans="1:11" x14ac:dyDescent="0.25">
      <c r="A2309" t="s">
        <v>7673</v>
      </c>
      <c r="B2309" t="s">
        <v>7674</v>
      </c>
      <c r="C2309" t="s">
        <v>7675</v>
      </c>
      <c r="D2309" t="s">
        <v>7676</v>
      </c>
      <c r="E2309" t="s">
        <v>14</v>
      </c>
      <c r="F2309" t="s">
        <v>15</v>
      </c>
      <c r="G2309">
        <v>28209</v>
      </c>
      <c r="H2309" t="s">
        <v>16</v>
      </c>
      <c r="I2309">
        <v>102</v>
      </c>
      <c r="J2309">
        <v>1</v>
      </c>
      <c r="K2309" t="s">
        <v>8935</v>
      </c>
    </row>
    <row r="2310" spans="1:11" x14ac:dyDescent="0.25">
      <c r="A2310" t="s">
        <v>7677</v>
      </c>
      <c r="B2310" t="s">
        <v>7678</v>
      </c>
      <c r="C2310" t="s">
        <v>7679</v>
      </c>
      <c r="D2310" t="s">
        <v>3728</v>
      </c>
      <c r="E2310" t="s">
        <v>14</v>
      </c>
      <c r="F2310" t="s">
        <v>15</v>
      </c>
      <c r="G2310">
        <v>28269</v>
      </c>
      <c r="H2310" t="s">
        <v>21</v>
      </c>
      <c r="I2310">
        <v>107</v>
      </c>
      <c r="J2310">
        <v>1</v>
      </c>
      <c r="K2310" t="s">
        <v>8935</v>
      </c>
    </row>
    <row r="2311" spans="1:11" x14ac:dyDescent="0.25">
      <c r="A2311" t="s">
        <v>7680</v>
      </c>
      <c r="B2311" t="s">
        <v>7681</v>
      </c>
      <c r="C2311" t="s">
        <v>797</v>
      </c>
      <c r="D2311" t="s">
        <v>7682</v>
      </c>
      <c r="E2311" t="s">
        <v>14</v>
      </c>
      <c r="F2311" t="s">
        <v>15</v>
      </c>
      <c r="G2311">
        <v>28262</v>
      </c>
      <c r="H2311" t="s">
        <v>48</v>
      </c>
      <c r="I2311">
        <v>82</v>
      </c>
      <c r="J2311">
        <v>1</v>
      </c>
      <c r="K2311" t="s">
        <v>8925</v>
      </c>
    </row>
    <row r="2312" spans="1:11" x14ac:dyDescent="0.25">
      <c r="A2312" t="s">
        <v>7683</v>
      </c>
      <c r="B2312" t="s">
        <v>7684</v>
      </c>
      <c r="C2312" t="s">
        <v>7685</v>
      </c>
      <c r="D2312" t="s">
        <v>2171</v>
      </c>
      <c r="E2312" t="s">
        <v>14</v>
      </c>
      <c r="F2312" t="s">
        <v>15</v>
      </c>
      <c r="G2312">
        <v>28207</v>
      </c>
      <c r="H2312" t="s">
        <v>16</v>
      </c>
      <c r="I2312">
        <v>228</v>
      </c>
      <c r="J2312">
        <v>1</v>
      </c>
      <c r="K2312" t="s">
        <v>8921</v>
      </c>
    </row>
    <row r="2313" spans="1:11" x14ac:dyDescent="0.25">
      <c r="A2313" t="s">
        <v>7686</v>
      </c>
      <c r="B2313" t="s">
        <v>7687</v>
      </c>
      <c r="C2313" t="s">
        <v>7688</v>
      </c>
      <c r="D2313" t="s">
        <v>7689</v>
      </c>
      <c r="E2313" t="s">
        <v>14</v>
      </c>
      <c r="F2313" t="s">
        <v>15</v>
      </c>
      <c r="G2313">
        <v>28227</v>
      </c>
      <c r="H2313" t="s">
        <v>21</v>
      </c>
      <c r="I2313">
        <v>69</v>
      </c>
      <c r="J2313">
        <v>1</v>
      </c>
      <c r="K2313" t="s">
        <v>8935</v>
      </c>
    </row>
    <row r="2314" spans="1:11" x14ac:dyDescent="0.25">
      <c r="A2314" t="s">
        <v>7690</v>
      </c>
      <c r="B2314" t="s">
        <v>7691</v>
      </c>
      <c r="C2314" t="s">
        <v>7692</v>
      </c>
      <c r="D2314" t="s">
        <v>7693</v>
      </c>
      <c r="E2314" t="s">
        <v>14</v>
      </c>
      <c r="F2314" t="s">
        <v>15</v>
      </c>
      <c r="G2314">
        <v>28204</v>
      </c>
      <c r="H2314" t="s">
        <v>21</v>
      </c>
      <c r="I2314">
        <v>67</v>
      </c>
      <c r="J2314">
        <v>0</v>
      </c>
      <c r="K2314" t="s">
        <v>8935</v>
      </c>
    </row>
    <row r="2315" spans="1:11" x14ac:dyDescent="0.25">
      <c r="A2315" t="s">
        <v>7694</v>
      </c>
      <c r="B2315" t="s">
        <v>359</v>
      </c>
      <c r="C2315" t="s">
        <v>7695</v>
      </c>
      <c r="D2315" t="s">
        <v>7696</v>
      </c>
      <c r="E2315" t="s">
        <v>14</v>
      </c>
      <c r="F2315" t="s">
        <v>15</v>
      </c>
      <c r="G2315">
        <v>28277</v>
      </c>
      <c r="H2315" t="s">
        <v>26</v>
      </c>
      <c r="I2315">
        <v>32</v>
      </c>
      <c r="J2315">
        <v>0</v>
      </c>
      <c r="K2315" t="s">
        <v>8935</v>
      </c>
    </row>
    <row r="2316" spans="1:11" x14ac:dyDescent="0.25">
      <c r="A2316" t="s">
        <v>7697</v>
      </c>
      <c r="B2316" t="s">
        <v>279</v>
      </c>
      <c r="C2316" t="s">
        <v>7698</v>
      </c>
      <c r="D2316" t="s">
        <v>6660</v>
      </c>
      <c r="E2316" t="s">
        <v>14</v>
      </c>
      <c r="F2316" t="s">
        <v>15</v>
      </c>
      <c r="G2316">
        <v>28202</v>
      </c>
      <c r="H2316" t="s">
        <v>48</v>
      </c>
      <c r="I2316">
        <v>7</v>
      </c>
      <c r="J2316">
        <v>1</v>
      </c>
      <c r="K2316" t="s">
        <v>8926</v>
      </c>
    </row>
    <row r="2317" spans="1:11" x14ac:dyDescent="0.25">
      <c r="A2317" t="s">
        <v>7699</v>
      </c>
      <c r="B2317" t="s">
        <v>7700</v>
      </c>
      <c r="C2317" t="s">
        <v>3979</v>
      </c>
      <c r="D2317" t="s">
        <v>7701</v>
      </c>
      <c r="E2317" t="s">
        <v>14</v>
      </c>
      <c r="F2317" t="s">
        <v>15</v>
      </c>
      <c r="G2317">
        <v>28213</v>
      </c>
      <c r="H2317" t="s">
        <v>21</v>
      </c>
      <c r="I2317">
        <v>113</v>
      </c>
      <c r="J2317">
        <v>1</v>
      </c>
      <c r="K2317" t="s">
        <v>8931</v>
      </c>
    </row>
    <row r="2318" spans="1:11" x14ac:dyDescent="0.25">
      <c r="A2318" t="s">
        <v>7702</v>
      </c>
      <c r="B2318" t="s">
        <v>5209</v>
      </c>
      <c r="C2318" t="s">
        <v>7703</v>
      </c>
      <c r="D2318" t="s">
        <v>7704</v>
      </c>
      <c r="E2318" t="s">
        <v>14</v>
      </c>
      <c r="F2318" t="s">
        <v>15</v>
      </c>
      <c r="G2318">
        <v>28273</v>
      </c>
      <c r="H2318" t="s">
        <v>39</v>
      </c>
      <c r="I2318">
        <v>71</v>
      </c>
      <c r="J2318">
        <v>1</v>
      </c>
      <c r="K2318" t="s">
        <v>8935</v>
      </c>
    </row>
    <row r="2319" spans="1:11" x14ac:dyDescent="0.25">
      <c r="A2319" t="e">
        <f>-wtdaWBWrUOXKCcGxzOtwA</f>
        <v>#NAME?</v>
      </c>
      <c r="B2319" t="s">
        <v>7705</v>
      </c>
      <c r="C2319" t="s">
        <v>7706</v>
      </c>
      <c r="D2319" t="s">
        <v>7707</v>
      </c>
      <c r="E2319" t="s">
        <v>14</v>
      </c>
      <c r="F2319" t="s">
        <v>15</v>
      </c>
      <c r="G2319">
        <v>28277</v>
      </c>
      <c r="H2319" t="s">
        <v>26</v>
      </c>
      <c r="I2319">
        <v>48</v>
      </c>
      <c r="J2319">
        <v>0</v>
      </c>
      <c r="K2319" t="s">
        <v>8935</v>
      </c>
    </row>
    <row r="2320" spans="1:11" x14ac:dyDescent="0.25">
      <c r="A2320" t="s">
        <v>7708</v>
      </c>
      <c r="B2320" t="s">
        <v>7709</v>
      </c>
      <c r="C2320" t="s">
        <v>723</v>
      </c>
      <c r="D2320" t="s">
        <v>7710</v>
      </c>
      <c r="E2320" t="s">
        <v>14</v>
      </c>
      <c r="F2320" t="s">
        <v>15</v>
      </c>
      <c r="G2320">
        <v>28205</v>
      </c>
      <c r="H2320" t="s">
        <v>265</v>
      </c>
      <c r="I2320">
        <v>3</v>
      </c>
      <c r="J2320">
        <v>1</v>
      </c>
      <c r="K2320" t="s">
        <v>8935</v>
      </c>
    </row>
    <row r="2321" spans="1:11" x14ac:dyDescent="0.25">
      <c r="A2321" t="s">
        <v>7711</v>
      </c>
      <c r="B2321" t="s">
        <v>7712</v>
      </c>
      <c r="C2321" t="s">
        <v>7713</v>
      </c>
      <c r="D2321" t="s">
        <v>7714</v>
      </c>
      <c r="E2321" t="s">
        <v>14</v>
      </c>
      <c r="F2321" t="s">
        <v>15</v>
      </c>
      <c r="G2321">
        <v>28202</v>
      </c>
      <c r="H2321" t="s">
        <v>16</v>
      </c>
      <c r="I2321">
        <v>44</v>
      </c>
      <c r="J2321">
        <v>1</v>
      </c>
      <c r="K2321" t="s">
        <v>8935</v>
      </c>
    </row>
    <row r="2322" spans="1:11" x14ac:dyDescent="0.25">
      <c r="A2322" t="s">
        <v>7715</v>
      </c>
      <c r="B2322" t="s">
        <v>228</v>
      </c>
      <c r="C2322" t="s">
        <v>7716</v>
      </c>
      <c r="D2322" t="s">
        <v>2601</v>
      </c>
      <c r="E2322" t="s">
        <v>14</v>
      </c>
      <c r="F2322" t="s">
        <v>15</v>
      </c>
      <c r="G2322">
        <v>28211</v>
      </c>
      <c r="H2322" t="s">
        <v>21</v>
      </c>
      <c r="I2322">
        <v>54</v>
      </c>
      <c r="J2322">
        <v>0</v>
      </c>
      <c r="K2322" t="s">
        <v>8935</v>
      </c>
    </row>
    <row r="2323" spans="1:11" x14ac:dyDescent="0.25">
      <c r="A2323" t="s">
        <v>7717</v>
      </c>
      <c r="B2323" t="s">
        <v>1731</v>
      </c>
      <c r="C2323" t="s">
        <v>7718</v>
      </c>
      <c r="D2323" t="s">
        <v>7719</v>
      </c>
      <c r="E2323" t="s">
        <v>14</v>
      </c>
      <c r="F2323" t="s">
        <v>15</v>
      </c>
      <c r="G2323">
        <v>28217</v>
      </c>
      <c r="H2323" t="s">
        <v>21</v>
      </c>
      <c r="I2323">
        <v>17</v>
      </c>
      <c r="J2323">
        <v>1</v>
      </c>
      <c r="K2323" t="s">
        <v>8931</v>
      </c>
    </row>
    <row r="2324" spans="1:11" x14ac:dyDescent="0.25">
      <c r="A2324" t="s">
        <v>7720</v>
      </c>
      <c r="B2324" t="s">
        <v>7721</v>
      </c>
      <c r="C2324" t="s">
        <v>7722</v>
      </c>
      <c r="D2324" t="s">
        <v>7723</v>
      </c>
      <c r="E2324" t="s">
        <v>14</v>
      </c>
      <c r="F2324" t="s">
        <v>15</v>
      </c>
      <c r="G2324">
        <v>28202</v>
      </c>
      <c r="H2324" t="s">
        <v>21</v>
      </c>
      <c r="I2324">
        <v>197</v>
      </c>
      <c r="J2324">
        <v>1</v>
      </c>
      <c r="K2324" t="s">
        <v>8937</v>
      </c>
    </row>
    <row r="2325" spans="1:11" x14ac:dyDescent="0.25">
      <c r="A2325" t="s">
        <v>7724</v>
      </c>
      <c r="B2325" t="s">
        <v>7725</v>
      </c>
      <c r="C2325" t="s">
        <v>7726</v>
      </c>
      <c r="D2325" t="s">
        <v>2794</v>
      </c>
      <c r="E2325" t="s">
        <v>14</v>
      </c>
      <c r="F2325" t="s">
        <v>15</v>
      </c>
      <c r="G2325">
        <v>28209</v>
      </c>
      <c r="H2325" t="s">
        <v>21</v>
      </c>
      <c r="I2325">
        <v>195</v>
      </c>
      <c r="J2325">
        <v>0</v>
      </c>
      <c r="K2325" t="s">
        <v>8925</v>
      </c>
    </row>
    <row r="2326" spans="1:11" x14ac:dyDescent="0.25">
      <c r="A2326" t="s">
        <v>7727</v>
      </c>
      <c r="B2326" t="s">
        <v>7728</v>
      </c>
      <c r="C2326" t="s">
        <v>7729</v>
      </c>
      <c r="D2326" t="s">
        <v>7730</v>
      </c>
      <c r="E2326" t="s">
        <v>14</v>
      </c>
      <c r="F2326" t="s">
        <v>15</v>
      </c>
      <c r="G2326">
        <v>28273</v>
      </c>
      <c r="H2326" t="s">
        <v>21</v>
      </c>
      <c r="I2326">
        <v>32</v>
      </c>
      <c r="J2326">
        <v>1</v>
      </c>
      <c r="K2326" t="s">
        <v>8935</v>
      </c>
    </row>
    <row r="2327" spans="1:11" x14ac:dyDescent="0.25">
      <c r="A2327" t="s">
        <v>7731</v>
      </c>
      <c r="B2327" t="s">
        <v>332</v>
      </c>
      <c r="C2327" t="s">
        <v>7732</v>
      </c>
      <c r="D2327" t="s">
        <v>7733</v>
      </c>
      <c r="E2327" t="s">
        <v>14</v>
      </c>
      <c r="F2327" t="s">
        <v>15</v>
      </c>
      <c r="G2327">
        <v>28217</v>
      </c>
      <c r="H2327" t="s">
        <v>16</v>
      </c>
      <c r="I2327">
        <v>3</v>
      </c>
      <c r="J2327">
        <v>0</v>
      </c>
      <c r="K2327" t="s">
        <v>8935</v>
      </c>
    </row>
    <row r="2328" spans="1:11" x14ac:dyDescent="0.25">
      <c r="A2328" t="s">
        <v>7734</v>
      </c>
      <c r="B2328" t="s">
        <v>7735</v>
      </c>
      <c r="C2328" t="s">
        <v>3973</v>
      </c>
      <c r="D2328" t="s">
        <v>7736</v>
      </c>
      <c r="E2328" t="s">
        <v>14</v>
      </c>
      <c r="F2328" t="s">
        <v>15</v>
      </c>
      <c r="G2328">
        <v>28217</v>
      </c>
      <c r="H2328" t="s">
        <v>48</v>
      </c>
      <c r="I2328">
        <v>51</v>
      </c>
      <c r="J2328">
        <v>1</v>
      </c>
      <c r="K2328" t="s">
        <v>8935</v>
      </c>
    </row>
    <row r="2329" spans="1:11" x14ac:dyDescent="0.25">
      <c r="A2329" t="s">
        <v>7737</v>
      </c>
      <c r="B2329" t="s">
        <v>7738</v>
      </c>
      <c r="C2329" t="s">
        <v>715</v>
      </c>
      <c r="D2329" t="s">
        <v>7739</v>
      </c>
      <c r="E2329" t="s">
        <v>14</v>
      </c>
      <c r="F2329" t="s">
        <v>15</v>
      </c>
      <c r="G2329">
        <v>28211</v>
      </c>
      <c r="H2329" t="s">
        <v>26</v>
      </c>
      <c r="I2329">
        <v>33</v>
      </c>
      <c r="J2329">
        <v>1</v>
      </c>
      <c r="K2329" t="s">
        <v>8925</v>
      </c>
    </row>
    <row r="2330" spans="1:11" x14ac:dyDescent="0.25">
      <c r="A2330" t="s">
        <v>7740</v>
      </c>
      <c r="B2330" t="s">
        <v>7741</v>
      </c>
      <c r="C2330" t="s">
        <v>7742</v>
      </c>
      <c r="D2330" t="s">
        <v>1523</v>
      </c>
      <c r="E2330" t="s">
        <v>14</v>
      </c>
      <c r="F2330" t="s">
        <v>15</v>
      </c>
      <c r="G2330">
        <v>28211</v>
      </c>
      <c r="H2330" t="s">
        <v>48</v>
      </c>
      <c r="I2330">
        <v>5</v>
      </c>
      <c r="J2330">
        <v>0</v>
      </c>
      <c r="K2330" t="s">
        <v>8935</v>
      </c>
    </row>
    <row r="2331" spans="1:11" x14ac:dyDescent="0.25">
      <c r="A2331" t="s">
        <v>7743</v>
      </c>
      <c r="B2331" t="s">
        <v>5652</v>
      </c>
      <c r="C2331" t="s">
        <v>1094</v>
      </c>
      <c r="D2331" t="s">
        <v>4370</v>
      </c>
      <c r="E2331" t="s">
        <v>14</v>
      </c>
      <c r="F2331" t="s">
        <v>15</v>
      </c>
      <c r="G2331">
        <v>28212</v>
      </c>
      <c r="H2331" t="s">
        <v>195</v>
      </c>
      <c r="I2331">
        <v>9</v>
      </c>
      <c r="J2331">
        <v>1</v>
      </c>
      <c r="K2331" t="s">
        <v>8925</v>
      </c>
    </row>
    <row r="2332" spans="1:11" x14ac:dyDescent="0.25">
      <c r="A2332" t="s">
        <v>7744</v>
      </c>
      <c r="B2332" t="s">
        <v>7745</v>
      </c>
      <c r="C2332" t="s">
        <v>7746</v>
      </c>
      <c r="D2332" t="s">
        <v>7747</v>
      </c>
      <c r="E2332" t="s">
        <v>14</v>
      </c>
      <c r="F2332" t="s">
        <v>15</v>
      </c>
      <c r="G2332">
        <v>28127</v>
      </c>
      <c r="H2332" t="s">
        <v>21</v>
      </c>
      <c r="I2332">
        <v>46</v>
      </c>
      <c r="J2332">
        <v>1</v>
      </c>
      <c r="K2332" t="s">
        <v>8931</v>
      </c>
    </row>
    <row r="2333" spans="1:11" x14ac:dyDescent="0.25">
      <c r="A2333" t="s">
        <v>7748</v>
      </c>
      <c r="B2333" t="s">
        <v>7749</v>
      </c>
      <c r="C2333" t="s">
        <v>7750</v>
      </c>
      <c r="D2333" t="s">
        <v>7751</v>
      </c>
      <c r="E2333" t="s">
        <v>14</v>
      </c>
      <c r="F2333" t="s">
        <v>15</v>
      </c>
      <c r="G2333">
        <v>28203</v>
      </c>
      <c r="H2333" t="s">
        <v>16</v>
      </c>
      <c r="I2333">
        <v>209</v>
      </c>
      <c r="J2333">
        <v>1</v>
      </c>
      <c r="K2333" t="s">
        <v>8935</v>
      </c>
    </row>
    <row r="2334" spans="1:11" x14ac:dyDescent="0.25">
      <c r="A2334" t="s">
        <v>7752</v>
      </c>
      <c r="B2334" t="s">
        <v>4599</v>
      </c>
      <c r="C2334" t="s">
        <v>7753</v>
      </c>
      <c r="D2334" t="s">
        <v>7754</v>
      </c>
      <c r="E2334" t="s">
        <v>14</v>
      </c>
      <c r="F2334" t="s">
        <v>15</v>
      </c>
      <c r="G2334">
        <v>28209</v>
      </c>
      <c r="H2334" t="s">
        <v>26</v>
      </c>
      <c r="I2334">
        <v>46</v>
      </c>
      <c r="J2334">
        <v>0</v>
      </c>
      <c r="K2334" t="s">
        <v>8936</v>
      </c>
    </row>
    <row r="2335" spans="1:11" x14ac:dyDescent="0.25">
      <c r="A2335" t="s">
        <v>7755</v>
      </c>
      <c r="B2335" t="s">
        <v>7756</v>
      </c>
      <c r="C2335" t="s">
        <v>735</v>
      </c>
      <c r="D2335" t="s">
        <v>7757</v>
      </c>
      <c r="E2335" t="s">
        <v>14</v>
      </c>
      <c r="F2335" t="s">
        <v>15</v>
      </c>
      <c r="G2335">
        <v>28203</v>
      </c>
      <c r="H2335" t="s">
        <v>16</v>
      </c>
      <c r="I2335">
        <v>5</v>
      </c>
      <c r="J2335">
        <v>1</v>
      </c>
      <c r="K2335" t="s">
        <v>8935</v>
      </c>
    </row>
    <row r="2336" spans="1:11" x14ac:dyDescent="0.25">
      <c r="A2336" t="s">
        <v>7758</v>
      </c>
      <c r="B2336" t="s">
        <v>7759</v>
      </c>
      <c r="C2336" t="s">
        <v>7760</v>
      </c>
      <c r="D2336" t="s">
        <v>1946</v>
      </c>
      <c r="E2336" t="s">
        <v>14</v>
      </c>
      <c r="F2336" t="s">
        <v>15</v>
      </c>
      <c r="G2336">
        <v>28202</v>
      </c>
      <c r="H2336" t="s">
        <v>48</v>
      </c>
      <c r="I2336">
        <v>6</v>
      </c>
      <c r="J2336">
        <v>0</v>
      </c>
      <c r="K2336" t="s">
        <v>8935</v>
      </c>
    </row>
    <row r="2337" spans="1:11" x14ac:dyDescent="0.25">
      <c r="A2337" t="s">
        <v>7761</v>
      </c>
      <c r="B2337" t="s">
        <v>422</v>
      </c>
      <c r="C2337" t="s">
        <v>7762</v>
      </c>
      <c r="D2337" t="s">
        <v>7763</v>
      </c>
      <c r="E2337" t="s">
        <v>14</v>
      </c>
      <c r="F2337" t="s">
        <v>15</v>
      </c>
      <c r="G2337">
        <v>28273</v>
      </c>
      <c r="H2337" t="s">
        <v>48</v>
      </c>
      <c r="I2337">
        <v>63</v>
      </c>
      <c r="J2337">
        <v>1</v>
      </c>
      <c r="K2337" t="s">
        <v>8920</v>
      </c>
    </row>
    <row r="2338" spans="1:11" x14ac:dyDescent="0.25">
      <c r="A2338" t="s">
        <v>7764</v>
      </c>
      <c r="B2338" t="s">
        <v>7765</v>
      </c>
      <c r="C2338" t="s">
        <v>1200</v>
      </c>
      <c r="D2338" t="s">
        <v>7766</v>
      </c>
      <c r="E2338" t="s">
        <v>14</v>
      </c>
      <c r="F2338" t="s">
        <v>15</v>
      </c>
      <c r="G2338">
        <v>28269</v>
      </c>
      <c r="H2338" t="s">
        <v>16</v>
      </c>
      <c r="I2338">
        <v>18</v>
      </c>
      <c r="J2338">
        <v>1</v>
      </c>
      <c r="K2338" t="s">
        <v>8935</v>
      </c>
    </row>
    <row r="2339" spans="1:11" x14ac:dyDescent="0.25">
      <c r="A2339" t="s">
        <v>7767</v>
      </c>
      <c r="B2339" t="s">
        <v>7768</v>
      </c>
      <c r="C2339" t="s">
        <v>1200</v>
      </c>
      <c r="D2339" t="s">
        <v>7769</v>
      </c>
      <c r="E2339" t="s">
        <v>14</v>
      </c>
      <c r="F2339" t="s">
        <v>15</v>
      </c>
      <c r="G2339">
        <v>28226</v>
      </c>
      <c r="H2339" t="s">
        <v>26</v>
      </c>
      <c r="I2339">
        <v>22</v>
      </c>
      <c r="J2339">
        <v>1</v>
      </c>
      <c r="K2339" t="s">
        <v>8935</v>
      </c>
    </row>
    <row r="2340" spans="1:11" x14ac:dyDescent="0.25">
      <c r="A2340" t="s">
        <v>7770</v>
      </c>
      <c r="B2340" t="s">
        <v>7771</v>
      </c>
      <c r="C2340" t="s">
        <v>7772</v>
      </c>
      <c r="D2340" t="s">
        <v>7773</v>
      </c>
      <c r="E2340" t="s">
        <v>14</v>
      </c>
      <c r="F2340" t="s">
        <v>15</v>
      </c>
      <c r="G2340">
        <v>28203</v>
      </c>
      <c r="H2340" t="s">
        <v>16</v>
      </c>
      <c r="I2340">
        <v>312</v>
      </c>
      <c r="J2340">
        <v>0</v>
      </c>
      <c r="K2340" t="s">
        <v>8925</v>
      </c>
    </row>
    <row r="2341" spans="1:11" x14ac:dyDescent="0.25">
      <c r="A2341" t="s">
        <v>7774</v>
      </c>
      <c r="B2341" t="s">
        <v>201</v>
      </c>
      <c r="C2341" t="s">
        <v>7775</v>
      </c>
      <c r="D2341" t="s">
        <v>2752</v>
      </c>
      <c r="E2341" t="s">
        <v>14</v>
      </c>
      <c r="F2341" t="s">
        <v>15</v>
      </c>
      <c r="G2341">
        <v>28208</v>
      </c>
      <c r="H2341" t="s">
        <v>26</v>
      </c>
      <c r="I2341">
        <v>3</v>
      </c>
      <c r="J2341">
        <v>1</v>
      </c>
      <c r="K2341" t="s">
        <v>8935</v>
      </c>
    </row>
    <row r="2342" spans="1:11" x14ac:dyDescent="0.25">
      <c r="A2342" t="s">
        <v>7776</v>
      </c>
      <c r="B2342" t="s">
        <v>58</v>
      </c>
      <c r="C2342" t="s">
        <v>7777</v>
      </c>
      <c r="D2342" t="s">
        <v>5104</v>
      </c>
      <c r="E2342" t="s">
        <v>14</v>
      </c>
      <c r="F2342" t="s">
        <v>15</v>
      </c>
      <c r="G2342">
        <v>28214</v>
      </c>
      <c r="H2342" t="s">
        <v>21</v>
      </c>
      <c r="I2342">
        <v>9</v>
      </c>
      <c r="J2342">
        <v>0</v>
      </c>
      <c r="K2342" t="s">
        <v>8935</v>
      </c>
    </row>
    <row r="2343" spans="1:11" x14ac:dyDescent="0.25">
      <c r="A2343" t="s">
        <v>7778</v>
      </c>
      <c r="B2343" t="s">
        <v>82</v>
      </c>
      <c r="C2343" t="s">
        <v>7779</v>
      </c>
      <c r="D2343" t="s">
        <v>7780</v>
      </c>
      <c r="E2343" t="s">
        <v>14</v>
      </c>
      <c r="F2343" t="s">
        <v>15</v>
      </c>
      <c r="G2343">
        <v>28205</v>
      </c>
      <c r="H2343" t="s">
        <v>16</v>
      </c>
      <c r="I2343">
        <v>13</v>
      </c>
      <c r="J2343">
        <v>1</v>
      </c>
      <c r="K2343" t="s">
        <v>8935</v>
      </c>
    </row>
    <row r="2344" spans="1:11" x14ac:dyDescent="0.25">
      <c r="A2344" t="s">
        <v>7781</v>
      </c>
      <c r="B2344" t="s">
        <v>7782</v>
      </c>
      <c r="C2344" t="s">
        <v>7783</v>
      </c>
      <c r="D2344" t="s">
        <v>7784</v>
      </c>
      <c r="E2344" t="s">
        <v>14</v>
      </c>
      <c r="F2344" t="s">
        <v>15</v>
      </c>
      <c r="G2344">
        <v>28277</v>
      </c>
      <c r="H2344" t="s">
        <v>21</v>
      </c>
      <c r="I2344">
        <v>46</v>
      </c>
      <c r="J2344">
        <v>1</v>
      </c>
      <c r="K2344" t="s">
        <v>8935</v>
      </c>
    </row>
    <row r="2345" spans="1:11" x14ac:dyDescent="0.25">
      <c r="A2345" t="s">
        <v>7785</v>
      </c>
      <c r="B2345" t="s">
        <v>7786</v>
      </c>
      <c r="C2345" t="s">
        <v>7787</v>
      </c>
      <c r="D2345" t="s">
        <v>7788</v>
      </c>
      <c r="E2345" t="s">
        <v>14</v>
      </c>
      <c r="F2345" t="s">
        <v>15</v>
      </c>
      <c r="G2345">
        <v>28210</v>
      </c>
      <c r="H2345" t="s">
        <v>16</v>
      </c>
      <c r="I2345">
        <v>112</v>
      </c>
      <c r="J2345">
        <v>1</v>
      </c>
      <c r="K2345" t="s">
        <v>8935</v>
      </c>
    </row>
    <row r="2346" spans="1:11" x14ac:dyDescent="0.25">
      <c r="A2346" t="s">
        <v>7789</v>
      </c>
      <c r="B2346" t="s">
        <v>7790</v>
      </c>
      <c r="C2346" t="s">
        <v>3573</v>
      </c>
      <c r="D2346" t="s">
        <v>7791</v>
      </c>
      <c r="E2346" t="s">
        <v>14</v>
      </c>
      <c r="F2346" t="s">
        <v>15</v>
      </c>
      <c r="G2346">
        <v>28269</v>
      </c>
      <c r="H2346" t="s">
        <v>101</v>
      </c>
      <c r="I2346">
        <v>82</v>
      </c>
      <c r="J2346">
        <v>1</v>
      </c>
      <c r="K2346" t="s">
        <v>8935</v>
      </c>
    </row>
    <row r="2347" spans="1:11" x14ac:dyDescent="0.25">
      <c r="A2347" t="s">
        <v>7792</v>
      </c>
      <c r="B2347" t="s">
        <v>7793</v>
      </c>
      <c r="C2347" t="s">
        <v>7794</v>
      </c>
      <c r="D2347" t="s">
        <v>7795</v>
      </c>
      <c r="E2347" t="s">
        <v>14</v>
      </c>
      <c r="F2347" t="s">
        <v>15</v>
      </c>
      <c r="G2347">
        <v>28215</v>
      </c>
      <c r="H2347" t="s">
        <v>16</v>
      </c>
      <c r="I2347">
        <v>4</v>
      </c>
      <c r="J2347">
        <v>1</v>
      </c>
      <c r="K2347" t="s">
        <v>8925</v>
      </c>
    </row>
    <row r="2348" spans="1:11" x14ac:dyDescent="0.25">
      <c r="A2348" t="s">
        <v>7796</v>
      </c>
      <c r="B2348" t="s">
        <v>422</v>
      </c>
      <c r="C2348" t="s">
        <v>7797</v>
      </c>
      <c r="D2348" t="s">
        <v>7798</v>
      </c>
      <c r="E2348" t="s">
        <v>14</v>
      </c>
      <c r="F2348" t="s">
        <v>15</v>
      </c>
      <c r="G2348">
        <v>28262</v>
      </c>
      <c r="H2348" t="s">
        <v>26</v>
      </c>
      <c r="I2348">
        <v>132</v>
      </c>
      <c r="J2348">
        <v>1</v>
      </c>
      <c r="K2348" t="s">
        <v>8920</v>
      </c>
    </row>
    <row r="2349" spans="1:11" x14ac:dyDescent="0.25">
      <c r="A2349" t="s">
        <v>7799</v>
      </c>
      <c r="B2349" t="s">
        <v>7800</v>
      </c>
      <c r="C2349" t="s">
        <v>7801</v>
      </c>
      <c r="D2349" t="s">
        <v>7802</v>
      </c>
      <c r="E2349" t="s">
        <v>14</v>
      </c>
      <c r="F2349" t="s">
        <v>15</v>
      </c>
      <c r="G2349">
        <v>28262</v>
      </c>
      <c r="H2349" t="s">
        <v>16</v>
      </c>
      <c r="I2349">
        <v>75</v>
      </c>
      <c r="J2349">
        <v>1</v>
      </c>
      <c r="K2349" t="s">
        <v>8935</v>
      </c>
    </row>
    <row r="2350" spans="1:11" x14ac:dyDescent="0.25">
      <c r="A2350" t="s">
        <v>7803</v>
      </c>
      <c r="B2350" t="s">
        <v>7804</v>
      </c>
      <c r="C2350" t="s">
        <v>7805</v>
      </c>
      <c r="D2350" t="s">
        <v>7806</v>
      </c>
      <c r="E2350" t="s">
        <v>14</v>
      </c>
      <c r="F2350" t="s">
        <v>15</v>
      </c>
      <c r="G2350">
        <v>28203</v>
      </c>
      <c r="H2350" t="s">
        <v>21</v>
      </c>
      <c r="I2350">
        <v>35</v>
      </c>
      <c r="J2350">
        <v>0</v>
      </c>
      <c r="K2350" t="s">
        <v>8935</v>
      </c>
    </row>
    <row r="2351" spans="1:11" x14ac:dyDescent="0.25">
      <c r="A2351" t="s">
        <v>7807</v>
      </c>
      <c r="B2351" t="s">
        <v>7808</v>
      </c>
      <c r="C2351" t="s">
        <v>7809</v>
      </c>
      <c r="D2351" t="s">
        <v>7810</v>
      </c>
      <c r="E2351" t="s">
        <v>14</v>
      </c>
      <c r="F2351" t="s">
        <v>15</v>
      </c>
      <c r="G2351">
        <v>28216</v>
      </c>
      <c r="H2351" t="s">
        <v>26</v>
      </c>
      <c r="I2351">
        <v>48</v>
      </c>
      <c r="J2351">
        <v>1</v>
      </c>
      <c r="K2351" t="s">
        <v>8935</v>
      </c>
    </row>
    <row r="2352" spans="1:11" x14ac:dyDescent="0.25">
      <c r="A2352" t="s">
        <v>7811</v>
      </c>
      <c r="B2352" t="s">
        <v>7812</v>
      </c>
      <c r="C2352" t="s">
        <v>7813</v>
      </c>
      <c r="E2352" t="s">
        <v>14</v>
      </c>
      <c r="F2352" t="s">
        <v>15</v>
      </c>
      <c r="G2352">
        <v>28202</v>
      </c>
      <c r="H2352" t="s">
        <v>39</v>
      </c>
      <c r="I2352">
        <v>22</v>
      </c>
      <c r="J2352">
        <v>1</v>
      </c>
      <c r="K2352" t="s">
        <v>8935</v>
      </c>
    </row>
    <row r="2353" spans="1:11" x14ac:dyDescent="0.25">
      <c r="A2353" t="s">
        <v>7814</v>
      </c>
      <c r="B2353" t="s">
        <v>7815</v>
      </c>
      <c r="C2353" t="s">
        <v>6555</v>
      </c>
      <c r="D2353" t="s">
        <v>5514</v>
      </c>
      <c r="E2353" t="s">
        <v>14</v>
      </c>
      <c r="F2353" t="s">
        <v>15</v>
      </c>
      <c r="G2353">
        <v>28204</v>
      </c>
      <c r="H2353" t="s">
        <v>21</v>
      </c>
      <c r="I2353">
        <v>152</v>
      </c>
      <c r="J2353">
        <v>0</v>
      </c>
      <c r="K2353" t="s">
        <v>8935</v>
      </c>
    </row>
    <row r="2354" spans="1:11" x14ac:dyDescent="0.25">
      <c r="A2354" t="s">
        <v>7816</v>
      </c>
      <c r="B2354" t="s">
        <v>379</v>
      </c>
      <c r="C2354" t="s">
        <v>7817</v>
      </c>
      <c r="D2354" t="s">
        <v>1792</v>
      </c>
      <c r="E2354" t="s">
        <v>14</v>
      </c>
      <c r="F2354" t="s">
        <v>15</v>
      </c>
      <c r="G2354">
        <v>28262</v>
      </c>
      <c r="H2354" t="s">
        <v>21</v>
      </c>
      <c r="I2354">
        <v>31</v>
      </c>
      <c r="J2354">
        <v>0</v>
      </c>
      <c r="K2354" t="s">
        <v>8930</v>
      </c>
    </row>
    <row r="2355" spans="1:11" x14ac:dyDescent="0.25">
      <c r="A2355" t="s">
        <v>7818</v>
      </c>
      <c r="B2355" t="s">
        <v>7819</v>
      </c>
      <c r="C2355" t="s">
        <v>1252</v>
      </c>
      <c r="D2355" t="s">
        <v>7820</v>
      </c>
      <c r="E2355" t="s">
        <v>14</v>
      </c>
      <c r="F2355" t="s">
        <v>15</v>
      </c>
      <c r="G2355">
        <v>28204</v>
      </c>
      <c r="H2355" t="s">
        <v>16</v>
      </c>
      <c r="I2355">
        <v>95</v>
      </c>
      <c r="J2355">
        <v>1</v>
      </c>
      <c r="K2355" t="s">
        <v>8936</v>
      </c>
    </row>
    <row r="2356" spans="1:11" x14ac:dyDescent="0.25">
      <c r="A2356" t="s">
        <v>7821</v>
      </c>
      <c r="B2356" t="s">
        <v>7822</v>
      </c>
      <c r="C2356" t="s">
        <v>7823</v>
      </c>
      <c r="D2356" t="s">
        <v>7824</v>
      </c>
      <c r="E2356" t="s">
        <v>14</v>
      </c>
      <c r="F2356" t="s">
        <v>15</v>
      </c>
      <c r="G2356">
        <v>28208</v>
      </c>
      <c r="H2356" t="s">
        <v>26</v>
      </c>
      <c r="I2356">
        <v>23</v>
      </c>
      <c r="J2356">
        <v>1</v>
      </c>
      <c r="K2356" t="s">
        <v>8935</v>
      </c>
    </row>
    <row r="2357" spans="1:11" x14ac:dyDescent="0.25">
      <c r="A2357" t="s">
        <v>7825</v>
      </c>
      <c r="B2357" t="s">
        <v>312</v>
      </c>
      <c r="C2357" t="s">
        <v>7826</v>
      </c>
      <c r="D2357" t="s">
        <v>7827</v>
      </c>
      <c r="E2357" t="s">
        <v>14</v>
      </c>
      <c r="F2357" t="s">
        <v>15</v>
      </c>
      <c r="G2357">
        <v>28263</v>
      </c>
      <c r="H2357" t="s">
        <v>26</v>
      </c>
      <c r="I2357">
        <v>7</v>
      </c>
      <c r="J2357">
        <v>0</v>
      </c>
      <c r="K2357" t="s">
        <v>8925</v>
      </c>
    </row>
    <row r="2358" spans="1:11" x14ac:dyDescent="0.25">
      <c r="A2358" t="s">
        <v>7828</v>
      </c>
      <c r="B2358" t="s">
        <v>7829</v>
      </c>
      <c r="C2358" t="s">
        <v>735</v>
      </c>
      <c r="D2358" t="s">
        <v>7830</v>
      </c>
      <c r="E2358" t="s">
        <v>14</v>
      </c>
      <c r="F2358" t="s">
        <v>15</v>
      </c>
      <c r="G2358">
        <v>28273</v>
      </c>
      <c r="H2358" t="s">
        <v>48</v>
      </c>
      <c r="I2358">
        <v>59</v>
      </c>
      <c r="J2358">
        <v>1</v>
      </c>
      <c r="K2358" t="s">
        <v>8935</v>
      </c>
    </row>
    <row r="2359" spans="1:11" x14ac:dyDescent="0.25">
      <c r="A2359" t="s">
        <v>7831</v>
      </c>
      <c r="B2359" t="s">
        <v>4589</v>
      </c>
      <c r="C2359" t="s">
        <v>415</v>
      </c>
      <c r="D2359" t="s">
        <v>7832</v>
      </c>
      <c r="E2359" t="s">
        <v>14</v>
      </c>
      <c r="F2359" t="s">
        <v>15</v>
      </c>
      <c r="G2359">
        <v>28204</v>
      </c>
      <c r="H2359" t="s">
        <v>26</v>
      </c>
      <c r="I2359">
        <v>25</v>
      </c>
      <c r="J2359">
        <v>1</v>
      </c>
      <c r="K2359" t="s">
        <v>8935</v>
      </c>
    </row>
    <row r="2360" spans="1:11" x14ac:dyDescent="0.25">
      <c r="A2360" t="s">
        <v>7833</v>
      </c>
      <c r="B2360" t="s">
        <v>3754</v>
      </c>
      <c r="C2360" t="s">
        <v>415</v>
      </c>
      <c r="D2360" t="s">
        <v>7834</v>
      </c>
      <c r="E2360" t="s">
        <v>14</v>
      </c>
      <c r="F2360" t="s">
        <v>15</v>
      </c>
      <c r="G2360">
        <v>28202</v>
      </c>
      <c r="H2360" t="s">
        <v>16</v>
      </c>
      <c r="I2360">
        <v>19</v>
      </c>
      <c r="J2360">
        <v>0</v>
      </c>
      <c r="K2360" t="s">
        <v>8935</v>
      </c>
    </row>
    <row r="2361" spans="1:11" x14ac:dyDescent="0.25">
      <c r="A2361" t="s">
        <v>7835</v>
      </c>
      <c r="B2361" t="s">
        <v>7836</v>
      </c>
      <c r="C2361" t="s">
        <v>7837</v>
      </c>
      <c r="D2361" t="s">
        <v>7838</v>
      </c>
      <c r="E2361" t="s">
        <v>14</v>
      </c>
      <c r="F2361" t="s">
        <v>15</v>
      </c>
      <c r="G2361">
        <v>28262</v>
      </c>
      <c r="H2361" t="s">
        <v>21</v>
      </c>
      <c r="I2361">
        <v>3</v>
      </c>
      <c r="J2361">
        <v>0</v>
      </c>
      <c r="K2361" t="s">
        <v>8935</v>
      </c>
    </row>
    <row r="2362" spans="1:11" x14ac:dyDescent="0.25">
      <c r="A2362" t="s">
        <v>7839</v>
      </c>
      <c r="B2362" t="s">
        <v>760</v>
      </c>
      <c r="C2362" t="s">
        <v>7840</v>
      </c>
      <c r="D2362" t="s">
        <v>7841</v>
      </c>
      <c r="E2362" t="s">
        <v>14</v>
      </c>
      <c r="F2362" t="s">
        <v>15</v>
      </c>
      <c r="G2362">
        <v>28215</v>
      </c>
      <c r="H2362" t="s">
        <v>195</v>
      </c>
      <c r="I2362">
        <v>7</v>
      </c>
      <c r="J2362">
        <v>1</v>
      </c>
      <c r="K2362" t="s">
        <v>8935</v>
      </c>
    </row>
    <row r="2363" spans="1:11" x14ac:dyDescent="0.25">
      <c r="A2363" t="s">
        <v>7842</v>
      </c>
      <c r="B2363" t="s">
        <v>7843</v>
      </c>
      <c r="C2363" t="s">
        <v>7844</v>
      </c>
      <c r="D2363" t="s">
        <v>3298</v>
      </c>
      <c r="E2363" t="s">
        <v>14</v>
      </c>
      <c r="F2363" t="s">
        <v>15</v>
      </c>
      <c r="G2363">
        <v>28202</v>
      </c>
      <c r="H2363" t="s">
        <v>16</v>
      </c>
      <c r="I2363">
        <v>56</v>
      </c>
      <c r="J2363">
        <v>1</v>
      </c>
      <c r="K2363" t="s">
        <v>8924</v>
      </c>
    </row>
    <row r="2364" spans="1:11" x14ac:dyDescent="0.25">
      <c r="A2364" t="s">
        <v>7845</v>
      </c>
      <c r="B2364" t="s">
        <v>691</v>
      </c>
      <c r="C2364" t="s">
        <v>7846</v>
      </c>
      <c r="D2364" t="s">
        <v>7847</v>
      </c>
      <c r="E2364" t="s">
        <v>14</v>
      </c>
      <c r="F2364" t="s">
        <v>15</v>
      </c>
      <c r="G2364">
        <v>28202</v>
      </c>
      <c r="H2364" t="s">
        <v>26</v>
      </c>
      <c r="I2364">
        <v>8</v>
      </c>
      <c r="J2364">
        <v>1</v>
      </c>
      <c r="K2364" t="s">
        <v>8935</v>
      </c>
    </row>
    <row r="2365" spans="1:11" x14ac:dyDescent="0.25">
      <c r="A2365" t="s">
        <v>7848</v>
      </c>
      <c r="B2365" t="s">
        <v>7849</v>
      </c>
      <c r="C2365" t="s">
        <v>4189</v>
      </c>
      <c r="D2365" t="s">
        <v>7850</v>
      </c>
      <c r="E2365" t="s">
        <v>14</v>
      </c>
      <c r="F2365" t="s">
        <v>15</v>
      </c>
      <c r="G2365">
        <v>28204</v>
      </c>
      <c r="H2365" t="s">
        <v>26</v>
      </c>
      <c r="I2365">
        <v>14</v>
      </c>
      <c r="J2365">
        <v>1</v>
      </c>
      <c r="K2365" t="s">
        <v>8935</v>
      </c>
    </row>
    <row r="2366" spans="1:11" x14ac:dyDescent="0.25">
      <c r="A2366" t="s">
        <v>7851</v>
      </c>
      <c r="B2366" t="s">
        <v>1661</v>
      </c>
      <c r="C2366" t="s">
        <v>7852</v>
      </c>
      <c r="D2366" t="s">
        <v>7853</v>
      </c>
      <c r="E2366" t="s">
        <v>14</v>
      </c>
      <c r="F2366" t="s">
        <v>15</v>
      </c>
      <c r="G2366">
        <v>28273</v>
      </c>
      <c r="H2366" t="s">
        <v>26</v>
      </c>
      <c r="I2366">
        <v>79</v>
      </c>
      <c r="J2366">
        <v>1</v>
      </c>
      <c r="K2366" t="s">
        <v>8920</v>
      </c>
    </row>
    <row r="2367" spans="1:11" x14ac:dyDescent="0.25">
      <c r="A2367" t="s">
        <v>7854</v>
      </c>
      <c r="B2367" t="s">
        <v>1188</v>
      </c>
      <c r="C2367" t="s">
        <v>7855</v>
      </c>
      <c r="D2367" t="s">
        <v>7856</v>
      </c>
      <c r="E2367" t="s">
        <v>14</v>
      </c>
      <c r="F2367" t="s">
        <v>15</v>
      </c>
      <c r="G2367">
        <v>28212</v>
      </c>
      <c r="H2367" t="s">
        <v>21</v>
      </c>
      <c r="I2367">
        <v>24</v>
      </c>
      <c r="J2367">
        <v>0</v>
      </c>
      <c r="K2367" t="s">
        <v>8935</v>
      </c>
    </row>
    <row r="2368" spans="1:11" x14ac:dyDescent="0.25">
      <c r="A2368" t="s">
        <v>7857</v>
      </c>
      <c r="B2368" t="s">
        <v>7858</v>
      </c>
      <c r="C2368" t="s">
        <v>7859</v>
      </c>
      <c r="D2368" t="s">
        <v>7860</v>
      </c>
      <c r="E2368" t="s">
        <v>14</v>
      </c>
      <c r="F2368" t="s">
        <v>15</v>
      </c>
      <c r="G2368">
        <v>28208</v>
      </c>
      <c r="H2368" t="s">
        <v>16</v>
      </c>
      <c r="I2368">
        <v>991</v>
      </c>
      <c r="J2368">
        <v>1</v>
      </c>
      <c r="K2368" t="s">
        <v>8935</v>
      </c>
    </row>
    <row r="2369" spans="1:11" x14ac:dyDescent="0.25">
      <c r="A2369" t="s">
        <v>7861</v>
      </c>
      <c r="B2369" t="s">
        <v>279</v>
      </c>
      <c r="C2369" t="s">
        <v>7862</v>
      </c>
      <c r="D2369" t="s">
        <v>7863</v>
      </c>
      <c r="E2369" t="s">
        <v>14</v>
      </c>
      <c r="F2369" t="s">
        <v>15</v>
      </c>
      <c r="G2369">
        <v>28205</v>
      </c>
      <c r="H2369" t="s">
        <v>21</v>
      </c>
      <c r="I2369">
        <v>16</v>
      </c>
      <c r="J2369">
        <v>1</v>
      </c>
      <c r="K2369" t="s">
        <v>8926</v>
      </c>
    </row>
    <row r="2370" spans="1:11" x14ac:dyDescent="0.25">
      <c r="A2370" t="s">
        <v>7864</v>
      </c>
      <c r="B2370" t="s">
        <v>7865</v>
      </c>
      <c r="C2370" t="s">
        <v>7866</v>
      </c>
      <c r="D2370" t="s">
        <v>7867</v>
      </c>
      <c r="E2370" t="s">
        <v>14</v>
      </c>
      <c r="F2370" t="s">
        <v>15</v>
      </c>
      <c r="G2370">
        <v>28262</v>
      </c>
      <c r="H2370" t="s">
        <v>26</v>
      </c>
      <c r="I2370">
        <v>211</v>
      </c>
      <c r="J2370">
        <v>1</v>
      </c>
      <c r="K2370" t="s">
        <v>8935</v>
      </c>
    </row>
    <row r="2371" spans="1:11" x14ac:dyDescent="0.25">
      <c r="A2371" t="s">
        <v>7868</v>
      </c>
      <c r="B2371" t="s">
        <v>7869</v>
      </c>
      <c r="C2371" t="s">
        <v>7870</v>
      </c>
      <c r="D2371" t="s">
        <v>7871</v>
      </c>
      <c r="E2371" t="s">
        <v>14</v>
      </c>
      <c r="F2371" t="s">
        <v>15</v>
      </c>
      <c r="G2371">
        <v>28214</v>
      </c>
      <c r="H2371" t="s">
        <v>26</v>
      </c>
      <c r="I2371">
        <v>64</v>
      </c>
      <c r="J2371">
        <v>0</v>
      </c>
      <c r="K2371" t="s">
        <v>8935</v>
      </c>
    </row>
    <row r="2372" spans="1:11" x14ac:dyDescent="0.25">
      <c r="A2372" t="s">
        <v>7872</v>
      </c>
      <c r="B2372" t="s">
        <v>7873</v>
      </c>
      <c r="C2372" t="s">
        <v>7874</v>
      </c>
      <c r="D2372" t="s">
        <v>7875</v>
      </c>
      <c r="E2372" t="s">
        <v>14</v>
      </c>
      <c r="F2372" t="s">
        <v>15</v>
      </c>
      <c r="G2372">
        <v>28262</v>
      </c>
      <c r="H2372" t="s">
        <v>21</v>
      </c>
      <c r="I2372">
        <v>42</v>
      </c>
      <c r="J2372">
        <v>1</v>
      </c>
      <c r="K2372" t="s">
        <v>8923</v>
      </c>
    </row>
    <row r="2373" spans="1:11" x14ac:dyDescent="0.25">
      <c r="A2373" t="s">
        <v>7876</v>
      </c>
      <c r="B2373" t="s">
        <v>7877</v>
      </c>
      <c r="C2373" t="s">
        <v>7878</v>
      </c>
      <c r="D2373" t="s">
        <v>7879</v>
      </c>
      <c r="E2373" t="s">
        <v>14</v>
      </c>
      <c r="F2373" t="s">
        <v>15</v>
      </c>
      <c r="G2373">
        <v>28206</v>
      </c>
      <c r="H2373" t="s">
        <v>21</v>
      </c>
      <c r="I2373">
        <v>44</v>
      </c>
      <c r="J2373">
        <v>0</v>
      </c>
      <c r="K2373" t="s">
        <v>8936</v>
      </c>
    </row>
    <row r="2374" spans="1:11" x14ac:dyDescent="0.25">
      <c r="A2374" t="s">
        <v>7880</v>
      </c>
      <c r="B2374" t="s">
        <v>7881</v>
      </c>
      <c r="C2374" t="s">
        <v>7882</v>
      </c>
      <c r="D2374" t="s">
        <v>7883</v>
      </c>
      <c r="E2374" t="s">
        <v>14</v>
      </c>
      <c r="F2374" t="s">
        <v>15</v>
      </c>
      <c r="G2374">
        <v>28202</v>
      </c>
      <c r="H2374" t="s">
        <v>16</v>
      </c>
      <c r="I2374">
        <v>5</v>
      </c>
      <c r="J2374">
        <v>1</v>
      </c>
      <c r="K2374" t="s">
        <v>8928</v>
      </c>
    </row>
    <row r="2375" spans="1:11" x14ac:dyDescent="0.25">
      <c r="A2375" t="s">
        <v>7884</v>
      </c>
      <c r="B2375" t="s">
        <v>1746</v>
      </c>
      <c r="C2375" t="s">
        <v>7885</v>
      </c>
      <c r="D2375" t="s">
        <v>5812</v>
      </c>
      <c r="E2375" t="s">
        <v>14</v>
      </c>
      <c r="F2375" t="s">
        <v>15</v>
      </c>
      <c r="G2375">
        <v>28227</v>
      </c>
      <c r="H2375" t="s">
        <v>39</v>
      </c>
      <c r="I2375">
        <v>6</v>
      </c>
      <c r="J2375">
        <v>0</v>
      </c>
      <c r="K2375" t="s">
        <v>8935</v>
      </c>
    </row>
    <row r="2376" spans="1:11" x14ac:dyDescent="0.25">
      <c r="A2376" t="s">
        <v>7886</v>
      </c>
      <c r="B2376" t="s">
        <v>7887</v>
      </c>
      <c r="C2376" t="s">
        <v>7888</v>
      </c>
      <c r="D2376" t="s">
        <v>7889</v>
      </c>
      <c r="E2376" t="s">
        <v>14</v>
      </c>
      <c r="F2376" t="s">
        <v>15</v>
      </c>
      <c r="G2376">
        <v>28266</v>
      </c>
      <c r="H2376" t="s">
        <v>26</v>
      </c>
      <c r="I2376">
        <v>20</v>
      </c>
      <c r="J2376">
        <v>0</v>
      </c>
      <c r="K2376" t="s">
        <v>8937</v>
      </c>
    </row>
    <row r="2377" spans="1:11" x14ac:dyDescent="0.25">
      <c r="A2377" t="s">
        <v>7890</v>
      </c>
      <c r="B2377" t="s">
        <v>7891</v>
      </c>
      <c r="C2377" t="s">
        <v>7892</v>
      </c>
      <c r="D2377" t="s">
        <v>113</v>
      </c>
      <c r="E2377" t="s">
        <v>14</v>
      </c>
      <c r="F2377" t="s">
        <v>15</v>
      </c>
      <c r="G2377">
        <v>28202</v>
      </c>
      <c r="H2377" t="s">
        <v>21</v>
      </c>
      <c r="I2377">
        <v>8</v>
      </c>
      <c r="J2377">
        <v>0</v>
      </c>
      <c r="K2377" t="s">
        <v>8924</v>
      </c>
    </row>
    <row r="2378" spans="1:11" x14ac:dyDescent="0.25">
      <c r="A2378" t="s">
        <v>7893</v>
      </c>
      <c r="B2378" t="s">
        <v>7894</v>
      </c>
      <c r="C2378" t="s">
        <v>5035</v>
      </c>
      <c r="D2378" t="s">
        <v>3491</v>
      </c>
      <c r="E2378" t="s">
        <v>14</v>
      </c>
      <c r="F2378" t="s">
        <v>15</v>
      </c>
      <c r="G2378">
        <v>28202</v>
      </c>
      <c r="H2378" t="s">
        <v>26</v>
      </c>
      <c r="I2378">
        <v>28</v>
      </c>
      <c r="J2378">
        <v>0</v>
      </c>
      <c r="K2378" t="s">
        <v>8935</v>
      </c>
    </row>
    <row r="2379" spans="1:11" x14ac:dyDescent="0.25">
      <c r="A2379" t="s">
        <v>7895</v>
      </c>
      <c r="B2379" t="s">
        <v>7896</v>
      </c>
      <c r="C2379" t="s">
        <v>7897</v>
      </c>
      <c r="D2379" t="s">
        <v>7898</v>
      </c>
      <c r="E2379" t="s">
        <v>14</v>
      </c>
      <c r="F2379" t="s">
        <v>15</v>
      </c>
      <c r="G2379">
        <v>28211</v>
      </c>
      <c r="H2379" t="s">
        <v>21</v>
      </c>
      <c r="I2379">
        <v>74</v>
      </c>
      <c r="J2379">
        <v>1</v>
      </c>
      <c r="K2379" t="s">
        <v>8931</v>
      </c>
    </row>
    <row r="2380" spans="1:11" x14ac:dyDescent="0.25">
      <c r="A2380" t="s">
        <v>7899</v>
      </c>
      <c r="B2380" t="s">
        <v>7900</v>
      </c>
      <c r="C2380" t="s">
        <v>337</v>
      </c>
      <c r="D2380" t="s">
        <v>7901</v>
      </c>
      <c r="E2380" t="s">
        <v>14</v>
      </c>
      <c r="F2380" t="s">
        <v>15</v>
      </c>
      <c r="G2380">
        <v>28273</v>
      </c>
      <c r="H2380" t="s">
        <v>21</v>
      </c>
      <c r="I2380">
        <v>39</v>
      </c>
      <c r="J2380">
        <v>1</v>
      </c>
      <c r="K2380" t="s">
        <v>8935</v>
      </c>
    </row>
    <row r="2381" spans="1:11" x14ac:dyDescent="0.25">
      <c r="A2381" t="s">
        <v>7902</v>
      </c>
      <c r="B2381" t="s">
        <v>7903</v>
      </c>
      <c r="C2381" t="s">
        <v>7904</v>
      </c>
      <c r="D2381" t="s">
        <v>7905</v>
      </c>
      <c r="E2381" t="s">
        <v>14</v>
      </c>
      <c r="F2381" t="s">
        <v>15</v>
      </c>
      <c r="G2381">
        <v>28203</v>
      </c>
      <c r="H2381" t="s">
        <v>16</v>
      </c>
      <c r="I2381">
        <v>92</v>
      </c>
      <c r="J2381">
        <v>1</v>
      </c>
      <c r="K2381" t="s">
        <v>8935</v>
      </c>
    </row>
    <row r="2382" spans="1:11" x14ac:dyDescent="0.25">
      <c r="A2382" t="s">
        <v>7906</v>
      </c>
      <c r="B2382" t="s">
        <v>391</v>
      </c>
      <c r="C2382" t="s">
        <v>4189</v>
      </c>
      <c r="D2382" t="s">
        <v>7907</v>
      </c>
      <c r="E2382" t="s">
        <v>14</v>
      </c>
      <c r="F2382" t="s">
        <v>15</v>
      </c>
      <c r="G2382">
        <v>28270</v>
      </c>
      <c r="H2382" t="s">
        <v>21</v>
      </c>
      <c r="I2382">
        <v>18</v>
      </c>
      <c r="J2382">
        <v>1</v>
      </c>
      <c r="K2382" t="s">
        <v>8935</v>
      </c>
    </row>
    <row r="2383" spans="1:11" x14ac:dyDescent="0.25">
      <c r="A2383" t="s">
        <v>7908</v>
      </c>
      <c r="B2383" t="s">
        <v>7909</v>
      </c>
      <c r="C2383" t="s">
        <v>1135</v>
      </c>
      <c r="D2383" t="s">
        <v>7910</v>
      </c>
      <c r="E2383" t="s">
        <v>14</v>
      </c>
      <c r="F2383" t="s">
        <v>15</v>
      </c>
      <c r="G2383">
        <v>28216</v>
      </c>
      <c r="H2383" t="s">
        <v>26</v>
      </c>
      <c r="I2383">
        <v>61</v>
      </c>
      <c r="J2383">
        <v>1</v>
      </c>
      <c r="K2383" t="s">
        <v>8935</v>
      </c>
    </row>
    <row r="2384" spans="1:11" x14ac:dyDescent="0.25">
      <c r="A2384" t="s">
        <v>7911</v>
      </c>
      <c r="B2384" t="s">
        <v>7912</v>
      </c>
      <c r="C2384" t="s">
        <v>7913</v>
      </c>
      <c r="D2384" t="s">
        <v>7914</v>
      </c>
      <c r="E2384" t="s">
        <v>14</v>
      </c>
      <c r="F2384" t="s">
        <v>15</v>
      </c>
      <c r="G2384">
        <v>28202</v>
      </c>
      <c r="H2384" t="s">
        <v>16</v>
      </c>
      <c r="I2384">
        <v>134</v>
      </c>
      <c r="J2384">
        <v>1</v>
      </c>
      <c r="K2384" t="s">
        <v>8935</v>
      </c>
    </row>
    <row r="2385" spans="1:11" x14ac:dyDescent="0.25">
      <c r="A2385" t="s">
        <v>7915</v>
      </c>
      <c r="B2385" t="s">
        <v>7916</v>
      </c>
      <c r="C2385" t="s">
        <v>1094</v>
      </c>
      <c r="D2385" t="s">
        <v>7917</v>
      </c>
      <c r="E2385" t="s">
        <v>14</v>
      </c>
      <c r="F2385" t="s">
        <v>15</v>
      </c>
      <c r="G2385">
        <v>28213</v>
      </c>
      <c r="H2385" t="s">
        <v>48</v>
      </c>
      <c r="I2385">
        <v>7</v>
      </c>
      <c r="J2385">
        <v>1</v>
      </c>
      <c r="K2385" t="s">
        <v>8925</v>
      </c>
    </row>
    <row r="2386" spans="1:11" x14ac:dyDescent="0.25">
      <c r="A2386" t="s">
        <v>7918</v>
      </c>
      <c r="B2386" t="s">
        <v>7919</v>
      </c>
      <c r="C2386" t="s">
        <v>7920</v>
      </c>
      <c r="D2386" t="s">
        <v>2110</v>
      </c>
      <c r="E2386" t="s">
        <v>14</v>
      </c>
      <c r="F2386" t="s">
        <v>15</v>
      </c>
      <c r="G2386">
        <v>28280</v>
      </c>
      <c r="H2386" t="s">
        <v>16</v>
      </c>
      <c r="I2386">
        <v>13</v>
      </c>
      <c r="J2386">
        <v>0</v>
      </c>
      <c r="K2386" t="s">
        <v>8935</v>
      </c>
    </row>
    <row r="2387" spans="1:11" x14ac:dyDescent="0.25">
      <c r="A2387" t="s">
        <v>7921</v>
      </c>
      <c r="B2387" t="s">
        <v>7922</v>
      </c>
      <c r="C2387" t="s">
        <v>7923</v>
      </c>
      <c r="D2387" t="s">
        <v>7924</v>
      </c>
      <c r="E2387" t="s">
        <v>14</v>
      </c>
      <c r="F2387" t="s">
        <v>15</v>
      </c>
      <c r="G2387">
        <v>28217</v>
      </c>
      <c r="H2387" t="s">
        <v>16</v>
      </c>
      <c r="I2387">
        <v>114</v>
      </c>
      <c r="J2387">
        <v>0</v>
      </c>
      <c r="K2387" t="s">
        <v>8937</v>
      </c>
    </row>
    <row r="2388" spans="1:11" x14ac:dyDescent="0.25">
      <c r="A2388" t="s">
        <v>7925</v>
      </c>
      <c r="B2388" t="s">
        <v>7926</v>
      </c>
      <c r="C2388" t="s">
        <v>3544</v>
      </c>
      <c r="D2388" t="s">
        <v>7927</v>
      </c>
      <c r="E2388" t="s">
        <v>14</v>
      </c>
      <c r="F2388" t="s">
        <v>15</v>
      </c>
      <c r="G2388">
        <v>28262</v>
      </c>
      <c r="H2388" t="s">
        <v>21</v>
      </c>
      <c r="I2388">
        <v>77</v>
      </c>
      <c r="J2388">
        <v>1</v>
      </c>
      <c r="K2388" t="s">
        <v>8936</v>
      </c>
    </row>
    <row r="2389" spans="1:11" x14ac:dyDescent="0.25">
      <c r="A2389" t="s">
        <v>7928</v>
      </c>
      <c r="B2389" t="s">
        <v>7929</v>
      </c>
      <c r="C2389" t="s">
        <v>4010</v>
      </c>
      <c r="D2389" t="s">
        <v>7930</v>
      </c>
      <c r="E2389" t="s">
        <v>14</v>
      </c>
      <c r="F2389" t="s">
        <v>15</v>
      </c>
      <c r="G2389">
        <v>28277</v>
      </c>
      <c r="H2389" t="s">
        <v>16</v>
      </c>
      <c r="I2389">
        <v>16</v>
      </c>
      <c r="J2389">
        <v>1</v>
      </c>
      <c r="K2389" t="s">
        <v>8925</v>
      </c>
    </row>
    <row r="2390" spans="1:11" x14ac:dyDescent="0.25">
      <c r="A2390" t="e">
        <f>-KqwcJ10CUzl-hEwgwGhUA</f>
        <v>#NAME?</v>
      </c>
      <c r="B2390" t="s">
        <v>7931</v>
      </c>
      <c r="C2390" t="s">
        <v>2082</v>
      </c>
      <c r="D2390" t="s">
        <v>7932</v>
      </c>
      <c r="E2390" t="s">
        <v>14</v>
      </c>
      <c r="F2390" t="s">
        <v>15</v>
      </c>
      <c r="G2390">
        <v>28211</v>
      </c>
      <c r="H2390" t="s">
        <v>101</v>
      </c>
      <c r="I2390">
        <v>25</v>
      </c>
      <c r="J2390">
        <v>1</v>
      </c>
      <c r="K2390" t="s">
        <v>8935</v>
      </c>
    </row>
    <row r="2391" spans="1:11" x14ac:dyDescent="0.25">
      <c r="A2391" t="s">
        <v>7933</v>
      </c>
      <c r="B2391" t="s">
        <v>7934</v>
      </c>
      <c r="C2391" t="s">
        <v>7935</v>
      </c>
      <c r="D2391" t="s">
        <v>302</v>
      </c>
      <c r="E2391" t="s">
        <v>14</v>
      </c>
      <c r="F2391" t="s">
        <v>15</v>
      </c>
      <c r="G2391">
        <v>28277</v>
      </c>
      <c r="H2391" t="s">
        <v>26</v>
      </c>
      <c r="I2391">
        <v>8</v>
      </c>
      <c r="J2391">
        <v>0</v>
      </c>
      <c r="K2391" t="s">
        <v>8935</v>
      </c>
    </row>
    <row r="2392" spans="1:11" x14ac:dyDescent="0.25">
      <c r="A2392" t="s">
        <v>7936</v>
      </c>
      <c r="B2392" t="s">
        <v>7937</v>
      </c>
      <c r="C2392" t="s">
        <v>7938</v>
      </c>
      <c r="D2392" t="s">
        <v>7939</v>
      </c>
      <c r="E2392" t="s">
        <v>14</v>
      </c>
      <c r="F2392" t="s">
        <v>15</v>
      </c>
      <c r="G2392">
        <v>28205</v>
      </c>
      <c r="H2392" t="s">
        <v>16</v>
      </c>
      <c r="I2392">
        <v>283</v>
      </c>
      <c r="J2392">
        <v>1</v>
      </c>
      <c r="K2392" t="s">
        <v>8921</v>
      </c>
    </row>
    <row r="2393" spans="1:11" x14ac:dyDescent="0.25">
      <c r="A2393" t="s">
        <v>7940</v>
      </c>
      <c r="B2393" t="s">
        <v>7941</v>
      </c>
      <c r="C2393" t="s">
        <v>6627</v>
      </c>
      <c r="D2393" t="s">
        <v>7942</v>
      </c>
      <c r="E2393" t="s">
        <v>14</v>
      </c>
      <c r="F2393" t="s">
        <v>15</v>
      </c>
      <c r="G2393">
        <v>28207</v>
      </c>
      <c r="H2393" t="s">
        <v>39</v>
      </c>
      <c r="I2393">
        <v>104</v>
      </c>
      <c r="J2393">
        <v>1</v>
      </c>
      <c r="K2393" t="s">
        <v>8935</v>
      </c>
    </row>
    <row r="2394" spans="1:11" x14ac:dyDescent="0.25">
      <c r="A2394" t="s">
        <v>7943</v>
      </c>
      <c r="B2394" t="s">
        <v>332</v>
      </c>
      <c r="C2394" t="s">
        <v>3738</v>
      </c>
      <c r="D2394" t="s">
        <v>7944</v>
      </c>
      <c r="E2394" t="s">
        <v>14</v>
      </c>
      <c r="F2394" t="s">
        <v>15</v>
      </c>
      <c r="G2394">
        <v>28213</v>
      </c>
      <c r="H2394" t="s">
        <v>16</v>
      </c>
      <c r="I2394">
        <v>28</v>
      </c>
      <c r="J2394">
        <v>0</v>
      </c>
      <c r="K2394" t="s">
        <v>8935</v>
      </c>
    </row>
    <row r="2395" spans="1:11" x14ac:dyDescent="0.25">
      <c r="A2395" t="s">
        <v>7945</v>
      </c>
      <c r="B2395" t="s">
        <v>7946</v>
      </c>
      <c r="C2395" t="s">
        <v>7947</v>
      </c>
      <c r="D2395" t="s">
        <v>7948</v>
      </c>
      <c r="E2395" t="s">
        <v>14</v>
      </c>
      <c r="F2395" t="s">
        <v>15</v>
      </c>
      <c r="G2395">
        <v>28202</v>
      </c>
      <c r="H2395" t="s">
        <v>16</v>
      </c>
      <c r="I2395">
        <v>451</v>
      </c>
      <c r="J2395">
        <v>1</v>
      </c>
      <c r="K2395" t="s">
        <v>8921</v>
      </c>
    </row>
    <row r="2396" spans="1:11" x14ac:dyDescent="0.25">
      <c r="A2396" t="s">
        <v>7949</v>
      </c>
      <c r="B2396" t="s">
        <v>7950</v>
      </c>
      <c r="C2396" t="s">
        <v>7951</v>
      </c>
      <c r="D2396" t="s">
        <v>7952</v>
      </c>
      <c r="E2396" t="s">
        <v>14</v>
      </c>
      <c r="F2396" t="s">
        <v>15</v>
      </c>
      <c r="G2396">
        <v>28227</v>
      </c>
      <c r="H2396" t="s">
        <v>16</v>
      </c>
      <c r="I2396">
        <v>23</v>
      </c>
      <c r="J2396">
        <v>1</v>
      </c>
      <c r="K2396" t="s">
        <v>8936</v>
      </c>
    </row>
    <row r="2397" spans="1:11" x14ac:dyDescent="0.25">
      <c r="A2397" t="s">
        <v>7953</v>
      </c>
      <c r="B2397" t="s">
        <v>7954</v>
      </c>
      <c r="C2397" t="s">
        <v>7955</v>
      </c>
      <c r="D2397" t="s">
        <v>7956</v>
      </c>
      <c r="E2397" t="s">
        <v>14</v>
      </c>
      <c r="F2397" t="s">
        <v>15</v>
      </c>
      <c r="G2397">
        <v>28202</v>
      </c>
      <c r="H2397" t="s">
        <v>39</v>
      </c>
      <c r="I2397">
        <v>25</v>
      </c>
      <c r="J2397">
        <v>0</v>
      </c>
      <c r="K2397" t="s">
        <v>8935</v>
      </c>
    </row>
    <row r="2398" spans="1:11" x14ac:dyDescent="0.25">
      <c r="A2398" t="s">
        <v>7957</v>
      </c>
      <c r="B2398" t="s">
        <v>316</v>
      </c>
      <c r="C2398" t="s">
        <v>177</v>
      </c>
      <c r="D2398" t="s">
        <v>7958</v>
      </c>
      <c r="E2398" t="s">
        <v>14</v>
      </c>
      <c r="F2398" t="s">
        <v>15</v>
      </c>
      <c r="G2398">
        <v>28213</v>
      </c>
      <c r="H2398" t="s">
        <v>21</v>
      </c>
      <c r="I2398">
        <v>3</v>
      </c>
      <c r="J2398">
        <v>0</v>
      </c>
      <c r="K2398" t="s">
        <v>8935</v>
      </c>
    </row>
    <row r="2399" spans="1:11" x14ac:dyDescent="0.25">
      <c r="A2399" t="s">
        <v>7959</v>
      </c>
      <c r="B2399" t="s">
        <v>7960</v>
      </c>
      <c r="C2399" t="s">
        <v>7961</v>
      </c>
      <c r="D2399" t="s">
        <v>7962</v>
      </c>
      <c r="E2399" t="s">
        <v>14</v>
      </c>
      <c r="F2399" t="s">
        <v>15</v>
      </c>
      <c r="G2399">
        <v>28203</v>
      </c>
      <c r="H2399" t="s">
        <v>39</v>
      </c>
      <c r="I2399">
        <v>8</v>
      </c>
      <c r="J2399">
        <v>0</v>
      </c>
      <c r="K2399" t="s">
        <v>8935</v>
      </c>
    </row>
    <row r="2400" spans="1:11" x14ac:dyDescent="0.25">
      <c r="A2400" t="s">
        <v>7963</v>
      </c>
      <c r="B2400" t="s">
        <v>7964</v>
      </c>
      <c r="C2400" t="s">
        <v>3798</v>
      </c>
      <c r="D2400" t="s">
        <v>7965</v>
      </c>
      <c r="E2400" t="s">
        <v>14</v>
      </c>
      <c r="F2400" t="s">
        <v>15</v>
      </c>
      <c r="G2400">
        <v>28273</v>
      </c>
      <c r="H2400" t="s">
        <v>16</v>
      </c>
      <c r="I2400">
        <v>38</v>
      </c>
      <c r="J2400">
        <v>1</v>
      </c>
      <c r="K2400" t="s">
        <v>8935</v>
      </c>
    </row>
    <row r="2401" spans="1:11" x14ac:dyDescent="0.25">
      <c r="A2401" t="s">
        <v>7966</v>
      </c>
      <c r="B2401" t="s">
        <v>7967</v>
      </c>
      <c r="C2401" t="s">
        <v>7968</v>
      </c>
      <c r="D2401" t="s">
        <v>7969</v>
      </c>
      <c r="E2401" t="s">
        <v>14</v>
      </c>
      <c r="F2401" t="s">
        <v>15</v>
      </c>
      <c r="G2401">
        <v>28277</v>
      </c>
      <c r="H2401" t="s">
        <v>21</v>
      </c>
      <c r="I2401">
        <v>223</v>
      </c>
      <c r="J2401">
        <v>1</v>
      </c>
      <c r="K2401" t="s">
        <v>8935</v>
      </c>
    </row>
    <row r="2402" spans="1:11" x14ac:dyDescent="0.25">
      <c r="A2402" t="s">
        <v>7970</v>
      </c>
      <c r="B2402" t="s">
        <v>7971</v>
      </c>
      <c r="C2402" t="s">
        <v>7972</v>
      </c>
      <c r="D2402" t="s">
        <v>7601</v>
      </c>
      <c r="E2402" t="s">
        <v>14</v>
      </c>
      <c r="F2402" t="s">
        <v>15</v>
      </c>
      <c r="G2402">
        <v>28215</v>
      </c>
      <c r="H2402" t="s">
        <v>26</v>
      </c>
      <c r="I2402">
        <v>18</v>
      </c>
      <c r="J2402">
        <v>0</v>
      </c>
      <c r="K2402" t="s">
        <v>8932</v>
      </c>
    </row>
    <row r="2403" spans="1:11" x14ac:dyDescent="0.25">
      <c r="A2403" t="s">
        <v>7973</v>
      </c>
      <c r="B2403" t="s">
        <v>7974</v>
      </c>
      <c r="C2403" t="s">
        <v>7975</v>
      </c>
      <c r="D2403" t="s">
        <v>7976</v>
      </c>
      <c r="E2403" t="s">
        <v>14</v>
      </c>
      <c r="F2403" t="s">
        <v>15</v>
      </c>
      <c r="G2403">
        <v>28205</v>
      </c>
      <c r="H2403" t="s">
        <v>16</v>
      </c>
      <c r="I2403">
        <v>934</v>
      </c>
      <c r="J2403">
        <v>1</v>
      </c>
      <c r="K2403" t="s">
        <v>8935</v>
      </c>
    </row>
    <row r="2404" spans="1:11" x14ac:dyDescent="0.25">
      <c r="A2404" t="s">
        <v>7977</v>
      </c>
      <c r="B2404" t="s">
        <v>442</v>
      </c>
      <c r="C2404" t="s">
        <v>7978</v>
      </c>
      <c r="D2404" t="s">
        <v>7979</v>
      </c>
      <c r="E2404" t="s">
        <v>14</v>
      </c>
      <c r="F2404" t="s">
        <v>15</v>
      </c>
      <c r="G2404">
        <v>28203</v>
      </c>
      <c r="H2404" t="s">
        <v>21</v>
      </c>
      <c r="I2404">
        <v>276</v>
      </c>
      <c r="J2404">
        <v>1</v>
      </c>
      <c r="K2404" t="s">
        <v>8935</v>
      </c>
    </row>
    <row r="2405" spans="1:11" x14ac:dyDescent="0.25">
      <c r="A2405" t="s">
        <v>7980</v>
      </c>
      <c r="B2405" t="s">
        <v>7981</v>
      </c>
      <c r="C2405" t="s">
        <v>1135</v>
      </c>
      <c r="D2405" t="s">
        <v>5278</v>
      </c>
      <c r="E2405" t="s">
        <v>14</v>
      </c>
      <c r="F2405" t="s">
        <v>15</v>
      </c>
      <c r="G2405">
        <v>28244</v>
      </c>
      <c r="H2405" t="s">
        <v>26</v>
      </c>
      <c r="I2405">
        <v>45</v>
      </c>
      <c r="J2405">
        <v>1</v>
      </c>
      <c r="K2405" t="s">
        <v>8935</v>
      </c>
    </row>
    <row r="2406" spans="1:11" x14ac:dyDescent="0.25">
      <c r="A2406" t="s">
        <v>7982</v>
      </c>
      <c r="B2406" t="s">
        <v>7983</v>
      </c>
      <c r="C2406" t="s">
        <v>321</v>
      </c>
      <c r="D2406" t="s">
        <v>7984</v>
      </c>
      <c r="E2406" t="s">
        <v>14</v>
      </c>
      <c r="F2406" t="s">
        <v>15</v>
      </c>
      <c r="G2406">
        <v>28269</v>
      </c>
      <c r="H2406" t="s">
        <v>26</v>
      </c>
      <c r="I2406">
        <v>16</v>
      </c>
      <c r="J2406">
        <v>1</v>
      </c>
      <c r="K2406" t="s">
        <v>8935</v>
      </c>
    </row>
    <row r="2407" spans="1:11" x14ac:dyDescent="0.25">
      <c r="A2407" t="s">
        <v>7985</v>
      </c>
      <c r="B2407" t="s">
        <v>7986</v>
      </c>
      <c r="C2407" t="s">
        <v>622</v>
      </c>
      <c r="D2407" t="s">
        <v>7987</v>
      </c>
      <c r="E2407" t="s">
        <v>14</v>
      </c>
      <c r="F2407" t="s">
        <v>15</v>
      </c>
      <c r="G2407">
        <v>28212</v>
      </c>
      <c r="H2407" t="s">
        <v>26</v>
      </c>
      <c r="I2407">
        <v>3</v>
      </c>
      <c r="J2407">
        <v>0</v>
      </c>
      <c r="K2407" t="s">
        <v>8935</v>
      </c>
    </row>
    <row r="2408" spans="1:11" x14ac:dyDescent="0.25">
      <c r="A2408" t="s">
        <v>7988</v>
      </c>
      <c r="B2408" t="s">
        <v>279</v>
      </c>
      <c r="C2408" t="s">
        <v>7989</v>
      </c>
      <c r="D2408" t="s">
        <v>7990</v>
      </c>
      <c r="E2408" t="s">
        <v>14</v>
      </c>
      <c r="F2408" t="s">
        <v>15</v>
      </c>
      <c r="G2408">
        <v>28262</v>
      </c>
      <c r="H2408" t="s">
        <v>21</v>
      </c>
      <c r="I2408">
        <v>111</v>
      </c>
      <c r="J2408">
        <v>1</v>
      </c>
      <c r="K2408" t="s">
        <v>8926</v>
      </c>
    </row>
    <row r="2409" spans="1:11" x14ac:dyDescent="0.25">
      <c r="A2409" t="s">
        <v>7991</v>
      </c>
      <c r="B2409" t="s">
        <v>7992</v>
      </c>
      <c r="C2409" t="s">
        <v>7993</v>
      </c>
      <c r="D2409" t="s">
        <v>7994</v>
      </c>
      <c r="E2409" t="s">
        <v>14</v>
      </c>
      <c r="F2409" t="s">
        <v>15</v>
      </c>
      <c r="G2409">
        <v>28202</v>
      </c>
      <c r="H2409" t="s">
        <v>21</v>
      </c>
      <c r="I2409">
        <v>68</v>
      </c>
      <c r="J2409">
        <v>1</v>
      </c>
      <c r="K2409" t="s">
        <v>8935</v>
      </c>
    </row>
    <row r="2410" spans="1:11" x14ac:dyDescent="0.25">
      <c r="A2410" t="s">
        <v>7995</v>
      </c>
      <c r="B2410" t="s">
        <v>82</v>
      </c>
      <c r="C2410" t="s">
        <v>1882</v>
      </c>
      <c r="D2410" t="s">
        <v>7996</v>
      </c>
      <c r="E2410" t="s">
        <v>14</v>
      </c>
      <c r="F2410" t="s">
        <v>15</v>
      </c>
      <c r="G2410">
        <v>28209</v>
      </c>
      <c r="H2410" t="s">
        <v>16</v>
      </c>
      <c r="I2410">
        <v>78</v>
      </c>
      <c r="J2410">
        <v>1</v>
      </c>
      <c r="K2410" t="s">
        <v>8935</v>
      </c>
    </row>
    <row r="2411" spans="1:11" x14ac:dyDescent="0.25">
      <c r="A2411" t="s">
        <v>7997</v>
      </c>
      <c r="B2411" t="s">
        <v>7998</v>
      </c>
      <c r="C2411" t="s">
        <v>7999</v>
      </c>
      <c r="D2411" t="s">
        <v>2930</v>
      </c>
      <c r="E2411" t="s">
        <v>14</v>
      </c>
      <c r="F2411" t="s">
        <v>15</v>
      </c>
      <c r="G2411">
        <v>28227</v>
      </c>
      <c r="H2411" t="s">
        <v>21</v>
      </c>
      <c r="I2411">
        <v>44</v>
      </c>
      <c r="J2411">
        <v>1</v>
      </c>
      <c r="K2411" t="s">
        <v>8928</v>
      </c>
    </row>
    <row r="2412" spans="1:11" x14ac:dyDescent="0.25">
      <c r="A2412" t="s">
        <v>8000</v>
      </c>
      <c r="B2412" t="s">
        <v>8001</v>
      </c>
      <c r="C2412" t="s">
        <v>8002</v>
      </c>
      <c r="D2412" t="s">
        <v>6436</v>
      </c>
      <c r="E2412" t="s">
        <v>14</v>
      </c>
      <c r="F2412" t="s">
        <v>15</v>
      </c>
      <c r="G2412">
        <v>28269</v>
      </c>
      <c r="H2412" t="s">
        <v>26</v>
      </c>
      <c r="I2412">
        <v>5</v>
      </c>
      <c r="J2412">
        <v>1</v>
      </c>
      <c r="K2412" t="s">
        <v>8920</v>
      </c>
    </row>
    <row r="2413" spans="1:11" x14ac:dyDescent="0.25">
      <c r="A2413" t="s">
        <v>8003</v>
      </c>
      <c r="B2413" t="s">
        <v>1347</v>
      </c>
      <c r="C2413" t="s">
        <v>8004</v>
      </c>
      <c r="D2413" t="s">
        <v>8005</v>
      </c>
      <c r="E2413" t="s">
        <v>14</v>
      </c>
      <c r="F2413" t="s">
        <v>15</v>
      </c>
      <c r="G2413">
        <v>28202</v>
      </c>
      <c r="H2413" t="s">
        <v>48</v>
      </c>
      <c r="I2413">
        <v>15</v>
      </c>
      <c r="J2413">
        <v>0</v>
      </c>
      <c r="K2413" t="s">
        <v>8930</v>
      </c>
    </row>
    <row r="2414" spans="1:11" x14ac:dyDescent="0.25">
      <c r="A2414" t="s">
        <v>8006</v>
      </c>
      <c r="B2414" t="s">
        <v>139</v>
      </c>
      <c r="C2414" t="s">
        <v>8007</v>
      </c>
      <c r="D2414" t="s">
        <v>8008</v>
      </c>
      <c r="E2414" t="s">
        <v>14</v>
      </c>
      <c r="F2414" t="s">
        <v>15</v>
      </c>
      <c r="G2414">
        <v>28211</v>
      </c>
      <c r="H2414" t="s">
        <v>26</v>
      </c>
      <c r="I2414">
        <v>15</v>
      </c>
      <c r="J2414">
        <v>1</v>
      </c>
      <c r="K2414" t="s">
        <v>8926</v>
      </c>
    </row>
    <row r="2415" spans="1:11" x14ac:dyDescent="0.25">
      <c r="A2415" t="s">
        <v>8009</v>
      </c>
      <c r="B2415" t="s">
        <v>8010</v>
      </c>
      <c r="C2415" t="s">
        <v>8011</v>
      </c>
      <c r="D2415" t="s">
        <v>8012</v>
      </c>
      <c r="E2415" t="s">
        <v>14</v>
      </c>
      <c r="F2415" t="s">
        <v>15</v>
      </c>
      <c r="G2415">
        <v>28277</v>
      </c>
      <c r="H2415" t="s">
        <v>21</v>
      </c>
      <c r="I2415">
        <v>3</v>
      </c>
      <c r="J2415">
        <v>1</v>
      </c>
      <c r="K2415" t="s">
        <v>8936</v>
      </c>
    </row>
    <row r="2416" spans="1:11" x14ac:dyDescent="0.25">
      <c r="A2416" t="s">
        <v>8013</v>
      </c>
      <c r="B2416" t="s">
        <v>4061</v>
      </c>
      <c r="C2416" t="s">
        <v>8014</v>
      </c>
      <c r="D2416" t="s">
        <v>1063</v>
      </c>
      <c r="E2416" t="s">
        <v>14</v>
      </c>
      <c r="F2416" t="s">
        <v>15</v>
      </c>
      <c r="G2416">
        <v>28203</v>
      </c>
      <c r="H2416" t="s">
        <v>48</v>
      </c>
      <c r="I2416">
        <v>15</v>
      </c>
      <c r="J2416">
        <v>0</v>
      </c>
      <c r="K2416" t="s">
        <v>8935</v>
      </c>
    </row>
    <row r="2417" spans="1:11" x14ac:dyDescent="0.25">
      <c r="A2417" t="s">
        <v>8015</v>
      </c>
      <c r="B2417" t="s">
        <v>8016</v>
      </c>
      <c r="C2417" t="s">
        <v>8017</v>
      </c>
      <c r="D2417" t="s">
        <v>8018</v>
      </c>
      <c r="E2417" t="s">
        <v>14</v>
      </c>
      <c r="F2417" t="s">
        <v>15</v>
      </c>
      <c r="G2417">
        <v>28202</v>
      </c>
      <c r="H2417" t="s">
        <v>39</v>
      </c>
      <c r="I2417">
        <v>76</v>
      </c>
      <c r="J2417">
        <v>1</v>
      </c>
      <c r="K2417" t="s">
        <v>8935</v>
      </c>
    </row>
    <row r="2418" spans="1:11" x14ac:dyDescent="0.25">
      <c r="A2418" t="s">
        <v>8019</v>
      </c>
      <c r="B2418" t="s">
        <v>8020</v>
      </c>
      <c r="C2418" t="s">
        <v>8021</v>
      </c>
      <c r="D2418" t="s">
        <v>8022</v>
      </c>
      <c r="E2418" t="s">
        <v>14</v>
      </c>
      <c r="F2418" t="s">
        <v>15</v>
      </c>
      <c r="G2418">
        <v>28205</v>
      </c>
      <c r="H2418" t="s">
        <v>39</v>
      </c>
      <c r="I2418">
        <v>54</v>
      </c>
      <c r="J2418">
        <v>1</v>
      </c>
      <c r="K2418" t="s">
        <v>8931</v>
      </c>
    </row>
    <row r="2419" spans="1:11" x14ac:dyDescent="0.25">
      <c r="A2419" t="s">
        <v>8023</v>
      </c>
      <c r="B2419" t="s">
        <v>359</v>
      </c>
      <c r="C2419" t="s">
        <v>8024</v>
      </c>
      <c r="D2419" t="s">
        <v>8025</v>
      </c>
      <c r="E2419" t="s">
        <v>14</v>
      </c>
      <c r="F2419" t="s">
        <v>15</v>
      </c>
      <c r="G2419">
        <v>28208</v>
      </c>
      <c r="H2419" t="s">
        <v>26</v>
      </c>
      <c r="I2419">
        <v>26</v>
      </c>
      <c r="J2419">
        <v>0</v>
      </c>
      <c r="K2419" t="s">
        <v>8935</v>
      </c>
    </row>
    <row r="2420" spans="1:11" x14ac:dyDescent="0.25">
      <c r="A2420" t="s">
        <v>8026</v>
      </c>
      <c r="B2420" t="s">
        <v>8027</v>
      </c>
      <c r="C2420" t="s">
        <v>8028</v>
      </c>
      <c r="D2420" t="s">
        <v>8029</v>
      </c>
      <c r="E2420" t="s">
        <v>14</v>
      </c>
      <c r="F2420" t="s">
        <v>15</v>
      </c>
      <c r="G2420">
        <v>28226</v>
      </c>
      <c r="H2420" t="s">
        <v>16</v>
      </c>
      <c r="I2420">
        <v>34</v>
      </c>
      <c r="J2420">
        <v>0</v>
      </c>
      <c r="K2420" t="s">
        <v>8920</v>
      </c>
    </row>
    <row r="2421" spans="1:11" x14ac:dyDescent="0.25">
      <c r="A2421" t="s">
        <v>8030</v>
      </c>
      <c r="B2421" t="s">
        <v>8031</v>
      </c>
      <c r="C2421" t="s">
        <v>8032</v>
      </c>
      <c r="D2421" t="s">
        <v>954</v>
      </c>
      <c r="E2421" t="s">
        <v>14</v>
      </c>
      <c r="F2421" t="s">
        <v>15</v>
      </c>
      <c r="G2421">
        <v>28202</v>
      </c>
      <c r="H2421" t="s">
        <v>21</v>
      </c>
      <c r="I2421">
        <v>49</v>
      </c>
      <c r="J2421">
        <v>1</v>
      </c>
      <c r="K2421" t="s">
        <v>8935</v>
      </c>
    </row>
    <row r="2422" spans="1:11" x14ac:dyDescent="0.25">
      <c r="A2422" t="s">
        <v>8033</v>
      </c>
      <c r="B2422" t="s">
        <v>8034</v>
      </c>
      <c r="C2422" t="s">
        <v>1135</v>
      </c>
      <c r="D2422" t="s">
        <v>1213</v>
      </c>
      <c r="E2422" t="s">
        <v>14</v>
      </c>
      <c r="F2422" t="s">
        <v>15</v>
      </c>
      <c r="G2422">
        <v>28226</v>
      </c>
      <c r="H2422" t="s">
        <v>48</v>
      </c>
      <c r="I2422">
        <v>63</v>
      </c>
      <c r="J2422">
        <v>1</v>
      </c>
      <c r="K2422" t="s">
        <v>8935</v>
      </c>
    </row>
    <row r="2423" spans="1:11" x14ac:dyDescent="0.25">
      <c r="A2423" t="s">
        <v>8035</v>
      </c>
      <c r="B2423" t="s">
        <v>691</v>
      </c>
      <c r="C2423" t="s">
        <v>8036</v>
      </c>
      <c r="D2423" t="s">
        <v>8037</v>
      </c>
      <c r="E2423" t="s">
        <v>14</v>
      </c>
      <c r="F2423" t="s">
        <v>15</v>
      </c>
      <c r="G2423">
        <v>28208</v>
      </c>
      <c r="H2423" t="s">
        <v>195</v>
      </c>
      <c r="I2423">
        <v>5</v>
      </c>
      <c r="J2423">
        <v>1</v>
      </c>
      <c r="K2423" t="s">
        <v>8935</v>
      </c>
    </row>
    <row r="2424" spans="1:11" x14ac:dyDescent="0.25">
      <c r="A2424" t="s">
        <v>8038</v>
      </c>
      <c r="B2424" t="s">
        <v>8039</v>
      </c>
      <c r="C2424" t="s">
        <v>8040</v>
      </c>
      <c r="D2424" t="s">
        <v>8041</v>
      </c>
      <c r="E2424" t="s">
        <v>14</v>
      </c>
      <c r="F2424" t="s">
        <v>15</v>
      </c>
      <c r="G2424">
        <v>28205</v>
      </c>
      <c r="H2424" t="s">
        <v>146</v>
      </c>
      <c r="I2424">
        <v>37</v>
      </c>
      <c r="J2424">
        <v>0</v>
      </c>
      <c r="K2424" t="s">
        <v>8935</v>
      </c>
    </row>
    <row r="2425" spans="1:11" x14ac:dyDescent="0.25">
      <c r="A2425" t="s">
        <v>8042</v>
      </c>
      <c r="B2425" t="s">
        <v>8043</v>
      </c>
      <c r="C2425" t="s">
        <v>8044</v>
      </c>
      <c r="D2425" t="s">
        <v>476</v>
      </c>
      <c r="E2425" t="s">
        <v>14</v>
      </c>
      <c r="F2425" t="s">
        <v>15</v>
      </c>
      <c r="G2425">
        <v>28211</v>
      </c>
      <c r="H2425" t="s">
        <v>39</v>
      </c>
      <c r="I2425">
        <v>9</v>
      </c>
      <c r="J2425">
        <v>1</v>
      </c>
      <c r="K2425" t="s">
        <v>8935</v>
      </c>
    </row>
    <row r="2426" spans="1:11" x14ac:dyDescent="0.25">
      <c r="A2426" t="s">
        <v>8045</v>
      </c>
      <c r="B2426" t="s">
        <v>1064</v>
      </c>
      <c r="C2426" t="s">
        <v>411</v>
      </c>
      <c r="D2426" t="s">
        <v>8046</v>
      </c>
      <c r="E2426" t="s">
        <v>14</v>
      </c>
      <c r="F2426" t="s">
        <v>15</v>
      </c>
      <c r="G2426">
        <v>28216</v>
      </c>
      <c r="H2426" t="s">
        <v>16</v>
      </c>
      <c r="I2426">
        <v>44</v>
      </c>
      <c r="J2426">
        <v>1</v>
      </c>
      <c r="K2426" t="s">
        <v>8935</v>
      </c>
    </row>
    <row r="2427" spans="1:11" x14ac:dyDescent="0.25">
      <c r="A2427" t="e">
        <f>-zIfBZBAgjy_C7cIF8iTlA</f>
        <v>#NAME?</v>
      </c>
      <c r="B2427" t="s">
        <v>8047</v>
      </c>
      <c r="C2427" t="s">
        <v>735</v>
      </c>
      <c r="D2427" t="s">
        <v>8048</v>
      </c>
      <c r="E2427" t="s">
        <v>14</v>
      </c>
      <c r="F2427" t="s">
        <v>15</v>
      </c>
      <c r="G2427">
        <v>28209</v>
      </c>
      <c r="H2427" t="s">
        <v>16</v>
      </c>
      <c r="I2427">
        <v>36</v>
      </c>
      <c r="J2427">
        <v>1</v>
      </c>
      <c r="K2427" t="s">
        <v>8935</v>
      </c>
    </row>
    <row r="2428" spans="1:11" x14ac:dyDescent="0.25">
      <c r="A2428" t="s">
        <v>8049</v>
      </c>
      <c r="B2428" t="s">
        <v>8050</v>
      </c>
      <c r="C2428" t="s">
        <v>8051</v>
      </c>
      <c r="D2428" t="s">
        <v>8052</v>
      </c>
      <c r="E2428" t="s">
        <v>14</v>
      </c>
      <c r="F2428" t="s">
        <v>15</v>
      </c>
      <c r="G2428">
        <v>28277</v>
      </c>
      <c r="H2428" t="s">
        <v>16</v>
      </c>
      <c r="I2428">
        <v>54</v>
      </c>
      <c r="J2428">
        <v>1</v>
      </c>
      <c r="K2428" t="s">
        <v>8935</v>
      </c>
    </row>
    <row r="2429" spans="1:11" x14ac:dyDescent="0.25">
      <c r="A2429" t="s">
        <v>8053</v>
      </c>
      <c r="B2429" t="s">
        <v>1004</v>
      </c>
      <c r="C2429" t="s">
        <v>8054</v>
      </c>
      <c r="D2429" t="s">
        <v>8055</v>
      </c>
      <c r="E2429" t="s">
        <v>14</v>
      </c>
      <c r="F2429" t="s">
        <v>15</v>
      </c>
      <c r="G2429">
        <v>28277</v>
      </c>
      <c r="H2429" t="s">
        <v>21</v>
      </c>
      <c r="I2429">
        <v>54</v>
      </c>
      <c r="J2429">
        <v>0</v>
      </c>
      <c r="K2429" t="s">
        <v>8935</v>
      </c>
    </row>
    <row r="2430" spans="1:11" x14ac:dyDescent="0.25">
      <c r="A2430" t="s">
        <v>8056</v>
      </c>
      <c r="B2430" t="s">
        <v>8057</v>
      </c>
      <c r="C2430" t="s">
        <v>337</v>
      </c>
      <c r="D2430" t="s">
        <v>8058</v>
      </c>
      <c r="E2430" t="s">
        <v>14</v>
      </c>
      <c r="F2430" t="s">
        <v>15</v>
      </c>
      <c r="G2430">
        <v>28226</v>
      </c>
      <c r="H2430" t="s">
        <v>16</v>
      </c>
      <c r="I2430">
        <v>14</v>
      </c>
      <c r="J2430">
        <v>1</v>
      </c>
      <c r="K2430" t="s">
        <v>8935</v>
      </c>
    </row>
    <row r="2431" spans="1:11" x14ac:dyDescent="0.25">
      <c r="A2431" t="s">
        <v>8059</v>
      </c>
      <c r="B2431" t="s">
        <v>8060</v>
      </c>
      <c r="C2431" t="s">
        <v>3342</v>
      </c>
      <c r="D2431" t="s">
        <v>8061</v>
      </c>
      <c r="E2431" t="s">
        <v>14</v>
      </c>
      <c r="F2431" t="s">
        <v>15</v>
      </c>
      <c r="G2431">
        <v>28262</v>
      </c>
      <c r="H2431" t="s">
        <v>21</v>
      </c>
      <c r="I2431">
        <v>51</v>
      </c>
      <c r="J2431">
        <v>1</v>
      </c>
      <c r="K2431" t="s">
        <v>8935</v>
      </c>
    </row>
    <row r="2432" spans="1:11" x14ac:dyDescent="0.25">
      <c r="A2432" t="s">
        <v>8062</v>
      </c>
      <c r="B2432" t="s">
        <v>2469</v>
      </c>
      <c r="C2432" t="s">
        <v>1882</v>
      </c>
      <c r="D2432" t="s">
        <v>8063</v>
      </c>
      <c r="E2432" t="s">
        <v>14</v>
      </c>
      <c r="F2432" t="s">
        <v>15</v>
      </c>
      <c r="G2432">
        <v>28202</v>
      </c>
      <c r="H2432" t="s">
        <v>21</v>
      </c>
      <c r="I2432">
        <v>14</v>
      </c>
      <c r="J2432">
        <v>1</v>
      </c>
      <c r="K2432" t="s">
        <v>8935</v>
      </c>
    </row>
    <row r="2433" spans="1:11" x14ac:dyDescent="0.25">
      <c r="A2433" t="s">
        <v>8064</v>
      </c>
      <c r="B2433" t="s">
        <v>8065</v>
      </c>
      <c r="C2433" t="s">
        <v>1174</v>
      </c>
      <c r="D2433" t="s">
        <v>8066</v>
      </c>
      <c r="E2433" t="s">
        <v>14</v>
      </c>
      <c r="F2433" t="s">
        <v>15</v>
      </c>
      <c r="G2433">
        <v>28269</v>
      </c>
      <c r="H2433" t="s">
        <v>16</v>
      </c>
      <c r="I2433">
        <v>9</v>
      </c>
      <c r="J2433">
        <v>0</v>
      </c>
      <c r="K2433" t="s">
        <v>8935</v>
      </c>
    </row>
    <row r="2434" spans="1:11" x14ac:dyDescent="0.25">
      <c r="A2434" t="s">
        <v>8067</v>
      </c>
      <c r="B2434" t="s">
        <v>375</v>
      </c>
      <c r="C2434" t="s">
        <v>8068</v>
      </c>
      <c r="D2434" t="s">
        <v>5136</v>
      </c>
      <c r="E2434" t="s">
        <v>14</v>
      </c>
      <c r="F2434" t="s">
        <v>15</v>
      </c>
      <c r="G2434">
        <v>28204</v>
      </c>
      <c r="H2434" t="s">
        <v>16</v>
      </c>
      <c r="I2434">
        <v>19</v>
      </c>
      <c r="J2434">
        <v>0</v>
      </c>
      <c r="K2434" t="s">
        <v>8929</v>
      </c>
    </row>
    <row r="2435" spans="1:11" x14ac:dyDescent="0.25">
      <c r="A2435" t="s">
        <v>8069</v>
      </c>
      <c r="B2435" t="s">
        <v>8070</v>
      </c>
      <c r="C2435" t="s">
        <v>6698</v>
      </c>
      <c r="D2435" t="s">
        <v>2717</v>
      </c>
      <c r="E2435" t="s">
        <v>14</v>
      </c>
      <c r="F2435" t="s">
        <v>15</v>
      </c>
      <c r="G2435">
        <v>28211</v>
      </c>
      <c r="H2435" t="s">
        <v>21</v>
      </c>
      <c r="I2435">
        <v>6</v>
      </c>
      <c r="J2435">
        <v>0</v>
      </c>
      <c r="K2435" t="s">
        <v>8935</v>
      </c>
    </row>
    <row r="2436" spans="1:11" x14ac:dyDescent="0.25">
      <c r="A2436" t="s">
        <v>8071</v>
      </c>
      <c r="B2436" t="s">
        <v>8072</v>
      </c>
      <c r="C2436" t="s">
        <v>2544</v>
      </c>
      <c r="D2436" t="s">
        <v>8073</v>
      </c>
      <c r="E2436" t="s">
        <v>14</v>
      </c>
      <c r="F2436" t="s">
        <v>15</v>
      </c>
      <c r="G2436">
        <v>28213</v>
      </c>
      <c r="H2436" t="s">
        <v>26</v>
      </c>
      <c r="I2436">
        <v>21</v>
      </c>
      <c r="J2436">
        <v>1</v>
      </c>
      <c r="K2436" t="s">
        <v>8925</v>
      </c>
    </row>
    <row r="2437" spans="1:11" x14ac:dyDescent="0.25">
      <c r="A2437" t="s">
        <v>8074</v>
      </c>
      <c r="B2437" t="s">
        <v>8075</v>
      </c>
      <c r="C2437" t="s">
        <v>8076</v>
      </c>
      <c r="D2437" t="s">
        <v>8077</v>
      </c>
      <c r="E2437" t="s">
        <v>14</v>
      </c>
      <c r="F2437" t="s">
        <v>15</v>
      </c>
      <c r="G2437">
        <v>28273</v>
      </c>
      <c r="H2437" t="s">
        <v>21</v>
      </c>
      <c r="I2437">
        <v>270</v>
      </c>
      <c r="J2437">
        <v>1</v>
      </c>
      <c r="K2437" t="s">
        <v>8935</v>
      </c>
    </row>
    <row r="2438" spans="1:11" x14ac:dyDescent="0.25">
      <c r="A2438" t="s">
        <v>8078</v>
      </c>
      <c r="B2438" t="s">
        <v>4041</v>
      </c>
      <c r="C2438" t="s">
        <v>797</v>
      </c>
      <c r="D2438" t="s">
        <v>8079</v>
      </c>
      <c r="E2438" t="s">
        <v>14</v>
      </c>
      <c r="F2438" t="s">
        <v>15</v>
      </c>
      <c r="G2438">
        <v>28204</v>
      </c>
      <c r="H2438" t="s">
        <v>21</v>
      </c>
      <c r="I2438">
        <v>64</v>
      </c>
      <c r="J2438">
        <v>1</v>
      </c>
      <c r="K2438" t="s">
        <v>8925</v>
      </c>
    </row>
    <row r="2439" spans="1:11" x14ac:dyDescent="0.25">
      <c r="A2439" t="s">
        <v>8080</v>
      </c>
      <c r="B2439" t="s">
        <v>316</v>
      </c>
      <c r="C2439" t="s">
        <v>5631</v>
      </c>
      <c r="D2439" t="s">
        <v>8081</v>
      </c>
      <c r="E2439" t="s">
        <v>14</v>
      </c>
      <c r="F2439" t="s">
        <v>15</v>
      </c>
      <c r="G2439">
        <v>28217</v>
      </c>
      <c r="H2439" t="s">
        <v>21</v>
      </c>
      <c r="I2439">
        <v>70</v>
      </c>
      <c r="J2439">
        <v>1</v>
      </c>
      <c r="K2439" t="s">
        <v>8935</v>
      </c>
    </row>
    <row r="2440" spans="1:11" x14ac:dyDescent="0.25">
      <c r="A2440" t="s">
        <v>8082</v>
      </c>
      <c r="B2440" t="s">
        <v>8083</v>
      </c>
      <c r="C2440" t="s">
        <v>6576</v>
      </c>
      <c r="D2440" t="s">
        <v>8084</v>
      </c>
      <c r="E2440" t="s">
        <v>14</v>
      </c>
      <c r="F2440" t="s">
        <v>15</v>
      </c>
      <c r="G2440">
        <v>28262</v>
      </c>
      <c r="H2440" t="s">
        <v>39</v>
      </c>
      <c r="I2440">
        <v>57</v>
      </c>
      <c r="J2440">
        <v>1</v>
      </c>
      <c r="K2440" t="s">
        <v>8935</v>
      </c>
    </row>
    <row r="2441" spans="1:11" x14ac:dyDescent="0.25">
      <c r="A2441" t="s">
        <v>8085</v>
      </c>
      <c r="B2441" t="s">
        <v>8086</v>
      </c>
      <c r="C2441" t="s">
        <v>8087</v>
      </c>
      <c r="D2441" t="s">
        <v>8088</v>
      </c>
      <c r="E2441" t="s">
        <v>14</v>
      </c>
      <c r="F2441" t="s">
        <v>15</v>
      </c>
      <c r="G2441">
        <v>28273</v>
      </c>
      <c r="H2441" t="s">
        <v>21</v>
      </c>
      <c r="I2441">
        <v>191</v>
      </c>
      <c r="J2441">
        <v>1</v>
      </c>
      <c r="K2441" t="s">
        <v>8936</v>
      </c>
    </row>
    <row r="2442" spans="1:11" x14ac:dyDescent="0.25">
      <c r="A2442" t="s">
        <v>8089</v>
      </c>
      <c r="B2442" t="s">
        <v>8090</v>
      </c>
      <c r="C2442" t="s">
        <v>8091</v>
      </c>
      <c r="D2442" t="s">
        <v>1310</v>
      </c>
      <c r="E2442" t="s">
        <v>14</v>
      </c>
      <c r="F2442" t="s">
        <v>15</v>
      </c>
      <c r="G2442">
        <v>28215</v>
      </c>
      <c r="H2442" t="s">
        <v>146</v>
      </c>
      <c r="I2442">
        <v>46</v>
      </c>
      <c r="J2442">
        <v>1</v>
      </c>
      <c r="K2442" t="s">
        <v>8932</v>
      </c>
    </row>
    <row r="2443" spans="1:11" x14ac:dyDescent="0.25">
      <c r="A2443" t="s">
        <v>8092</v>
      </c>
      <c r="B2443" t="s">
        <v>8093</v>
      </c>
      <c r="C2443" t="s">
        <v>8094</v>
      </c>
      <c r="D2443" t="s">
        <v>8095</v>
      </c>
      <c r="E2443" t="s">
        <v>14</v>
      </c>
      <c r="F2443" t="s">
        <v>15</v>
      </c>
      <c r="G2443">
        <v>28208</v>
      </c>
      <c r="H2443" t="s">
        <v>16</v>
      </c>
      <c r="I2443">
        <v>29</v>
      </c>
      <c r="J2443">
        <v>1</v>
      </c>
      <c r="K2443" t="s">
        <v>8935</v>
      </c>
    </row>
    <row r="2444" spans="1:11" x14ac:dyDescent="0.25">
      <c r="A2444" t="s">
        <v>8096</v>
      </c>
      <c r="B2444" t="s">
        <v>8097</v>
      </c>
      <c r="C2444" t="s">
        <v>8098</v>
      </c>
      <c r="D2444" t="s">
        <v>8099</v>
      </c>
      <c r="E2444" t="s">
        <v>14</v>
      </c>
      <c r="F2444" t="s">
        <v>15</v>
      </c>
      <c r="G2444">
        <v>28210</v>
      </c>
      <c r="H2444" t="s">
        <v>16</v>
      </c>
      <c r="I2444">
        <v>32</v>
      </c>
      <c r="J2444">
        <v>0</v>
      </c>
      <c r="K2444" t="s">
        <v>8935</v>
      </c>
    </row>
    <row r="2445" spans="1:11" x14ac:dyDescent="0.25">
      <c r="A2445" t="s">
        <v>8100</v>
      </c>
      <c r="B2445" t="s">
        <v>8101</v>
      </c>
      <c r="C2445" t="s">
        <v>8102</v>
      </c>
      <c r="D2445" t="s">
        <v>5664</v>
      </c>
      <c r="E2445" t="s">
        <v>14</v>
      </c>
      <c r="F2445" t="s">
        <v>15</v>
      </c>
      <c r="G2445">
        <v>28215</v>
      </c>
      <c r="H2445" t="s">
        <v>39</v>
      </c>
      <c r="I2445">
        <v>56</v>
      </c>
      <c r="J2445">
        <v>1</v>
      </c>
      <c r="K2445" t="s">
        <v>8929</v>
      </c>
    </row>
    <row r="2446" spans="1:11" x14ac:dyDescent="0.25">
      <c r="A2446" t="s">
        <v>8103</v>
      </c>
      <c r="B2446" t="s">
        <v>8104</v>
      </c>
      <c r="C2446" t="s">
        <v>8105</v>
      </c>
      <c r="D2446" t="s">
        <v>8106</v>
      </c>
      <c r="E2446" t="s">
        <v>14</v>
      </c>
      <c r="F2446" t="s">
        <v>15</v>
      </c>
      <c r="G2446">
        <v>28273</v>
      </c>
      <c r="H2446" t="s">
        <v>21</v>
      </c>
      <c r="I2446">
        <v>288</v>
      </c>
      <c r="J2446">
        <v>1</v>
      </c>
      <c r="K2446" t="s">
        <v>8935</v>
      </c>
    </row>
    <row r="2447" spans="1:11" x14ac:dyDescent="0.25">
      <c r="A2447" t="s">
        <v>8107</v>
      </c>
      <c r="B2447" t="s">
        <v>1343</v>
      </c>
      <c r="C2447" t="s">
        <v>8108</v>
      </c>
      <c r="D2447" t="s">
        <v>8109</v>
      </c>
      <c r="E2447" t="s">
        <v>14</v>
      </c>
      <c r="F2447" t="s">
        <v>15</v>
      </c>
      <c r="G2447">
        <v>28217</v>
      </c>
      <c r="H2447" t="s">
        <v>21</v>
      </c>
      <c r="I2447">
        <v>18</v>
      </c>
      <c r="J2447">
        <v>1</v>
      </c>
      <c r="K2447" t="s">
        <v>8935</v>
      </c>
    </row>
    <row r="2448" spans="1:11" x14ac:dyDescent="0.25">
      <c r="A2448" t="s">
        <v>8110</v>
      </c>
      <c r="B2448" t="s">
        <v>8111</v>
      </c>
      <c r="C2448" t="s">
        <v>8112</v>
      </c>
      <c r="E2448" t="s">
        <v>14</v>
      </c>
      <c r="F2448" t="s">
        <v>15</v>
      </c>
      <c r="G2448">
        <v>28205</v>
      </c>
      <c r="H2448" t="s">
        <v>16</v>
      </c>
      <c r="I2448">
        <v>7</v>
      </c>
      <c r="J2448">
        <v>1</v>
      </c>
      <c r="K2448" t="s">
        <v>8935</v>
      </c>
    </row>
    <row r="2449" spans="1:11" x14ac:dyDescent="0.25">
      <c r="A2449" t="s">
        <v>8113</v>
      </c>
      <c r="B2449" t="s">
        <v>4128</v>
      </c>
      <c r="C2449" t="s">
        <v>8114</v>
      </c>
      <c r="D2449" t="s">
        <v>8115</v>
      </c>
      <c r="E2449" t="s">
        <v>14</v>
      </c>
      <c r="F2449" t="s">
        <v>15</v>
      </c>
      <c r="G2449">
        <v>28206</v>
      </c>
      <c r="H2449" t="s">
        <v>16</v>
      </c>
      <c r="I2449">
        <v>17</v>
      </c>
      <c r="J2449">
        <v>1</v>
      </c>
      <c r="K2449" t="s">
        <v>8932</v>
      </c>
    </row>
    <row r="2450" spans="1:11" x14ac:dyDescent="0.25">
      <c r="A2450" t="s">
        <v>8116</v>
      </c>
      <c r="B2450" t="s">
        <v>8117</v>
      </c>
      <c r="C2450" t="s">
        <v>8118</v>
      </c>
      <c r="D2450" t="s">
        <v>8119</v>
      </c>
      <c r="E2450" t="s">
        <v>14</v>
      </c>
      <c r="F2450" t="s">
        <v>15</v>
      </c>
      <c r="G2450">
        <v>28262</v>
      </c>
      <c r="H2450" t="s">
        <v>16</v>
      </c>
      <c r="I2450">
        <v>36</v>
      </c>
      <c r="J2450">
        <v>1</v>
      </c>
      <c r="K2450" t="s">
        <v>8930</v>
      </c>
    </row>
    <row r="2451" spans="1:11" x14ac:dyDescent="0.25">
      <c r="A2451" t="s">
        <v>8120</v>
      </c>
      <c r="B2451" t="s">
        <v>8121</v>
      </c>
      <c r="C2451" t="s">
        <v>8122</v>
      </c>
      <c r="D2451" t="s">
        <v>137</v>
      </c>
      <c r="E2451" t="s">
        <v>14</v>
      </c>
      <c r="F2451" t="s">
        <v>15</v>
      </c>
      <c r="G2451">
        <v>28202</v>
      </c>
      <c r="H2451" t="s">
        <v>39</v>
      </c>
      <c r="I2451">
        <v>197</v>
      </c>
      <c r="J2451">
        <v>1</v>
      </c>
      <c r="K2451" t="s">
        <v>8935</v>
      </c>
    </row>
    <row r="2452" spans="1:11" x14ac:dyDescent="0.25">
      <c r="A2452" t="s">
        <v>8123</v>
      </c>
      <c r="B2452" t="s">
        <v>1746</v>
      </c>
      <c r="C2452" t="s">
        <v>8124</v>
      </c>
      <c r="D2452" t="s">
        <v>8125</v>
      </c>
      <c r="E2452" t="s">
        <v>14</v>
      </c>
      <c r="F2452" t="s">
        <v>15</v>
      </c>
      <c r="G2452">
        <v>28262</v>
      </c>
      <c r="H2452" t="s">
        <v>26</v>
      </c>
      <c r="I2452">
        <v>27</v>
      </c>
      <c r="J2452">
        <v>1</v>
      </c>
      <c r="K2452" t="s">
        <v>8935</v>
      </c>
    </row>
    <row r="2453" spans="1:11" x14ac:dyDescent="0.25">
      <c r="A2453" t="s">
        <v>8126</v>
      </c>
      <c r="B2453" t="s">
        <v>8127</v>
      </c>
      <c r="C2453" t="s">
        <v>3461</v>
      </c>
      <c r="D2453" t="s">
        <v>8128</v>
      </c>
      <c r="E2453" t="s">
        <v>14</v>
      </c>
      <c r="F2453" t="s">
        <v>15</v>
      </c>
      <c r="G2453">
        <v>28273</v>
      </c>
      <c r="H2453" t="s">
        <v>26</v>
      </c>
      <c r="I2453">
        <v>17</v>
      </c>
      <c r="J2453">
        <v>0</v>
      </c>
      <c r="K2453" t="s">
        <v>8926</v>
      </c>
    </row>
    <row r="2454" spans="1:11" x14ac:dyDescent="0.25">
      <c r="A2454" t="s">
        <v>8129</v>
      </c>
      <c r="B2454" t="s">
        <v>8130</v>
      </c>
      <c r="C2454" t="s">
        <v>8131</v>
      </c>
      <c r="D2454" t="s">
        <v>7278</v>
      </c>
      <c r="E2454" t="s">
        <v>14</v>
      </c>
      <c r="F2454" t="s">
        <v>15</v>
      </c>
      <c r="G2454">
        <v>28262</v>
      </c>
      <c r="H2454" t="s">
        <v>48</v>
      </c>
      <c r="I2454">
        <v>52</v>
      </c>
      <c r="J2454">
        <v>0</v>
      </c>
      <c r="K2454" t="s">
        <v>8935</v>
      </c>
    </row>
    <row r="2455" spans="1:11" x14ac:dyDescent="0.25">
      <c r="A2455" t="s">
        <v>8132</v>
      </c>
      <c r="B2455" t="s">
        <v>8133</v>
      </c>
      <c r="C2455" t="s">
        <v>5068</v>
      </c>
      <c r="D2455" t="s">
        <v>8134</v>
      </c>
      <c r="E2455" t="s">
        <v>14</v>
      </c>
      <c r="F2455" t="s">
        <v>15</v>
      </c>
      <c r="G2455">
        <v>28269</v>
      </c>
      <c r="H2455" t="s">
        <v>26</v>
      </c>
      <c r="I2455">
        <v>25</v>
      </c>
      <c r="J2455">
        <v>1</v>
      </c>
      <c r="K2455" t="s">
        <v>8935</v>
      </c>
    </row>
    <row r="2456" spans="1:11" x14ac:dyDescent="0.25">
      <c r="A2456" t="s">
        <v>8135</v>
      </c>
      <c r="B2456" t="s">
        <v>8136</v>
      </c>
      <c r="C2456" t="s">
        <v>8137</v>
      </c>
      <c r="D2456" t="s">
        <v>8138</v>
      </c>
      <c r="E2456" t="s">
        <v>14</v>
      </c>
      <c r="F2456" t="s">
        <v>15</v>
      </c>
      <c r="G2456">
        <v>28202</v>
      </c>
      <c r="H2456" t="s">
        <v>21</v>
      </c>
      <c r="I2456">
        <v>4</v>
      </c>
      <c r="J2456">
        <v>0</v>
      </c>
      <c r="K2456" t="s">
        <v>8935</v>
      </c>
    </row>
    <row r="2457" spans="1:11" x14ac:dyDescent="0.25">
      <c r="A2457" t="s">
        <v>8139</v>
      </c>
      <c r="B2457" t="s">
        <v>1236</v>
      </c>
      <c r="C2457" t="s">
        <v>2435</v>
      </c>
      <c r="D2457" t="s">
        <v>2377</v>
      </c>
      <c r="E2457" t="s">
        <v>14</v>
      </c>
      <c r="F2457" t="s">
        <v>15</v>
      </c>
      <c r="G2457">
        <v>28205</v>
      </c>
      <c r="H2457" t="s">
        <v>21</v>
      </c>
      <c r="I2457">
        <v>33</v>
      </c>
      <c r="J2457">
        <v>1</v>
      </c>
      <c r="K2457" t="s">
        <v>8931</v>
      </c>
    </row>
    <row r="2458" spans="1:11" x14ac:dyDescent="0.25">
      <c r="A2458" t="s">
        <v>8140</v>
      </c>
      <c r="B2458" t="s">
        <v>8141</v>
      </c>
      <c r="C2458" t="s">
        <v>8142</v>
      </c>
      <c r="D2458" t="s">
        <v>8143</v>
      </c>
      <c r="E2458" t="s">
        <v>14</v>
      </c>
      <c r="F2458" t="s">
        <v>15</v>
      </c>
      <c r="G2458">
        <v>28277</v>
      </c>
      <c r="H2458" t="s">
        <v>26</v>
      </c>
      <c r="I2458">
        <v>5</v>
      </c>
      <c r="J2458">
        <v>1</v>
      </c>
      <c r="K2458" t="s">
        <v>8935</v>
      </c>
    </row>
    <row r="2459" spans="1:11" x14ac:dyDescent="0.25">
      <c r="A2459" t="s">
        <v>8144</v>
      </c>
      <c r="B2459" t="s">
        <v>8145</v>
      </c>
      <c r="C2459" t="s">
        <v>8146</v>
      </c>
      <c r="D2459" t="s">
        <v>3180</v>
      </c>
      <c r="E2459" t="s">
        <v>14</v>
      </c>
      <c r="F2459" t="s">
        <v>15</v>
      </c>
      <c r="G2459">
        <v>28202</v>
      </c>
      <c r="H2459" t="s">
        <v>48</v>
      </c>
      <c r="I2459">
        <v>5</v>
      </c>
      <c r="J2459">
        <v>0</v>
      </c>
      <c r="K2459" t="s">
        <v>8935</v>
      </c>
    </row>
    <row r="2460" spans="1:11" x14ac:dyDescent="0.25">
      <c r="A2460" t="s">
        <v>8147</v>
      </c>
      <c r="B2460" t="s">
        <v>279</v>
      </c>
      <c r="C2460" t="s">
        <v>8148</v>
      </c>
      <c r="D2460" t="s">
        <v>8149</v>
      </c>
      <c r="E2460" t="s">
        <v>14</v>
      </c>
      <c r="F2460" t="s">
        <v>15</v>
      </c>
      <c r="G2460">
        <v>28269</v>
      </c>
      <c r="H2460" t="s">
        <v>39</v>
      </c>
      <c r="I2460">
        <v>21</v>
      </c>
      <c r="J2460">
        <v>1</v>
      </c>
      <c r="K2460" t="s">
        <v>8926</v>
      </c>
    </row>
    <row r="2461" spans="1:11" x14ac:dyDescent="0.25">
      <c r="A2461" t="s">
        <v>8150</v>
      </c>
      <c r="B2461" t="s">
        <v>8151</v>
      </c>
      <c r="C2461" t="s">
        <v>8152</v>
      </c>
      <c r="D2461" t="s">
        <v>8153</v>
      </c>
      <c r="E2461" t="s">
        <v>14</v>
      </c>
      <c r="F2461" t="s">
        <v>15</v>
      </c>
      <c r="G2461">
        <v>28208</v>
      </c>
      <c r="H2461" t="s">
        <v>26</v>
      </c>
      <c r="I2461">
        <v>181</v>
      </c>
      <c r="J2461">
        <v>1</v>
      </c>
      <c r="K2461" t="s">
        <v>8935</v>
      </c>
    </row>
    <row r="2462" spans="1:11" x14ac:dyDescent="0.25">
      <c r="A2462" t="s">
        <v>8154</v>
      </c>
      <c r="B2462" t="s">
        <v>8155</v>
      </c>
      <c r="C2462" t="s">
        <v>8156</v>
      </c>
      <c r="D2462" t="s">
        <v>8157</v>
      </c>
      <c r="E2462" t="s">
        <v>14</v>
      </c>
      <c r="F2462" t="s">
        <v>15</v>
      </c>
      <c r="G2462">
        <v>28273</v>
      </c>
      <c r="H2462" t="s">
        <v>21</v>
      </c>
      <c r="I2462">
        <v>311</v>
      </c>
      <c r="J2462">
        <v>1</v>
      </c>
      <c r="K2462" t="s">
        <v>8929</v>
      </c>
    </row>
    <row r="2463" spans="1:11" x14ac:dyDescent="0.25">
      <c r="A2463" t="s">
        <v>8158</v>
      </c>
      <c r="B2463" t="s">
        <v>8159</v>
      </c>
      <c r="C2463" t="s">
        <v>1200</v>
      </c>
      <c r="D2463" t="s">
        <v>5736</v>
      </c>
      <c r="E2463" t="s">
        <v>14</v>
      </c>
      <c r="F2463" t="s">
        <v>15</v>
      </c>
      <c r="G2463">
        <v>28202</v>
      </c>
      <c r="H2463" t="s">
        <v>26</v>
      </c>
      <c r="I2463">
        <v>62</v>
      </c>
      <c r="J2463">
        <v>1</v>
      </c>
      <c r="K2463" t="s">
        <v>8935</v>
      </c>
    </row>
    <row r="2464" spans="1:11" x14ac:dyDescent="0.25">
      <c r="A2464" t="s">
        <v>8160</v>
      </c>
      <c r="B2464" t="s">
        <v>4041</v>
      </c>
      <c r="C2464" t="s">
        <v>1094</v>
      </c>
      <c r="D2464" t="s">
        <v>8161</v>
      </c>
      <c r="E2464" t="s">
        <v>14</v>
      </c>
      <c r="F2464" t="s">
        <v>15</v>
      </c>
      <c r="G2464">
        <v>28217</v>
      </c>
      <c r="H2464" t="s">
        <v>101</v>
      </c>
      <c r="I2464">
        <v>15</v>
      </c>
      <c r="J2464">
        <v>1</v>
      </c>
      <c r="K2464" t="s">
        <v>8925</v>
      </c>
    </row>
    <row r="2465" spans="1:11" x14ac:dyDescent="0.25">
      <c r="A2465" t="s">
        <v>8162</v>
      </c>
      <c r="B2465" t="s">
        <v>8163</v>
      </c>
      <c r="C2465" t="s">
        <v>8164</v>
      </c>
      <c r="D2465" t="s">
        <v>8165</v>
      </c>
      <c r="E2465" t="s">
        <v>14</v>
      </c>
      <c r="F2465" t="s">
        <v>15</v>
      </c>
      <c r="G2465">
        <v>28205</v>
      </c>
      <c r="H2465" t="s">
        <v>26</v>
      </c>
      <c r="I2465">
        <v>299</v>
      </c>
      <c r="J2465">
        <v>0</v>
      </c>
      <c r="K2465" t="s">
        <v>8935</v>
      </c>
    </row>
    <row r="2466" spans="1:11" x14ac:dyDescent="0.25">
      <c r="A2466" t="s">
        <v>8166</v>
      </c>
      <c r="B2466" t="s">
        <v>262</v>
      </c>
      <c r="C2466" t="s">
        <v>263</v>
      </c>
      <c r="D2466" t="s">
        <v>5450</v>
      </c>
      <c r="E2466" t="s">
        <v>14</v>
      </c>
      <c r="F2466" t="s">
        <v>15</v>
      </c>
      <c r="G2466">
        <v>28226</v>
      </c>
      <c r="H2466" t="s">
        <v>265</v>
      </c>
      <c r="I2466">
        <v>16</v>
      </c>
      <c r="J2466">
        <v>1</v>
      </c>
      <c r="K2466" t="s">
        <v>8935</v>
      </c>
    </row>
    <row r="2467" spans="1:11" x14ac:dyDescent="0.25">
      <c r="A2467" t="s">
        <v>8167</v>
      </c>
      <c r="B2467" t="s">
        <v>8168</v>
      </c>
      <c r="C2467" t="s">
        <v>8169</v>
      </c>
      <c r="E2467" t="s">
        <v>14</v>
      </c>
      <c r="F2467" t="s">
        <v>15</v>
      </c>
      <c r="G2467">
        <v>28205</v>
      </c>
      <c r="H2467" t="s">
        <v>39</v>
      </c>
      <c r="I2467">
        <v>99</v>
      </c>
      <c r="J2467">
        <v>1</v>
      </c>
      <c r="K2467" t="s">
        <v>8926</v>
      </c>
    </row>
    <row r="2468" spans="1:11" x14ac:dyDescent="0.25">
      <c r="A2468" t="s">
        <v>8170</v>
      </c>
      <c r="B2468" t="s">
        <v>8155</v>
      </c>
      <c r="C2468" t="s">
        <v>8171</v>
      </c>
      <c r="D2468" t="s">
        <v>8172</v>
      </c>
      <c r="E2468" t="s">
        <v>14</v>
      </c>
      <c r="F2468" t="s">
        <v>15</v>
      </c>
      <c r="G2468">
        <v>28270</v>
      </c>
      <c r="H2468" t="s">
        <v>26</v>
      </c>
      <c r="I2468">
        <v>4</v>
      </c>
      <c r="J2468">
        <v>0</v>
      </c>
      <c r="K2468" t="s">
        <v>8929</v>
      </c>
    </row>
    <row r="2469" spans="1:11" x14ac:dyDescent="0.25">
      <c r="A2469" t="s">
        <v>8173</v>
      </c>
      <c r="B2469" t="s">
        <v>8174</v>
      </c>
      <c r="C2469" t="s">
        <v>8175</v>
      </c>
      <c r="D2469" t="s">
        <v>8176</v>
      </c>
      <c r="E2469" t="s">
        <v>14</v>
      </c>
      <c r="F2469" t="s">
        <v>15</v>
      </c>
      <c r="G2469">
        <v>28244</v>
      </c>
      <c r="H2469" t="s">
        <v>16</v>
      </c>
      <c r="I2469">
        <v>142</v>
      </c>
      <c r="J2469">
        <v>1</v>
      </c>
      <c r="K2469" t="s">
        <v>8924</v>
      </c>
    </row>
    <row r="2470" spans="1:11" x14ac:dyDescent="0.25">
      <c r="A2470" t="s">
        <v>8177</v>
      </c>
      <c r="B2470" t="s">
        <v>1959</v>
      </c>
      <c r="C2470" t="s">
        <v>797</v>
      </c>
      <c r="D2470" t="s">
        <v>8178</v>
      </c>
      <c r="E2470" t="s">
        <v>14</v>
      </c>
      <c r="F2470" t="s">
        <v>15</v>
      </c>
      <c r="G2470">
        <v>28226</v>
      </c>
      <c r="H2470" t="s">
        <v>26</v>
      </c>
      <c r="I2470">
        <v>71</v>
      </c>
      <c r="J2470">
        <v>1</v>
      </c>
      <c r="K2470" t="s">
        <v>8925</v>
      </c>
    </row>
    <row r="2471" spans="1:11" x14ac:dyDescent="0.25">
      <c r="A2471" t="s">
        <v>8179</v>
      </c>
      <c r="B2471" t="s">
        <v>1343</v>
      </c>
      <c r="C2471" t="s">
        <v>8180</v>
      </c>
      <c r="D2471" t="s">
        <v>8181</v>
      </c>
      <c r="E2471" t="s">
        <v>14</v>
      </c>
      <c r="F2471" t="s">
        <v>15</v>
      </c>
      <c r="G2471">
        <v>28269</v>
      </c>
      <c r="H2471" t="s">
        <v>146</v>
      </c>
      <c r="I2471">
        <v>4</v>
      </c>
      <c r="J2471">
        <v>1</v>
      </c>
      <c r="K2471" t="s">
        <v>8935</v>
      </c>
    </row>
    <row r="2472" spans="1:11" x14ac:dyDescent="0.25">
      <c r="A2472" t="s">
        <v>8182</v>
      </c>
      <c r="B2472" t="s">
        <v>254</v>
      </c>
      <c r="C2472" t="s">
        <v>8183</v>
      </c>
      <c r="D2472" t="s">
        <v>5124</v>
      </c>
      <c r="E2472" t="s">
        <v>14</v>
      </c>
      <c r="F2472" t="s">
        <v>15</v>
      </c>
      <c r="G2472">
        <v>28206</v>
      </c>
      <c r="H2472" t="s">
        <v>26</v>
      </c>
      <c r="I2472">
        <v>8</v>
      </c>
      <c r="J2472">
        <v>1</v>
      </c>
      <c r="K2472" t="s">
        <v>8935</v>
      </c>
    </row>
    <row r="2473" spans="1:11" x14ac:dyDescent="0.25">
      <c r="A2473" t="s">
        <v>8184</v>
      </c>
      <c r="B2473" t="s">
        <v>8185</v>
      </c>
      <c r="C2473" t="s">
        <v>8186</v>
      </c>
      <c r="D2473" t="s">
        <v>8187</v>
      </c>
      <c r="E2473" t="s">
        <v>14</v>
      </c>
      <c r="F2473" t="s">
        <v>15</v>
      </c>
      <c r="G2473">
        <v>28227</v>
      </c>
      <c r="H2473" t="s">
        <v>16</v>
      </c>
      <c r="I2473">
        <v>52</v>
      </c>
      <c r="J2473">
        <v>1</v>
      </c>
      <c r="K2473" t="s">
        <v>8937</v>
      </c>
    </row>
    <row r="2474" spans="1:11" x14ac:dyDescent="0.25">
      <c r="A2474" t="s">
        <v>8188</v>
      </c>
      <c r="B2474" t="s">
        <v>8189</v>
      </c>
      <c r="C2474" t="s">
        <v>8190</v>
      </c>
      <c r="D2474" t="s">
        <v>2675</v>
      </c>
      <c r="E2474" t="s">
        <v>14</v>
      </c>
      <c r="F2474" t="s">
        <v>15</v>
      </c>
      <c r="G2474">
        <v>28277</v>
      </c>
      <c r="H2474" t="s">
        <v>265</v>
      </c>
      <c r="I2474">
        <v>8</v>
      </c>
      <c r="J2474">
        <v>0</v>
      </c>
      <c r="K2474" t="s">
        <v>8935</v>
      </c>
    </row>
    <row r="2475" spans="1:11" x14ac:dyDescent="0.25">
      <c r="A2475" t="s">
        <v>8191</v>
      </c>
      <c r="B2475" t="s">
        <v>8192</v>
      </c>
      <c r="C2475" t="s">
        <v>8193</v>
      </c>
      <c r="D2475" t="s">
        <v>3066</v>
      </c>
      <c r="E2475" t="s">
        <v>14</v>
      </c>
      <c r="F2475" t="s">
        <v>15</v>
      </c>
      <c r="G2475">
        <v>28226</v>
      </c>
      <c r="H2475" t="s">
        <v>21</v>
      </c>
      <c r="I2475">
        <v>123</v>
      </c>
      <c r="J2475">
        <v>1</v>
      </c>
      <c r="K2475" t="s">
        <v>8936</v>
      </c>
    </row>
    <row r="2476" spans="1:11" x14ac:dyDescent="0.25">
      <c r="A2476" t="s">
        <v>8194</v>
      </c>
      <c r="B2476" t="s">
        <v>8195</v>
      </c>
      <c r="C2476" t="s">
        <v>8196</v>
      </c>
      <c r="D2476" t="s">
        <v>8197</v>
      </c>
      <c r="E2476" t="s">
        <v>14</v>
      </c>
      <c r="F2476" t="s">
        <v>15</v>
      </c>
      <c r="G2476">
        <v>28203</v>
      </c>
      <c r="H2476" t="s">
        <v>21</v>
      </c>
      <c r="I2476">
        <v>176</v>
      </c>
      <c r="J2476">
        <v>1</v>
      </c>
      <c r="K2476" t="s">
        <v>8937</v>
      </c>
    </row>
    <row r="2477" spans="1:11" x14ac:dyDescent="0.25">
      <c r="A2477" t="s">
        <v>8198</v>
      </c>
      <c r="B2477" t="s">
        <v>6659</v>
      </c>
      <c r="C2477" t="s">
        <v>2723</v>
      </c>
      <c r="D2477" t="s">
        <v>8199</v>
      </c>
      <c r="E2477" t="s">
        <v>14</v>
      </c>
      <c r="F2477" t="s">
        <v>15</v>
      </c>
      <c r="G2477">
        <v>28216</v>
      </c>
      <c r="H2477" t="s">
        <v>48</v>
      </c>
      <c r="I2477">
        <v>14</v>
      </c>
      <c r="J2477">
        <v>1</v>
      </c>
      <c r="K2477" t="s">
        <v>8935</v>
      </c>
    </row>
    <row r="2478" spans="1:11" x14ac:dyDescent="0.25">
      <c r="A2478" t="s">
        <v>8200</v>
      </c>
      <c r="B2478" t="s">
        <v>8201</v>
      </c>
      <c r="C2478" t="s">
        <v>8202</v>
      </c>
      <c r="D2478" t="s">
        <v>8203</v>
      </c>
      <c r="E2478" t="s">
        <v>14</v>
      </c>
      <c r="F2478" t="s">
        <v>15</v>
      </c>
      <c r="G2478">
        <v>28278</v>
      </c>
      <c r="H2478" t="s">
        <v>16</v>
      </c>
      <c r="I2478">
        <v>14</v>
      </c>
      <c r="J2478">
        <v>1</v>
      </c>
      <c r="K2478" t="s">
        <v>8929</v>
      </c>
    </row>
    <row r="2479" spans="1:11" x14ac:dyDescent="0.25">
      <c r="A2479" t="s">
        <v>8204</v>
      </c>
      <c r="B2479" t="s">
        <v>8205</v>
      </c>
      <c r="C2479" t="s">
        <v>8206</v>
      </c>
      <c r="D2479" t="s">
        <v>7126</v>
      </c>
      <c r="E2479" t="s">
        <v>14</v>
      </c>
      <c r="F2479" t="s">
        <v>15</v>
      </c>
      <c r="G2479">
        <v>28211</v>
      </c>
      <c r="H2479" t="s">
        <v>26</v>
      </c>
      <c r="I2479">
        <v>31</v>
      </c>
      <c r="J2479">
        <v>0</v>
      </c>
      <c r="K2479" t="s">
        <v>8926</v>
      </c>
    </row>
    <row r="2480" spans="1:11" x14ac:dyDescent="0.25">
      <c r="A2480" t="s">
        <v>8207</v>
      </c>
      <c r="B2480" t="s">
        <v>8208</v>
      </c>
      <c r="C2480" t="s">
        <v>8209</v>
      </c>
      <c r="D2480" t="s">
        <v>8210</v>
      </c>
      <c r="E2480" t="s">
        <v>14</v>
      </c>
      <c r="F2480" t="s">
        <v>15</v>
      </c>
      <c r="G2480">
        <v>28226</v>
      </c>
      <c r="H2480" t="s">
        <v>16</v>
      </c>
      <c r="I2480">
        <v>126</v>
      </c>
      <c r="J2480">
        <v>1</v>
      </c>
      <c r="K2480" t="s">
        <v>8935</v>
      </c>
    </row>
    <row r="2481" spans="1:11" x14ac:dyDescent="0.25">
      <c r="A2481" t="s">
        <v>8211</v>
      </c>
      <c r="B2481" t="s">
        <v>8212</v>
      </c>
      <c r="C2481" t="s">
        <v>8213</v>
      </c>
      <c r="D2481" t="s">
        <v>8214</v>
      </c>
      <c r="E2481" t="s">
        <v>14</v>
      </c>
      <c r="F2481" t="s">
        <v>15</v>
      </c>
      <c r="G2481">
        <v>28213</v>
      </c>
      <c r="H2481" t="s">
        <v>16</v>
      </c>
      <c r="I2481">
        <v>7</v>
      </c>
      <c r="J2481">
        <v>0</v>
      </c>
      <c r="K2481" t="s">
        <v>8926</v>
      </c>
    </row>
    <row r="2482" spans="1:11" x14ac:dyDescent="0.25">
      <c r="A2482" t="s">
        <v>8215</v>
      </c>
      <c r="B2482" t="s">
        <v>8216</v>
      </c>
      <c r="C2482" t="s">
        <v>8217</v>
      </c>
      <c r="D2482" t="s">
        <v>8218</v>
      </c>
      <c r="E2482" t="s">
        <v>14</v>
      </c>
      <c r="F2482" t="s">
        <v>15</v>
      </c>
      <c r="G2482">
        <v>28269</v>
      </c>
      <c r="H2482" t="s">
        <v>21</v>
      </c>
      <c r="I2482">
        <v>92</v>
      </c>
      <c r="J2482">
        <v>1</v>
      </c>
      <c r="K2482" t="s">
        <v>8935</v>
      </c>
    </row>
    <row r="2483" spans="1:11" x14ac:dyDescent="0.25">
      <c r="A2483" t="s">
        <v>8219</v>
      </c>
      <c r="B2483" t="s">
        <v>8220</v>
      </c>
      <c r="C2483" t="s">
        <v>8221</v>
      </c>
      <c r="D2483" t="s">
        <v>8222</v>
      </c>
      <c r="E2483" t="s">
        <v>14</v>
      </c>
      <c r="F2483" t="s">
        <v>15</v>
      </c>
      <c r="G2483">
        <v>28262</v>
      </c>
      <c r="H2483" t="s">
        <v>48</v>
      </c>
      <c r="I2483">
        <v>3</v>
      </c>
      <c r="J2483">
        <v>0</v>
      </c>
      <c r="K2483" t="s">
        <v>8935</v>
      </c>
    </row>
    <row r="2484" spans="1:11" x14ac:dyDescent="0.25">
      <c r="A2484" t="s">
        <v>8223</v>
      </c>
      <c r="B2484" t="s">
        <v>8224</v>
      </c>
      <c r="C2484" t="s">
        <v>263</v>
      </c>
      <c r="D2484" t="s">
        <v>8225</v>
      </c>
      <c r="E2484" t="s">
        <v>14</v>
      </c>
      <c r="F2484" t="s">
        <v>15</v>
      </c>
      <c r="G2484">
        <v>28273</v>
      </c>
      <c r="H2484" t="s">
        <v>101</v>
      </c>
      <c r="I2484">
        <v>12</v>
      </c>
      <c r="J2484">
        <v>1</v>
      </c>
      <c r="K2484" t="s">
        <v>8935</v>
      </c>
    </row>
    <row r="2485" spans="1:11" x14ac:dyDescent="0.25">
      <c r="A2485" t="s">
        <v>8226</v>
      </c>
      <c r="B2485" t="s">
        <v>8227</v>
      </c>
      <c r="C2485" t="s">
        <v>8228</v>
      </c>
      <c r="D2485" t="s">
        <v>8229</v>
      </c>
      <c r="E2485" t="s">
        <v>14</v>
      </c>
      <c r="F2485" t="s">
        <v>15</v>
      </c>
      <c r="G2485">
        <v>28273</v>
      </c>
      <c r="H2485" t="s">
        <v>39</v>
      </c>
      <c r="I2485">
        <v>3</v>
      </c>
      <c r="J2485">
        <v>0</v>
      </c>
      <c r="K2485" t="s">
        <v>8929</v>
      </c>
    </row>
    <row r="2486" spans="1:11" x14ac:dyDescent="0.25">
      <c r="A2486" t="e">
        <f>-hTlljcZfYbLuv9pInIZhg</f>
        <v>#NAME?</v>
      </c>
      <c r="B2486" t="s">
        <v>1188</v>
      </c>
      <c r="C2486" t="s">
        <v>8230</v>
      </c>
      <c r="D2486" t="s">
        <v>8231</v>
      </c>
      <c r="E2486" t="s">
        <v>14</v>
      </c>
      <c r="F2486" t="s">
        <v>15</v>
      </c>
      <c r="G2486">
        <v>28208</v>
      </c>
      <c r="H2486" t="s">
        <v>16</v>
      </c>
      <c r="I2486">
        <v>12</v>
      </c>
      <c r="J2486">
        <v>1</v>
      </c>
      <c r="K2486" t="s">
        <v>8935</v>
      </c>
    </row>
    <row r="2487" spans="1:11" x14ac:dyDescent="0.25">
      <c r="A2487" t="s">
        <v>8232</v>
      </c>
      <c r="B2487" t="s">
        <v>8233</v>
      </c>
      <c r="C2487" t="s">
        <v>8234</v>
      </c>
      <c r="D2487" t="s">
        <v>8235</v>
      </c>
      <c r="E2487" t="s">
        <v>14</v>
      </c>
      <c r="F2487" t="s">
        <v>15</v>
      </c>
      <c r="G2487">
        <v>28205</v>
      </c>
      <c r="H2487" t="s">
        <v>16</v>
      </c>
      <c r="I2487">
        <v>493</v>
      </c>
      <c r="J2487">
        <v>1</v>
      </c>
      <c r="K2487" t="s">
        <v>8937</v>
      </c>
    </row>
    <row r="2488" spans="1:11" x14ac:dyDescent="0.25">
      <c r="A2488" t="s">
        <v>8236</v>
      </c>
      <c r="B2488" t="s">
        <v>8237</v>
      </c>
      <c r="C2488" t="s">
        <v>4106</v>
      </c>
      <c r="D2488" t="s">
        <v>8238</v>
      </c>
      <c r="E2488" t="s">
        <v>14</v>
      </c>
      <c r="F2488" t="s">
        <v>15</v>
      </c>
      <c r="G2488">
        <v>28203</v>
      </c>
      <c r="H2488" t="s">
        <v>21</v>
      </c>
      <c r="I2488">
        <v>43</v>
      </c>
      <c r="J2488">
        <v>1</v>
      </c>
      <c r="K2488" t="s">
        <v>8935</v>
      </c>
    </row>
    <row r="2489" spans="1:11" x14ac:dyDescent="0.25">
      <c r="A2489" t="s">
        <v>8239</v>
      </c>
      <c r="B2489" t="s">
        <v>8240</v>
      </c>
      <c r="C2489" t="s">
        <v>8241</v>
      </c>
      <c r="D2489" t="s">
        <v>8242</v>
      </c>
      <c r="E2489" t="s">
        <v>14</v>
      </c>
      <c r="F2489" t="s">
        <v>15</v>
      </c>
      <c r="G2489">
        <v>28262</v>
      </c>
      <c r="H2489" t="s">
        <v>16</v>
      </c>
      <c r="I2489">
        <v>263</v>
      </c>
      <c r="J2489">
        <v>1</v>
      </c>
      <c r="K2489" t="s">
        <v>8935</v>
      </c>
    </row>
    <row r="2490" spans="1:11" x14ac:dyDescent="0.25">
      <c r="A2490" t="s">
        <v>8243</v>
      </c>
      <c r="B2490" t="s">
        <v>8244</v>
      </c>
      <c r="C2490" t="s">
        <v>8245</v>
      </c>
      <c r="D2490" t="s">
        <v>8246</v>
      </c>
      <c r="E2490" t="s">
        <v>14</v>
      </c>
      <c r="F2490" t="s">
        <v>15</v>
      </c>
      <c r="G2490">
        <v>28226</v>
      </c>
      <c r="H2490" t="s">
        <v>39</v>
      </c>
      <c r="I2490">
        <v>406</v>
      </c>
      <c r="J2490">
        <v>1</v>
      </c>
      <c r="K2490" t="s">
        <v>8935</v>
      </c>
    </row>
    <row r="2491" spans="1:11" x14ac:dyDescent="0.25">
      <c r="A2491" t="s">
        <v>8247</v>
      </c>
      <c r="B2491" t="s">
        <v>8248</v>
      </c>
      <c r="C2491" t="s">
        <v>8249</v>
      </c>
      <c r="D2491" t="s">
        <v>8250</v>
      </c>
      <c r="E2491" t="s">
        <v>14</v>
      </c>
      <c r="F2491" t="s">
        <v>15</v>
      </c>
      <c r="G2491">
        <v>28204</v>
      </c>
      <c r="H2491" t="s">
        <v>16</v>
      </c>
      <c r="I2491">
        <v>11</v>
      </c>
      <c r="J2491">
        <v>1</v>
      </c>
      <c r="K2491" t="s">
        <v>8935</v>
      </c>
    </row>
    <row r="2492" spans="1:11" x14ac:dyDescent="0.25">
      <c r="A2492" t="e">
        <f>-VlfL9rbFuI42CTFFtgMmw</f>
        <v>#NAME?</v>
      </c>
      <c r="B2492" t="s">
        <v>98</v>
      </c>
      <c r="C2492" t="s">
        <v>87</v>
      </c>
      <c r="D2492" t="s">
        <v>8251</v>
      </c>
      <c r="E2492" t="s">
        <v>14</v>
      </c>
      <c r="F2492" t="s">
        <v>15</v>
      </c>
      <c r="G2492">
        <v>28206</v>
      </c>
      <c r="H2492" t="s">
        <v>195</v>
      </c>
      <c r="I2492">
        <v>7</v>
      </c>
      <c r="J2492">
        <v>1</v>
      </c>
      <c r="K2492" t="s">
        <v>8935</v>
      </c>
    </row>
    <row r="2493" spans="1:11" x14ac:dyDescent="0.25">
      <c r="A2493" t="s">
        <v>8252</v>
      </c>
      <c r="B2493" t="s">
        <v>8253</v>
      </c>
      <c r="C2493" t="s">
        <v>8254</v>
      </c>
      <c r="D2493" t="s">
        <v>8255</v>
      </c>
      <c r="E2493" t="s">
        <v>14</v>
      </c>
      <c r="F2493" t="s">
        <v>15</v>
      </c>
      <c r="G2493">
        <v>28277</v>
      </c>
      <c r="H2493" t="s">
        <v>21</v>
      </c>
      <c r="I2493">
        <v>152</v>
      </c>
      <c r="J2493">
        <v>1</v>
      </c>
      <c r="K2493" t="s">
        <v>8936</v>
      </c>
    </row>
    <row r="2494" spans="1:11" x14ac:dyDescent="0.25">
      <c r="A2494" t="s">
        <v>8256</v>
      </c>
      <c r="B2494" t="s">
        <v>312</v>
      </c>
      <c r="C2494" t="s">
        <v>8257</v>
      </c>
      <c r="D2494" t="s">
        <v>8258</v>
      </c>
      <c r="E2494" t="s">
        <v>14</v>
      </c>
      <c r="F2494" t="s">
        <v>15</v>
      </c>
      <c r="G2494">
        <v>28202</v>
      </c>
      <c r="H2494" t="s">
        <v>21</v>
      </c>
      <c r="I2494">
        <v>393</v>
      </c>
      <c r="J2494">
        <v>1</v>
      </c>
      <c r="K2494" t="s">
        <v>8925</v>
      </c>
    </row>
    <row r="2495" spans="1:11" x14ac:dyDescent="0.25">
      <c r="A2495" t="s">
        <v>8259</v>
      </c>
      <c r="B2495" t="s">
        <v>312</v>
      </c>
      <c r="C2495" t="s">
        <v>5511</v>
      </c>
      <c r="D2495" t="s">
        <v>8260</v>
      </c>
      <c r="E2495" t="s">
        <v>14</v>
      </c>
      <c r="F2495" t="s">
        <v>15</v>
      </c>
      <c r="G2495">
        <v>28205</v>
      </c>
      <c r="H2495" t="s">
        <v>21</v>
      </c>
      <c r="I2495">
        <v>110</v>
      </c>
      <c r="J2495">
        <v>0</v>
      </c>
      <c r="K2495" t="s">
        <v>8925</v>
      </c>
    </row>
    <row r="2496" spans="1:11" x14ac:dyDescent="0.25">
      <c r="A2496" t="s">
        <v>8261</v>
      </c>
      <c r="B2496" t="s">
        <v>8262</v>
      </c>
      <c r="C2496" t="s">
        <v>3865</v>
      </c>
      <c r="D2496" t="s">
        <v>8263</v>
      </c>
      <c r="E2496" t="s">
        <v>14</v>
      </c>
      <c r="F2496" t="s">
        <v>15</v>
      </c>
      <c r="G2496">
        <v>28216</v>
      </c>
      <c r="H2496" t="s">
        <v>16</v>
      </c>
      <c r="I2496">
        <v>12</v>
      </c>
      <c r="J2496">
        <v>0</v>
      </c>
      <c r="K2496" t="s">
        <v>8935</v>
      </c>
    </row>
    <row r="2497" spans="1:11" x14ac:dyDescent="0.25">
      <c r="A2497" t="s">
        <v>8264</v>
      </c>
      <c r="B2497" t="s">
        <v>8265</v>
      </c>
      <c r="C2497" t="s">
        <v>8266</v>
      </c>
      <c r="D2497" t="s">
        <v>2829</v>
      </c>
      <c r="E2497" t="s">
        <v>14</v>
      </c>
      <c r="F2497" t="s">
        <v>15</v>
      </c>
      <c r="G2497">
        <v>28204</v>
      </c>
      <c r="H2497" t="s">
        <v>16</v>
      </c>
      <c r="I2497">
        <v>299</v>
      </c>
      <c r="J2497">
        <v>1</v>
      </c>
      <c r="K2497" t="s">
        <v>8935</v>
      </c>
    </row>
    <row r="2498" spans="1:11" x14ac:dyDescent="0.25">
      <c r="A2498" t="s">
        <v>8267</v>
      </c>
      <c r="B2498" t="s">
        <v>316</v>
      </c>
      <c r="C2498" t="s">
        <v>8268</v>
      </c>
      <c r="D2498" t="s">
        <v>8269</v>
      </c>
      <c r="E2498" t="s">
        <v>14</v>
      </c>
      <c r="F2498" t="s">
        <v>15</v>
      </c>
      <c r="G2498">
        <v>28270</v>
      </c>
      <c r="H2498" t="s">
        <v>39</v>
      </c>
      <c r="I2498">
        <v>3</v>
      </c>
      <c r="J2498">
        <v>0</v>
      </c>
      <c r="K2498" t="s">
        <v>8935</v>
      </c>
    </row>
    <row r="2499" spans="1:11" x14ac:dyDescent="0.25">
      <c r="A2499" t="s">
        <v>8270</v>
      </c>
      <c r="B2499" t="s">
        <v>8271</v>
      </c>
      <c r="C2499" t="s">
        <v>8272</v>
      </c>
      <c r="D2499" t="s">
        <v>8273</v>
      </c>
      <c r="E2499" t="s">
        <v>14</v>
      </c>
      <c r="F2499" t="s">
        <v>15</v>
      </c>
      <c r="G2499">
        <v>28262</v>
      </c>
      <c r="H2499" t="s">
        <v>195</v>
      </c>
      <c r="I2499">
        <v>60</v>
      </c>
      <c r="J2499">
        <v>1</v>
      </c>
      <c r="K2499" t="s">
        <v>8935</v>
      </c>
    </row>
    <row r="2500" spans="1:11" x14ac:dyDescent="0.25">
      <c r="A2500" t="s">
        <v>8274</v>
      </c>
      <c r="B2500" t="s">
        <v>4747</v>
      </c>
      <c r="C2500" t="s">
        <v>8275</v>
      </c>
      <c r="D2500" t="s">
        <v>8276</v>
      </c>
      <c r="E2500" t="s">
        <v>14</v>
      </c>
      <c r="F2500" t="s">
        <v>15</v>
      </c>
      <c r="G2500">
        <v>28211</v>
      </c>
      <c r="H2500" t="s">
        <v>21</v>
      </c>
      <c r="I2500">
        <v>72</v>
      </c>
      <c r="J2500">
        <v>1</v>
      </c>
      <c r="K2500" t="s">
        <v>8921</v>
      </c>
    </row>
    <row r="2501" spans="1:11" x14ac:dyDescent="0.25">
      <c r="A2501" t="s">
        <v>8277</v>
      </c>
      <c r="B2501" t="s">
        <v>316</v>
      </c>
      <c r="C2501" t="s">
        <v>4062</v>
      </c>
      <c r="D2501" t="s">
        <v>8278</v>
      </c>
      <c r="E2501" t="s">
        <v>14</v>
      </c>
      <c r="F2501" t="s">
        <v>15</v>
      </c>
      <c r="G2501">
        <v>28273</v>
      </c>
      <c r="H2501" t="s">
        <v>101</v>
      </c>
      <c r="I2501">
        <v>29</v>
      </c>
      <c r="J2501">
        <v>0</v>
      </c>
      <c r="K2501" t="s">
        <v>8935</v>
      </c>
    </row>
    <row r="2502" spans="1:11" x14ac:dyDescent="0.25">
      <c r="A2502" t="s">
        <v>8279</v>
      </c>
      <c r="B2502" t="s">
        <v>2582</v>
      </c>
      <c r="C2502" t="s">
        <v>7679</v>
      </c>
      <c r="D2502" t="s">
        <v>7348</v>
      </c>
      <c r="E2502" t="s">
        <v>14</v>
      </c>
      <c r="F2502" t="s">
        <v>15</v>
      </c>
      <c r="G2502">
        <v>28269</v>
      </c>
      <c r="H2502" t="s">
        <v>16</v>
      </c>
      <c r="I2502">
        <v>109</v>
      </c>
      <c r="J2502">
        <v>0</v>
      </c>
      <c r="K2502" t="s">
        <v>8935</v>
      </c>
    </row>
    <row r="2503" spans="1:11" x14ac:dyDescent="0.25">
      <c r="A2503" t="s">
        <v>8280</v>
      </c>
      <c r="B2503" t="s">
        <v>8281</v>
      </c>
      <c r="C2503" t="s">
        <v>8282</v>
      </c>
      <c r="E2503" t="s">
        <v>14</v>
      </c>
      <c r="F2503" t="s">
        <v>15</v>
      </c>
      <c r="G2503">
        <v>28105</v>
      </c>
      <c r="H2503" t="s">
        <v>21</v>
      </c>
      <c r="I2503">
        <v>7</v>
      </c>
      <c r="J2503">
        <v>1</v>
      </c>
      <c r="K2503" t="s">
        <v>8935</v>
      </c>
    </row>
    <row r="2504" spans="1:11" x14ac:dyDescent="0.25">
      <c r="A2504" t="s">
        <v>8283</v>
      </c>
      <c r="B2504" t="s">
        <v>8284</v>
      </c>
      <c r="C2504" t="s">
        <v>8285</v>
      </c>
      <c r="D2504" t="s">
        <v>8286</v>
      </c>
      <c r="E2504" t="s">
        <v>14</v>
      </c>
      <c r="F2504" t="s">
        <v>15</v>
      </c>
      <c r="G2504">
        <v>28277</v>
      </c>
      <c r="H2504" t="s">
        <v>39</v>
      </c>
      <c r="I2504">
        <v>34</v>
      </c>
      <c r="J2504">
        <v>1</v>
      </c>
      <c r="K2504" t="s">
        <v>8935</v>
      </c>
    </row>
    <row r="2505" spans="1:11" x14ac:dyDescent="0.25">
      <c r="A2505" t="s">
        <v>8287</v>
      </c>
      <c r="B2505" t="s">
        <v>2582</v>
      </c>
      <c r="C2505" t="s">
        <v>8288</v>
      </c>
      <c r="D2505" t="s">
        <v>8289</v>
      </c>
      <c r="E2505" t="s">
        <v>14</v>
      </c>
      <c r="F2505" t="s">
        <v>15</v>
      </c>
      <c r="G2505">
        <v>28208</v>
      </c>
      <c r="H2505" t="s">
        <v>21</v>
      </c>
      <c r="I2505">
        <v>144</v>
      </c>
      <c r="J2505">
        <v>1</v>
      </c>
      <c r="K2505" t="s">
        <v>8935</v>
      </c>
    </row>
    <row r="2506" spans="1:11" x14ac:dyDescent="0.25">
      <c r="A2506" t="s">
        <v>8290</v>
      </c>
      <c r="B2506" t="s">
        <v>1343</v>
      </c>
      <c r="C2506" t="s">
        <v>1643</v>
      </c>
      <c r="D2506" t="s">
        <v>8291</v>
      </c>
      <c r="E2506" t="s">
        <v>14</v>
      </c>
      <c r="F2506" t="s">
        <v>15</v>
      </c>
      <c r="G2506">
        <v>28203</v>
      </c>
      <c r="H2506" t="s">
        <v>21</v>
      </c>
      <c r="I2506">
        <v>46</v>
      </c>
      <c r="J2506">
        <v>1</v>
      </c>
      <c r="K2506" t="s">
        <v>8935</v>
      </c>
    </row>
    <row r="2507" spans="1:11" x14ac:dyDescent="0.25">
      <c r="A2507" t="s">
        <v>8292</v>
      </c>
      <c r="B2507" t="s">
        <v>8293</v>
      </c>
      <c r="C2507" t="s">
        <v>8294</v>
      </c>
      <c r="D2507" t="s">
        <v>8295</v>
      </c>
      <c r="E2507" t="s">
        <v>14</v>
      </c>
      <c r="F2507" t="s">
        <v>15</v>
      </c>
      <c r="G2507">
        <v>28214</v>
      </c>
      <c r="H2507" t="s">
        <v>26</v>
      </c>
      <c r="I2507">
        <v>83</v>
      </c>
      <c r="J2507">
        <v>1</v>
      </c>
      <c r="K2507" t="s">
        <v>8935</v>
      </c>
    </row>
    <row r="2508" spans="1:11" x14ac:dyDescent="0.25">
      <c r="A2508" t="s">
        <v>8296</v>
      </c>
      <c r="B2508" t="s">
        <v>8297</v>
      </c>
      <c r="C2508" t="s">
        <v>6600</v>
      </c>
      <c r="D2508" t="s">
        <v>8298</v>
      </c>
      <c r="E2508" t="s">
        <v>14</v>
      </c>
      <c r="F2508" t="s">
        <v>15</v>
      </c>
      <c r="G2508">
        <v>28262</v>
      </c>
      <c r="H2508" t="s">
        <v>16</v>
      </c>
      <c r="I2508">
        <v>101</v>
      </c>
      <c r="J2508">
        <v>1</v>
      </c>
      <c r="K2508" t="s">
        <v>8935</v>
      </c>
    </row>
    <row r="2509" spans="1:11" x14ac:dyDescent="0.25">
      <c r="A2509" t="s">
        <v>8299</v>
      </c>
      <c r="B2509" t="s">
        <v>8300</v>
      </c>
      <c r="C2509" t="s">
        <v>8301</v>
      </c>
      <c r="D2509" t="s">
        <v>8302</v>
      </c>
      <c r="E2509" t="s">
        <v>14</v>
      </c>
      <c r="F2509" t="s">
        <v>15</v>
      </c>
      <c r="G2509">
        <v>28210</v>
      </c>
      <c r="H2509" t="s">
        <v>16</v>
      </c>
      <c r="I2509">
        <v>10</v>
      </c>
      <c r="J2509">
        <v>0</v>
      </c>
      <c r="K2509" t="s">
        <v>8923</v>
      </c>
    </row>
    <row r="2510" spans="1:11" x14ac:dyDescent="0.25">
      <c r="A2510" t="s">
        <v>8303</v>
      </c>
      <c r="B2510" t="s">
        <v>2648</v>
      </c>
      <c r="C2510" t="s">
        <v>8304</v>
      </c>
      <c r="D2510" t="s">
        <v>8305</v>
      </c>
      <c r="E2510" t="s">
        <v>14</v>
      </c>
      <c r="F2510" t="s">
        <v>15</v>
      </c>
      <c r="G2510">
        <v>28269</v>
      </c>
      <c r="H2510" t="s">
        <v>39</v>
      </c>
      <c r="I2510">
        <v>53</v>
      </c>
      <c r="J2510">
        <v>1</v>
      </c>
      <c r="K2510" t="s">
        <v>8935</v>
      </c>
    </row>
    <row r="2511" spans="1:11" x14ac:dyDescent="0.25">
      <c r="A2511" t="s">
        <v>8306</v>
      </c>
      <c r="B2511" t="s">
        <v>8307</v>
      </c>
      <c r="C2511" t="s">
        <v>8308</v>
      </c>
      <c r="D2511" t="s">
        <v>8309</v>
      </c>
      <c r="E2511" t="s">
        <v>14</v>
      </c>
      <c r="F2511" t="s">
        <v>15</v>
      </c>
      <c r="G2511">
        <v>28202</v>
      </c>
      <c r="H2511" t="s">
        <v>21</v>
      </c>
      <c r="I2511">
        <v>69</v>
      </c>
      <c r="J2511">
        <v>1</v>
      </c>
      <c r="K2511" t="s">
        <v>8935</v>
      </c>
    </row>
    <row r="2512" spans="1:11" x14ac:dyDescent="0.25">
      <c r="A2512" t="s">
        <v>8310</v>
      </c>
      <c r="B2512" t="s">
        <v>312</v>
      </c>
      <c r="C2512" t="s">
        <v>8311</v>
      </c>
      <c r="D2512" t="s">
        <v>3276</v>
      </c>
      <c r="E2512" t="s">
        <v>14</v>
      </c>
      <c r="F2512" t="s">
        <v>15</v>
      </c>
      <c r="G2512">
        <v>28277</v>
      </c>
      <c r="H2512" t="s">
        <v>16</v>
      </c>
      <c r="I2512">
        <v>3</v>
      </c>
      <c r="J2512">
        <v>0</v>
      </c>
      <c r="K2512" t="s">
        <v>8925</v>
      </c>
    </row>
    <row r="2513" spans="1:11" x14ac:dyDescent="0.25">
      <c r="A2513" t="s">
        <v>8312</v>
      </c>
      <c r="B2513" t="s">
        <v>8313</v>
      </c>
      <c r="C2513" t="s">
        <v>638</v>
      </c>
      <c r="D2513" t="s">
        <v>8314</v>
      </c>
      <c r="E2513" t="s">
        <v>14</v>
      </c>
      <c r="F2513" t="s">
        <v>15</v>
      </c>
      <c r="G2513">
        <v>28226</v>
      </c>
      <c r="H2513" t="s">
        <v>48</v>
      </c>
      <c r="I2513">
        <v>77</v>
      </c>
      <c r="J2513">
        <v>1</v>
      </c>
      <c r="K2513" t="s">
        <v>8935</v>
      </c>
    </row>
    <row r="2514" spans="1:11" x14ac:dyDescent="0.25">
      <c r="A2514" t="s">
        <v>8315</v>
      </c>
      <c r="B2514" t="s">
        <v>8316</v>
      </c>
      <c r="C2514" t="s">
        <v>8317</v>
      </c>
      <c r="D2514" t="s">
        <v>1931</v>
      </c>
      <c r="E2514" t="s">
        <v>14</v>
      </c>
      <c r="F2514" t="s">
        <v>15</v>
      </c>
      <c r="G2514">
        <v>28209</v>
      </c>
      <c r="H2514" t="s">
        <v>26</v>
      </c>
      <c r="I2514">
        <v>5</v>
      </c>
      <c r="J2514">
        <v>0</v>
      </c>
      <c r="K2514" t="s">
        <v>8935</v>
      </c>
    </row>
    <row r="2515" spans="1:11" x14ac:dyDescent="0.25">
      <c r="A2515" t="s">
        <v>8318</v>
      </c>
      <c r="B2515" t="s">
        <v>8319</v>
      </c>
      <c r="C2515" t="s">
        <v>8320</v>
      </c>
      <c r="D2515" t="s">
        <v>8321</v>
      </c>
      <c r="E2515" t="s">
        <v>14</v>
      </c>
      <c r="F2515" t="s">
        <v>15</v>
      </c>
      <c r="G2515">
        <v>28214</v>
      </c>
      <c r="H2515" t="s">
        <v>16</v>
      </c>
      <c r="I2515">
        <v>285</v>
      </c>
      <c r="J2515">
        <v>1</v>
      </c>
      <c r="K2515" t="s">
        <v>8925</v>
      </c>
    </row>
    <row r="2516" spans="1:11" x14ac:dyDescent="0.25">
      <c r="A2516" t="s">
        <v>8322</v>
      </c>
      <c r="B2516" t="s">
        <v>316</v>
      </c>
      <c r="C2516" t="s">
        <v>317</v>
      </c>
      <c r="D2516" t="s">
        <v>8323</v>
      </c>
      <c r="E2516" t="s">
        <v>14</v>
      </c>
      <c r="F2516" t="s">
        <v>15</v>
      </c>
      <c r="G2516">
        <v>28205</v>
      </c>
      <c r="H2516" t="s">
        <v>101</v>
      </c>
      <c r="I2516">
        <v>6</v>
      </c>
      <c r="J2516">
        <v>1</v>
      </c>
      <c r="K2516" t="s">
        <v>8935</v>
      </c>
    </row>
    <row r="2517" spans="1:11" x14ac:dyDescent="0.25">
      <c r="A2517" t="s">
        <v>8324</v>
      </c>
      <c r="B2517" t="s">
        <v>8325</v>
      </c>
      <c r="C2517" t="s">
        <v>735</v>
      </c>
      <c r="D2517" t="s">
        <v>3875</v>
      </c>
      <c r="E2517" t="s">
        <v>14</v>
      </c>
      <c r="F2517" t="s">
        <v>15</v>
      </c>
      <c r="G2517">
        <v>28216</v>
      </c>
      <c r="H2517" t="s">
        <v>16</v>
      </c>
      <c r="I2517">
        <v>12</v>
      </c>
      <c r="J2517">
        <v>1</v>
      </c>
      <c r="K2517" t="s">
        <v>8935</v>
      </c>
    </row>
    <row r="2518" spans="1:11" x14ac:dyDescent="0.25">
      <c r="A2518" t="s">
        <v>8326</v>
      </c>
      <c r="B2518" t="s">
        <v>8327</v>
      </c>
      <c r="C2518" t="s">
        <v>8328</v>
      </c>
      <c r="D2518" t="s">
        <v>8329</v>
      </c>
      <c r="E2518" t="s">
        <v>14</v>
      </c>
      <c r="F2518" t="s">
        <v>15</v>
      </c>
      <c r="G2518">
        <v>28226</v>
      </c>
      <c r="H2518" t="s">
        <v>21</v>
      </c>
      <c r="I2518">
        <v>5</v>
      </c>
      <c r="J2518">
        <v>0</v>
      </c>
      <c r="K2518" t="s">
        <v>8922</v>
      </c>
    </row>
    <row r="2519" spans="1:11" x14ac:dyDescent="0.25">
      <c r="A2519" t="s">
        <v>8330</v>
      </c>
      <c r="B2519" t="s">
        <v>8331</v>
      </c>
      <c r="C2519" t="s">
        <v>2818</v>
      </c>
      <c r="D2519" t="s">
        <v>8332</v>
      </c>
      <c r="E2519" t="s">
        <v>14</v>
      </c>
      <c r="F2519" t="s">
        <v>15</v>
      </c>
      <c r="G2519">
        <v>28217</v>
      </c>
      <c r="H2519" t="s">
        <v>21</v>
      </c>
      <c r="I2519">
        <v>67</v>
      </c>
      <c r="J2519">
        <v>1</v>
      </c>
      <c r="K2519" t="s">
        <v>8929</v>
      </c>
    </row>
    <row r="2520" spans="1:11" x14ac:dyDescent="0.25">
      <c r="A2520" t="s">
        <v>8333</v>
      </c>
      <c r="B2520" t="s">
        <v>8334</v>
      </c>
      <c r="C2520" t="s">
        <v>8335</v>
      </c>
      <c r="E2520" t="s">
        <v>14</v>
      </c>
      <c r="F2520" t="s">
        <v>15</v>
      </c>
      <c r="G2520">
        <v>28202</v>
      </c>
      <c r="H2520" t="s">
        <v>39</v>
      </c>
      <c r="I2520">
        <v>3</v>
      </c>
      <c r="J2520">
        <v>1</v>
      </c>
      <c r="K2520" t="s">
        <v>8921</v>
      </c>
    </row>
    <row r="2521" spans="1:11" x14ac:dyDescent="0.25">
      <c r="A2521" t="s">
        <v>8336</v>
      </c>
      <c r="B2521" t="s">
        <v>8337</v>
      </c>
      <c r="C2521" t="s">
        <v>8338</v>
      </c>
      <c r="D2521" t="s">
        <v>8339</v>
      </c>
      <c r="E2521" t="s">
        <v>14</v>
      </c>
      <c r="F2521" t="s">
        <v>15</v>
      </c>
      <c r="G2521">
        <v>28206</v>
      </c>
      <c r="H2521" t="s">
        <v>21</v>
      </c>
      <c r="I2521">
        <v>36</v>
      </c>
      <c r="J2521">
        <v>1</v>
      </c>
      <c r="K2521" t="s">
        <v>8935</v>
      </c>
    </row>
    <row r="2522" spans="1:11" x14ac:dyDescent="0.25">
      <c r="A2522" t="s">
        <v>8340</v>
      </c>
      <c r="B2522" t="s">
        <v>8341</v>
      </c>
      <c r="C2522" t="s">
        <v>8342</v>
      </c>
      <c r="D2522" t="s">
        <v>8343</v>
      </c>
      <c r="E2522" t="s">
        <v>14</v>
      </c>
      <c r="F2522" t="s">
        <v>15</v>
      </c>
      <c r="G2522">
        <v>28213</v>
      </c>
      <c r="H2522" t="s">
        <v>26</v>
      </c>
      <c r="I2522">
        <v>12</v>
      </c>
      <c r="J2522">
        <v>0</v>
      </c>
      <c r="K2522" t="s">
        <v>8923</v>
      </c>
    </row>
    <row r="2523" spans="1:11" x14ac:dyDescent="0.25">
      <c r="A2523" t="s">
        <v>8344</v>
      </c>
      <c r="B2523" t="s">
        <v>8345</v>
      </c>
      <c r="C2523" t="s">
        <v>7564</v>
      </c>
      <c r="D2523" t="s">
        <v>8346</v>
      </c>
      <c r="E2523" t="s">
        <v>14</v>
      </c>
      <c r="F2523" t="s">
        <v>15</v>
      </c>
      <c r="G2523">
        <v>28270</v>
      </c>
      <c r="H2523" t="s">
        <v>26</v>
      </c>
      <c r="I2523">
        <v>21</v>
      </c>
      <c r="J2523">
        <v>1</v>
      </c>
      <c r="K2523" t="s">
        <v>8935</v>
      </c>
    </row>
    <row r="2524" spans="1:11" x14ac:dyDescent="0.25">
      <c r="A2524" t="s">
        <v>8347</v>
      </c>
      <c r="B2524" t="s">
        <v>8348</v>
      </c>
      <c r="C2524" t="s">
        <v>8349</v>
      </c>
      <c r="D2524" t="s">
        <v>8350</v>
      </c>
      <c r="E2524" t="s">
        <v>14</v>
      </c>
      <c r="F2524" t="s">
        <v>15</v>
      </c>
      <c r="G2524">
        <v>28226</v>
      </c>
      <c r="H2524" t="s">
        <v>16</v>
      </c>
      <c r="I2524">
        <v>74</v>
      </c>
      <c r="J2524">
        <v>1</v>
      </c>
      <c r="K2524" t="s">
        <v>8935</v>
      </c>
    </row>
    <row r="2525" spans="1:11" x14ac:dyDescent="0.25">
      <c r="A2525" t="s">
        <v>8351</v>
      </c>
      <c r="B2525" t="s">
        <v>8352</v>
      </c>
      <c r="C2525" t="s">
        <v>8353</v>
      </c>
      <c r="D2525" t="s">
        <v>8354</v>
      </c>
      <c r="E2525" t="s">
        <v>14</v>
      </c>
      <c r="F2525" t="s">
        <v>15</v>
      </c>
      <c r="G2525">
        <v>28205</v>
      </c>
      <c r="H2525" t="s">
        <v>16</v>
      </c>
      <c r="I2525">
        <v>49</v>
      </c>
      <c r="J2525">
        <v>1</v>
      </c>
      <c r="K2525" t="s">
        <v>8935</v>
      </c>
    </row>
    <row r="2526" spans="1:11" x14ac:dyDescent="0.25">
      <c r="A2526" t="s">
        <v>8355</v>
      </c>
      <c r="B2526" t="s">
        <v>279</v>
      </c>
      <c r="C2526" t="s">
        <v>8356</v>
      </c>
      <c r="D2526" t="s">
        <v>8357</v>
      </c>
      <c r="E2526" t="s">
        <v>14</v>
      </c>
      <c r="F2526" t="s">
        <v>15</v>
      </c>
      <c r="G2526">
        <v>28262</v>
      </c>
      <c r="H2526" t="s">
        <v>26</v>
      </c>
      <c r="I2526">
        <v>11</v>
      </c>
      <c r="J2526">
        <v>1</v>
      </c>
      <c r="K2526" t="s">
        <v>8926</v>
      </c>
    </row>
    <row r="2527" spans="1:11" x14ac:dyDescent="0.25">
      <c r="A2527" t="s">
        <v>8358</v>
      </c>
      <c r="B2527" t="s">
        <v>8359</v>
      </c>
      <c r="C2527" t="s">
        <v>8360</v>
      </c>
      <c r="D2527" t="s">
        <v>1322</v>
      </c>
      <c r="E2527" t="s">
        <v>14</v>
      </c>
      <c r="F2527" t="s">
        <v>15</v>
      </c>
      <c r="G2527">
        <v>28277</v>
      </c>
      <c r="H2527" t="s">
        <v>16</v>
      </c>
      <c r="I2527">
        <v>88</v>
      </c>
      <c r="J2527">
        <v>1</v>
      </c>
      <c r="K2527" t="s">
        <v>8935</v>
      </c>
    </row>
    <row r="2528" spans="1:11" x14ac:dyDescent="0.25">
      <c r="A2528" t="s">
        <v>8361</v>
      </c>
      <c r="B2528" t="s">
        <v>391</v>
      </c>
      <c r="C2528" t="s">
        <v>364</v>
      </c>
      <c r="D2528" t="s">
        <v>8362</v>
      </c>
      <c r="E2528" t="s">
        <v>14</v>
      </c>
      <c r="F2528" t="s">
        <v>15</v>
      </c>
      <c r="G2528">
        <v>28269</v>
      </c>
      <c r="H2528" t="s">
        <v>101</v>
      </c>
      <c r="I2528">
        <v>4</v>
      </c>
      <c r="J2528">
        <v>1</v>
      </c>
      <c r="K2528" t="s">
        <v>8935</v>
      </c>
    </row>
    <row r="2529" spans="1:11" x14ac:dyDescent="0.25">
      <c r="A2529" t="s">
        <v>8363</v>
      </c>
      <c r="B2529" t="s">
        <v>8364</v>
      </c>
      <c r="C2529" t="s">
        <v>1873</v>
      </c>
      <c r="D2529" t="s">
        <v>8365</v>
      </c>
      <c r="E2529" t="s">
        <v>14</v>
      </c>
      <c r="F2529" t="s">
        <v>15</v>
      </c>
      <c r="G2529">
        <v>28205</v>
      </c>
      <c r="H2529" t="s">
        <v>21</v>
      </c>
      <c r="I2529">
        <v>66</v>
      </c>
      <c r="J2529">
        <v>1</v>
      </c>
      <c r="K2529" t="s">
        <v>8935</v>
      </c>
    </row>
    <row r="2530" spans="1:11" x14ac:dyDescent="0.25">
      <c r="A2530" t="s">
        <v>8366</v>
      </c>
      <c r="B2530" t="s">
        <v>8367</v>
      </c>
      <c r="C2530" t="s">
        <v>8368</v>
      </c>
      <c r="D2530" t="s">
        <v>8369</v>
      </c>
      <c r="E2530" t="s">
        <v>14</v>
      </c>
      <c r="F2530" t="s">
        <v>15</v>
      </c>
      <c r="G2530">
        <v>28203</v>
      </c>
      <c r="H2530" t="s">
        <v>21</v>
      </c>
      <c r="I2530">
        <v>282</v>
      </c>
      <c r="J2530">
        <v>1</v>
      </c>
      <c r="K2530" t="s">
        <v>8935</v>
      </c>
    </row>
    <row r="2531" spans="1:11" x14ac:dyDescent="0.25">
      <c r="A2531" t="s">
        <v>8370</v>
      </c>
      <c r="B2531" t="s">
        <v>7326</v>
      </c>
      <c r="C2531" t="s">
        <v>8371</v>
      </c>
      <c r="D2531" t="s">
        <v>8372</v>
      </c>
      <c r="E2531" t="s">
        <v>14</v>
      </c>
      <c r="F2531" t="s">
        <v>15</v>
      </c>
      <c r="G2531">
        <v>28277</v>
      </c>
      <c r="H2531" t="s">
        <v>26</v>
      </c>
      <c r="I2531">
        <v>10</v>
      </c>
      <c r="J2531">
        <v>0</v>
      </c>
      <c r="K2531" t="s">
        <v>8935</v>
      </c>
    </row>
    <row r="2532" spans="1:11" x14ac:dyDescent="0.25">
      <c r="A2532" t="s">
        <v>8373</v>
      </c>
      <c r="B2532" t="s">
        <v>8374</v>
      </c>
      <c r="C2532" t="s">
        <v>8375</v>
      </c>
      <c r="D2532" t="s">
        <v>8376</v>
      </c>
      <c r="E2532" t="s">
        <v>14</v>
      </c>
      <c r="F2532" t="s">
        <v>15</v>
      </c>
      <c r="G2532">
        <v>28205</v>
      </c>
      <c r="H2532" t="s">
        <v>16</v>
      </c>
      <c r="I2532">
        <v>48</v>
      </c>
      <c r="J2532">
        <v>1</v>
      </c>
      <c r="K2532" t="s">
        <v>8921</v>
      </c>
    </row>
    <row r="2533" spans="1:11" x14ac:dyDescent="0.25">
      <c r="A2533" t="s">
        <v>8377</v>
      </c>
      <c r="B2533" t="s">
        <v>8378</v>
      </c>
      <c r="C2533" t="s">
        <v>8379</v>
      </c>
      <c r="D2533" t="s">
        <v>5015</v>
      </c>
      <c r="E2533" t="s">
        <v>14</v>
      </c>
      <c r="F2533" t="s">
        <v>15</v>
      </c>
      <c r="G2533">
        <v>28277</v>
      </c>
      <c r="H2533" t="s">
        <v>21</v>
      </c>
      <c r="I2533">
        <v>66</v>
      </c>
      <c r="J2533">
        <v>0</v>
      </c>
      <c r="K2533" t="s">
        <v>8935</v>
      </c>
    </row>
    <row r="2534" spans="1:11" x14ac:dyDescent="0.25">
      <c r="A2534" t="s">
        <v>8380</v>
      </c>
      <c r="B2534" t="s">
        <v>4041</v>
      </c>
      <c r="C2534" t="s">
        <v>1094</v>
      </c>
      <c r="D2534" t="s">
        <v>8381</v>
      </c>
      <c r="E2534" t="s">
        <v>14</v>
      </c>
      <c r="F2534" t="s">
        <v>15</v>
      </c>
      <c r="G2534">
        <v>28208</v>
      </c>
      <c r="H2534" t="s">
        <v>101</v>
      </c>
      <c r="I2534">
        <v>12</v>
      </c>
      <c r="J2534">
        <v>1</v>
      </c>
      <c r="K2534" t="s">
        <v>8925</v>
      </c>
    </row>
    <row r="2535" spans="1:11" x14ac:dyDescent="0.25">
      <c r="A2535" t="s">
        <v>8382</v>
      </c>
      <c r="B2535" t="s">
        <v>8383</v>
      </c>
      <c r="C2535" t="s">
        <v>8384</v>
      </c>
      <c r="D2535" t="s">
        <v>8385</v>
      </c>
      <c r="E2535" t="s">
        <v>14</v>
      </c>
      <c r="F2535" t="s">
        <v>15</v>
      </c>
      <c r="G2535">
        <v>28209</v>
      </c>
      <c r="H2535" t="s">
        <v>26</v>
      </c>
      <c r="I2535">
        <v>70</v>
      </c>
      <c r="J2535">
        <v>0</v>
      </c>
      <c r="K2535" t="s">
        <v>8935</v>
      </c>
    </row>
    <row r="2536" spans="1:11" x14ac:dyDescent="0.25">
      <c r="A2536" t="s">
        <v>8386</v>
      </c>
      <c r="B2536" t="s">
        <v>8387</v>
      </c>
      <c r="C2536" t="s">
        <v>715</v>
      </c>
      <c r="D2536" t="s">
        <v>8388</v>
      </c>
      <c r="E2536" t="s">
        <v>14</v>
      </c>
      <c r="F2536" t="s">
        <v>15</v>
      </c>
      <c r="G2536">
        <v>28210</v>
      </c>
      <c r="H2536" t="s">
        <v>21</v>
      </c>
      <c r="I2536">
        <v>21</v>
      </c>
      <c r="J2536">
        <v>1</v>
      </c>
      <c r="K2536" t="s">
        <v>8925</v>
      </c>
    </row>
    <row r="2537" spans="1:11" x14ac:dyDescent="0.25">
      <c r="A2537" t="s">
        <v>8389</v>
      </c>
      <c r="B2537" t="s">
        <v>610</v>
      </c>
      <c r="C2537" t="s">
        <v>2439</v>
      </c>
      <c r="D2537" t="s">
        <v>8390</v>
      </c>
      <c r="E2537" t="s">
        <v>14</v>
      </c>
      <c r="F2537" t="s">
        <v>15</v>
      </c>
      <c r="G2537">
        <v>28203</v>
      </c>
      <c r="H2537" t="s">
        <v>21</v>
      </c>
      <c r="I2537">
        <v>268</v>
      </c>
      <c r="J2537">
        <v>0</v>
      </c>
      <c r="K2537" t="s">
        <v>8925</v>
      </c>
    </row>
    <row r="2538" spans="1:11" x14ac:dyDescent="0.25">
      <c r="A2538" t="s">
        <v>8391</v>
      </c>
      <c r="B2538" t="s">
        <v>1093</v>
      </c>
      <c r="C2538" t="s">
        <v>1094</v>
      </c>
      <c r="D2538" t="s">
        <v>8392</v>
      </c>
      <c r="E2538" t="s">
        <v>14</v>
      </c>
      <c r="F2538" t="s">
        <v>15</v>
      </c>
      <c r="G2538">
        <v>28270</v>
      </c>
      <c r="H2538" t="s">
        <v>48</v>
      </c>
      <c r="I2538">
        <v>27</v>
      </c>
      <c r="J2538">
        <v>1</v>
      </c>
      <c r="K2538" t="s">
        <v>8925</v>
      </c>
    </row>
    <row r="2539" spans="1:11" x14ac:dyDescent="0.25">
      <c r="A2539" t="s">
        <v>8393</v>
      </c>
      <c r="B2539" t="s">
        <v>8394</v>
      </c>
      <c r="C2539" t="s">
        <v>8395</v>
      </c>
      <c r="D2539" t="s">
        <v>8396</v>
      </c>
      <c r="E2539" t="s">
        <v>14</v>
      </c>
      <c r="F2539" t="s">
        <v>15</v>
      </c>
      <c r="G2539">
        <v>28210</v>
      </c>
      <c r="H2539" t="s">
        <v>21</v>
      </c>
      <c r="I2539">
        <v>67</v>
      </c>
      <c r="J2539">
        <v>1</v>
      </c>
      <c r="K2539" t="s">
        <v>8922</v>
      </c>
    </row>
    <row r="2540" spans="1:11" x14ac:dyDescent="0.25">
      <c r="A2540" t="s">
        <v>8397</v>
      </c>
      <c r="B2540" t="s">
        <v>8398</v>
      </c>
      <c r="C2540" t="s">
        <v>8399</v>
      </c>
      <c r="D2540" t="s">
        <v>8400</v>
      </c>
      <c r="E2540" t="s">
        <v>14</v>
      </c>
      <c r="F2540" t="s">
        <v>15</v>
      </c>
      <c r="G2540">
        <v>28215</v>
      </c>
      <c r="H2540" t="s">
        <v>48</v>
      </c>
      <c r="I2540">
        <v>3</v>
      </c>
      <c r="J2540">
        <v>1</v>
      </c>
      <c r="K2540" t="s">
        <v>8926</v>
      </c>
    </row>
    <row r="2541" spans="1:11" x14ac:dyDescent="0.25">
      <c r="A2541" t="s">
        <v>8401</v>
      </c>
      <c r="B2541" t="s">
        <v>2757</v>
      </c>
      <c r="C2541" t="s">
        <v>364</v>
      </c>
      <c r="D2541" t="s">
        <v>8402</v>
      </c>
      <c r="E2541" t="s">
        <v>14</v>
      </c>
      <c r="F2541" t="s">
        <v>15</v>
      </c>
      <c r="G2541">
        <v>28227</v>
      </c>
      <c r="H2541" t="s">
        <v>101</v>
      </c>
      <c r="I2541">
        <v>4</v>
      </c>
      <c r="J2541">
        <v>1</v>
      </c>
      <c r="K2541" t="s">
        <v>8935</v>
      </c>
    </row>
    <row r="2542" spans="1:11" x14ac:dyDescent="0.25">
      <c r="A2542" t="s">
        <v>8403</v>
      </c>
      <c r="B2542" t="s">
        <v>8404</v>
      </c>
      <c r="C2542" t="s">
        <v>8405</v>
      </c>
      <c r="D2542" t="s">
        <v>8406</v>
      </c>
      <c r="E2542" t="s">
        <v>14</v>
      </c>
      <c r="F2542" t="s">
        <v>15</v>
      </c>
      <c r="G2542">
        <v>28202</v>
      </c>
      <c r="H2542" t="s">
        <v>21</v>
      </c>
      <c r="I2542">
        <v>104</v>
      </c>
      <c r="J2542">
        <v>0</v>
      </c>
      <c r="K2542" t="s">
        <v>8935</v>
      </c>
    </row>
    <row r="2543" spans="1:11" x14ac:dyDescent="0.25">
      <c r="A2543" t="s">
        <v>8407</v>
      </c>
      <c r="B2543" t="s">
        <v>8408</v>
      </c>
      <c r="C2543" t="s">
        <v>8409</v>
      </c>
      <c r="D2543" t="s">
        <v>8410</v>
      </c>
      <c r="E2543" t="s">
        <v>14</v>
      </c>
      <c r="F2543" t="s">
        <v>15</v>
      </c>
      <c r="G2543">
        <v>28202</v>
      </c>
      <c r="H2543" t="s">
        <v>26</v>
      </c>
      <c r="I2543">
        <v>78</v>
      </c>
      <c r="J2543">
        <v>1</v>
      </c>
      <c r="K2543" t="s">
        <v>8937</v>
      </c>
    </row>
    <row r="2544" spans="1:11" x14ac:dyDescent="0.25">
      <c r="A2544" t="s">
        <v>8411</v>
      </c>
      <c r="B2544" t="s">
        <v>8412</v>
      </c>
      <c r="C2544" t="s">
        <v>8413</v>
      </c>
      <c r="D2544" t="s">
        <v>1006</v>
      </c>
      <c r="E2544" t="s">
        <v>14</v>
      </c>
      <c r="F2544" t="s">
        <v>15</v>
      </c>
      <c r="G2544">
        <v>28205</v>
      </c>
      <c r="H2544" t="s">
        <v>21</v>
      </c>
      <c r="I2544">
        <v>62</v>
      </c>
      <c r="J2544">
        <v>0</v>
      </c>
      <c r="K2544" t="s">
        <v>8935</v>
      </c>
    </row>
    <row r="2545" spans="1:11" x14ac:dyDescent="0.25">
      <c r="A2545" t="s">
        <v>8414</v>
      </c>
      <c r="B2545" t="s">
        <v>391</v>
      </c>
      <c r="C2545" t="s">
        <v>364</v>
      </c>
      <c r="D2545" t="s">
        <v>8415</v>
      </c>
      <c r="E2545" t="s">
        <v>14</v>
      </c>
      <c r="F2545" t="s">
        <v>15</v>
      </c>
      <c r="G2545">
        <v>28216</v>
      </c>
      <c r="H2545" t="s">
        <v>48</v>
      </c>
      <c r="I2545">
        <v>5</v>
      </c>
      <c r="J2545">
        <v>1</v>
      </c>
      <c r="K2545" t="s">
        <v>8935</v>
      </c>
    </row>
    <row r="2546" spans="1:11" x14ac:dyDescent="0.25">
      <c r="A2546" t="s">
        <v>8416</v>
      </c>
      <c r="B2546" t="s">
        <v>8417</v>
      </c>
      <c r="C2546" t="s">
        <v>8418</v>
      </c>
      <c r="D2546" t="s">
        <v>7798</v>
      </c>
      <c r="E2546" t="s">
        <v>14</v>
      </c>
      <c r="F2546" t="s">
        <v>15</v>
      </c>
      <c r="G2546">
        <v>28213</v>
      </c>
      <c r="H2546" t="s">
        <v>16</v>
      </c>
      <c r="I2546">
        <v>5</v>
      </c>
      <c r="J2546">
        <v>0</v>
      </c>
      <c r="K2546" t="s">
        <v>8936</v>
      </c>
    </row>
    <row r="2547" spans="1:11" x14ac:dyDescent="0.25">
      <c r="A2547" t="s">
        <v>8419</v>
      </c>
      <c r="B2547" t="s">
        <v>8420</v>
      </c>
      <c r="C2547" t="s">
        <v>8421</v>
      </c>
      <c r="D2547" t="s">
        <v>8422</v>
      </c>
      <c r="E2547" t="s">
        <v>14</v>
      </c>
      <c r="F2547" t="s">
        <v>15</v>
      </c>
      <c r="G2547">
        <v>28273</v>
      </c>
      <c r="H2547" t="s">
        <v>48</v>
      </c>
      <c r="I2547">
        <v>3</v>
      </c>
      <c r="J2547">
        <v>0</v>
      </c>
      <c r="K2547" t="s">
        <v>8935</v>
      </c>
    </row>
    <row r="2548" spans="1:11" x14ac:dyDescent="0.25">
      <c r="A2548" t="s">
        <v>8423</v>
      </c>
      <c r="B2548" t="s">
        <v>8424</v>
      </c>
      <c r="C2548" t="s">
        <v>8425</v>
      </c>
      <c r="D2548" t="s">
        <v>8426</v>
      </c>
      <c r="E2548" t="s">
        <v>14</v>
      </c>
      <c r="F2548" t="s">
        <v>15</v>
      </c>
      <c r="G2548">
        <v>28205</v>
      </c>
      <c r="H2548" t="s">
        <v>39</v>
      </c>
      <c r="I2548">
        <v>90</v>
      </c>
      <c r="J2548">
        <v>0</v>
      </c>
      <c r="K2548" t="s">
        <v>8935</v>
      </c>
    </row>
    <row r="2549" spans="1:11" x14ac:dyDescent="0.25">
      <c r="A2549" t="s">
        <v>8427</v>
      </c>
      <c r="B2549" t="s">
        <v>1301</v>
      </c>
      <c r="C2549" t="s">
        <v>8428</v>
      </c>
      <c r="D2549" t="s">
        <v>8429</v>
      </c>
      <c r="E2549" t="s">
        <v>14</v>
      </c>
      <c r="F2549" t="s">
        <v>15</v>
      </c>
      <c r="G2549">
        <v>28277</v>
      </c>
      <c r="H2549" t="s">
        <v>48</v>
      </c>
      <c r="I2549">
        <v>7</v>
      </c>
      <c r="J2549">
        <v>0</v>
      </c>
      <c r="K2549" t="s">
        <v>8935</v>
      </c>
    </row>
    <row r="2550" spans="1:11" x14ac:dyDescent="0.25">
      <c r="A2550" t="s">
        <v>8430</v>
      </c>
      <c r="B2550" t="s">
        <v>1921</v>
      </c>
      <c r="C2550" t="s">
        <v>8431</v>
      </c>
      <c r="D2550" t="s">
        <v>1946</v>
      </c>
      <c r="E2550" t="s">
        <v>14</v>
      </c>
      <c r="F2550" t="s">
        <v>15</v>
      </c>
      <c r="G2550">
        <v>28202</v>
      </c>
      <c r="H2550" t="s">
        <v>48</v>
      </c>
      <c r="I2550">
        <v>5</v>
      </c>
      <c r="J2550">
        <v>0</v>
      </c>
      <c r="K2550" t="s">
        <v>8935</v>
      </c>
    </row>
    <row r="2551" spans="1:11" x14ac:dyDescent="0.25">
      <c r="A2551" t="s">
        <v>8432</v>
      </c>
      <c r="B2551" t="s">
        <v>312</v>
      </c>
      <c r="C2551" t="s">
        <v>8433</v>
      </c>
      <c r="D2551" t="s">
        <v>5812</v>
      </c>
      <c r="E2551" t="s">
        <v>14</v>
      </c>
      <c r="F2551" t="s">
        <v>15</v>
      </c>
      <c r="G2551">
        <v>28277</v>
      </c>
      <c r="H2551" t="s">
        <v>26</v>
      </c>
      <c r="I2551">
        <v>39</v>
      </c>
      <c r="J2551">
        <v>0</v>
      </c>
      <c r="K2551" t="s">
        <v>8925</v>
      </c>
    </row>
    <row r="2552" spans="1:11" x14ac:dyDescent="0.25">
      <c r="A2552" t="s">
        <v>8434</v>
      </c>
      <c r="B2552" t="s">
        <v>8435</v>
      </c>
      <c r="C2552" t="s">
        <v>321</v>
      </c>
      <c r="D2552" t="s">
        <v>8436</v>
      </c>
      <c r="E2552" t="s">
        <v>14</v>
      </c>
      <c r="F2552" t="s">
        <v>15</v>
      </c>
      <c r="G2552">
        <v>28226</v>
      </c>
      <c r="H2552" t="s">
        <v>101</v>
      </c>
      <c r="I2552">
        <v>13</v>
      </c>
      <c r="J2552">
        <v>1</v>
      </c>
      <c r="K2552" t="s">
        <v>8935</v>
      </c>
    </row>
    <row r="2553" spans="1:11" x14ac:dyDescent="0.25">
      <c r="A2553" t="s">
        <v>8437</v>
      </c>
      <c r="B2553" t="s">
        <v>139</v>
      </c>
      <c r="C2553" t="s">
        <v>8438</v>
      </c>
      <c r="D2553" t="s">
        <v>8439</v>
      </c>
      <c r="E2553" t="s">
        <v>14</v>
      </c>
      <c r="F2553" t="s">
        <v>15</v>
      </c>
      <c r="G2553">
        <v>28227</v>
      </c>
      <c r="H2553" t="s">
        <v>101</v>
      </c>
      <c r="I2553">
        <v>4</v>
      </c>
      <c r="J2553">
        <v>0</v>
      </c>
      <c r="K2553" t="s">
        <v>8926</v>
      </c>
    </row>
    <row r="2554" spans="1:11" x14ac:dyDescent="0.25">
      <c r="A2554" t="s">
        <v>8440</v>
      </c>
      <c r="B2554" t="s">
        <v>8441</v>
      </c>
      <c r="C2554" t="s">
        <v>8442</v>
      </c>
      <c r="D2554" t="s">
        <v>8443</v>
      </c>
      <c r="E2554" t="s">
        <v>14</v>
      </c>
      <c r="F2554" t="s">
        <v>15</v>
      </c>
      <c r="G2554">
        <v>28202</v>
      </c>
      <c r="H2554" t="s">
        <v>39</v>
      </c>
      <c r="I2554">
        <v>29</v>
      </c>
      <c r="J2554">
        <v>1</v>
      </c>
      <c r="K2554" t="s">
        <v>8935</v>
      </c>
    </row>
    <row r="2555" spans="1:11" x14ac:dyDescent="0.25">
      <c r="A2555" t="s">
        <v>8444</v>
      </c>
      <c r="B2555" t="s">
        <v>4285</v>
      </c>
      <c r="C2555" t="s">
        <v>8445</v>
      </c>
      <c r="D2555" t="s">
        <v>524</v>
      </c>
      <c r="E2555" t="s">
        <v>14</v>
      </c>
      <c r="F2555" t="s">
        <v>15</v>
      </c>
      <c r="G2555">
        <v>28273</v>
      </c>
      <c r="H2555" t="s">
        <v>21</v>
      </c>
      <c r="I2555">
        <v>9</v>
      </c>
      <c r="J2555">
        <v>0</v>
      </c>
      <c r="K2555" t="s">
        <v>8933</v>
      </c>
    </row>
    <row r="2556" spans="1:11" x14ac:dyDescent="0.25">
      <c r="A2556" t="s">
        <v>8446</v>
      </c>
      <c r="B2556" t="s">
        <v>8447</v>
      </c>
      <c r="C2556" t="s">
        <v>8448</v>
      </c>
      <c r="D2556" t="s">
        <v>4864</v>
      </c>
      <c r="E2556" t="s">
        <v>14</v>
      </c>
      <c r="F2556" t="s">
        <v>15</v>
      </c>
      <c r="G2556">
        <v>28203</v>
      </c>
      <c r="H2556" t="s">
        <v>16</v>
      </c>
      <c r="I2556">
        <v>47</v>
      </c>
      <c r="J2556">
        <v>0</v>
      </c>
      <c r="K2556" t="s">
        <v>8935</v>
      </c>
    </row>
    <row r="2557" spans="1:11" x14ac:dyDescent="0.25">
      <c r="A2557" t="s">
        <v>8449</v>
      </c>
      <c r="B2557" t="s">
        <v>8450</v>
      </c>
      <c r="C2557" t="s">
        <v>8451</v>
      </c>
      <c r="D2557" t="s">
        <v>8452</v>
      </c>
      <c r="E2557" t="s">
        <v>14</v>
      </c>
      <c r="F2557" t="s">
        <v>15</v>
      </c>
      <c r="G2557">
        <v>28202</v>
      </c>
      <c r="H2557" t="s">
        <v>16</v>
      </c>
      <c r="I2557">
        <v>475</v>
      </c>
      <c r="J2557">
        <v>1</v>
      </c>
      <c r="K2557" t="s">
        <v>8935</v>
      </c>
    </row>
    <row r="2558" spans="1:11" x14ac:dyDescent="0.25">
      <c r="A2558" t="s">
        <v>8453</v>
      </c>
      <c r="B2558" t="s">
        <v>967</v>
      </c>
      <c r="C2558" t="s">
        <v>601</v>
      </c>
      <c r="D2558" t="s">
        <v>8454</v>
      </c>
      <c r="E2558" t="s">
        <v>14</v>
      </c>
      <c r="F2558" t="s">
        <v>15</v>
      </c>
      <c r="G2558">
        <v>28277</v>
      </c>
      <c r="H2558" t="s">
        <v>26</v>
      </c>
      <c r="I2558">
        <v>25</v>
      </c>
      <c r="J2558">
        <v>0</v>
      </c>
      <c r="K2558" t="s">
        <v>8935</v>
      </c>
    </row>
    <row r="2559" spans="1:11" x14ac:dyDescent="0.25">
      <c r="A2559" t="s">
        <v>8455</v>
      </c>
      <c r="B2559" t="s">
        <v>254</v>
      </c>
      <c r="C2559" t="s">
        <v>193</v>
      </c>
      <c r="D2559" t="s">
        <v>8456</v>
      </c>
      <c r="E2559" t="s">
        <v>14</v>
      </c>
      <c r="F2559" t="s">
        <v>15</v>
      </c>
      <c r="G2559">
        <v>28212</v>
      </c>
      <c r="H2559" t="s">
        <v>48</v>
      </c>
      <c r="I2559">
        <v>3</v>
      </c>
      <c r="J2559">
        <v>0</v>
      </c>
      <c r="K2559" t="s">
        <v>8935</v>
      </c>
    </row>
    <row r="2560" spans="1:11" x14ac:dyDescent="0.25">
      <c r="A2560" t="s">
        <v>8457</v>
      </c>
      <c r="B2560" t="s">
        <v>8458</v>
      </c>
      <c r="C2560" t="s">
        <v>263</v>
      </c>
      <c r="D2560" t="s">
        <v>8459</v>
      </c>
      <c r="E2560" t="s">
        <v>14</v>
      </c>
      <c r="F2560" t="s">
        <v>15</v>
      </c>
      <c r="G2560">
        <v>28217</v>
      </c>
      <c r="H2560" t="s">
        <v>26</v>
      </c>
      <c r="I2560">
        <v>5</v>
      </c>
      <c r="J2560">
        <v>1</v>
      </c>
      <c r="K2560" t="s">
        <v>8935</v>
      </c>
    </row>
    <row r="2561" spans="1:11" x14ac:dyDescent="0.25">
      <c r="A2561" t="s">
        <v>8460</v>
      </c>
      <c r="B2561" t="s">
        <v>8461</v>
      </c>
      <c r="C2561" t="s">
        <v>6606</v>
      </c>
      <c r="D2561" t="s">
        <v>6607</v>
      </c>
      <c r="E2561" t="s">
        <v>14</v>
      </c>
      <c r="F2561" t="s">
        <v>15</v>
      </c>
      <c r="G2561">
        <v>28210</v>
      </c>
      <c r="H2561" t="s">
        <v>21</v>
      </c>
      <c r="I2561">
        <v>34</v>
      </c>
      <c r="J2561">
        <v>0</v>
      </c>
      <c r="K2561" t="s">
        <v>8935</v>
      </c>
    </row>
    <row r="2562" spans="1:11" x14ac:dyDescent="0.25">
      <c r="A2562" t="s">
        <v>8462</v>
      </c>
      <c r="B2562" t="s">
        <v>6178</v>
      </c>
      <c r="C2562" t="s">
        <v>8463</v>
      </c>
      <c r="D2562" t="s">
        <v>1213</v>
      </c>
      <c r="E2562" t="s">
        <v>14</v>
      </c>
      <c r="F2562" t="s">
        <v>15</v>
      </c>
      <c r="G2562">
        <v>28226</v>
      </c>
      <c r="H2562" t="s">
        <v>26</v>
      </c>
      <c r="I2562">
        <v>16</v>
      </c>
      <c r="J2562">
        <v>0</v>
      </c>
      <c r="K2562" t="s">
        <v>8921</v>
      </c>
    </row>
    <row r="2563" spans="1:11" x14ac:dyDescent="0.25">
      <c r="A2563" t="s">
        <v>8464</v>
      </c>
      <c r="B2563" t="s">
        <v>2048</v>
      </c>
      <c r="C2563" t="s">
        <v>1608</v>
      </c>
      <c r="D2563" t="s">
        <v>8465</v>
      </c>
      <c r="E2563" t="s">
        <v>14</v>
      </c>
      <c r="F2563" t="s">
        <v>15</v>
      </c>
      <c r="G2563">
        <v>28209</v>
      </c>
      <c r="H2563" t="s">
        <v>195</v>
      </c>
      <c r="I2563">
        <v>24</v>
      </c>
      <c r="J2563">
        <v>1</v>
      </c>
      <c r="K2563" t="s">
        <v>8921</v>
      </c>
    </row>
    <row r="2564" spans="1:11" x14ac:dyDescent="0.25">
      <c r="A2564" t="s">
        <v>8466</v>
      </c>
      <c r="B2564" t="s">
        <v>8467</v>
      </c>
      <c r="C2564" t="s">
        <v>8468</v>
      </c>
      <c r="D2564" t="s">
        <v>8469</v>
      </c>
      <c r="E2564" t="s">
        <v>14</v>
      </c>
      <c r="F2564" t="s">
        <v>15</v>
      </c>
      <c r="G2564">
        <v>28213</v>
      </c>
      <c r="H2564" t="s">
        <v>16</v>
      </c>
      <c r="I2564">
        <v>13</v>
      </c>
      <c r="J2564">
        <v>0</v>
      </c>
      <c r="K2564" t="s">
        <v>8927</v>
      </c>
    </row>
    <row r="2565" spans="1:11" x14ac:dyDescent="0.25">
      <c r="A2565" t="s">
        <v>8470</v>
      </c>
      <c r="B2565" t="s">
        <v>139</v>
      </c>
      <c r="C2565" t="s">
        <v>8471</v>
      </c>
      <c r="D2565" t="s">
        <v>8472</v>
      </c>
      <c r="E2565" t="s">
        <v>14</v>
      </c>
      <c r="F2565" t="s">
        <v>15</v>
      </c>
      <c r="G2565">
        <v>28208</v>
      </c>
      <c r="H2565" t="s">
        <v>26</v>
      </c>
      <c r="I2565">
        <v>9</v>
      </c>
      <c r="J2565">
        <v>0</v>
      </c>
      <c r="K2565" t="s">
        <v>8926</v>
      </c>
    </row>
    <row r="2566" spans="1:11" x14ac:dyDescent="0.25">
      <c r="A2566" t="s">
        <v>8473</v>
      </c>
      <c r="B2566" t="s">
        <v>8474</v>
      </c>
      <c r="C2566" t="s">
        <v>4293</v>
      </c>
      <c r="D2566" t="s">
        <v>7707</v>
      </c>
      <c r="E2566" t="s">
        <v>14</v>
      </c>
      <c r="F2566" t="s">
        <v>15</v>
      </c>
      <c r="G2566">
        <v>28277</v>
      </c>
      <c r="H2566" t="s">
        <v>16</v>
      </c>
      <c r="I2566">
        <v>322</v>
      </c>
      <c r="J2566">
        <v>1</v>
      </c>
      <c r="K2566" t="s">
        <v>8935</v>
      </c>
    </row>
    <row r="2567" spans="1:11" x14ac:dyDescent="0.25">
      <c r="A2567" t="s">
        <v>8475</v>
      </c>
      <c r="B2567" t="s">
        <v>8476</v>
      </c>
      <c r="C2567" t="s">
        <v>8477</v>
      </c>
      <c r="D2567" t="s">
        <v>8478</v>
      </c>
      <c r="E2567" t="s">
        <v>14</v>
      </c>
      <c r="F2567" t="s">
        <v>15</v>
      </c>
      <c r="G2567">
        <v>28277</v>
      </c>
      <c r="H2567" t="s">
        <v>26</v>
      </c>
      <c r="I2567">
        <v>217</v>
      </c>
      <c r="J2567">
        <v>1</v>
      </c>
      <c r="K2567" t="s">
        <v>8935</v>
      </c>
    </row>
    <row r="2568" spans="1:11" x14ac:dyDescent="0.25">
      <c r="A2568" t="s">
        <v>8479</v>
      </c>
      <c r="B2568" t="s">
        <v>8480</v>
      </c>
      <c r="C2568" t="s">
        <v>615</v>
      </c>
      <c r="D2568" t="s">
        <v>6250</v>
      </c>
      <c r="E2568" t="s">
        <v>14</v>
      </c>
      <c r="F2568" t="s">
        <v>15</v>
      </c>
      <c r="G2568">
        <v>28273</v>
      </c>
      <c r="H2568" t="s">
        <v>21</v>
      </c>
      <c r="I2568">
        <v>26</v>
      </c>
      <c r="J2568">
        <v>1</v>
      </c>
      <c r="K2568" t="s">
        <v>8935</v>
      </c>
    </row>
    <row r="2569" spans="1:11" x14ac:dyDescent="0.25">
      <c r="A2569" t="s">
        <v>8481</v>
      </c>
      <c r="B2569" t="s">
        <v>8482</v>
      </c>
      <c r="C2569" t="s">
        <v>8483</v>
      </c>
      <c r="D2569" t="s">
        <v>8484</v>
      </c>
      <c r="E2569" t="s">
        <v>14</v>
      </c>
      <c r="F2569" t="s">
        <v>15</v>
      </c>
      <c r="G2569">
        <v>28205</v>
      </c>
      <c r="H2569" t="s">
        <v>16</v>
      </c>
      <c r="I2569">
        <v>149</v>
      </c>
      <c r="J2569">
        <v>1</v>
      </c>
      <c r="K2569" t="s">
        <v>8935</v>
      </c>
    </row>
    <row r="2570" spans="1:11" x14ac:dyDescent="0.25">
      <c r="A2570" t="s">
        <v>8485</v>
      </c>
      <c r="B2570" t="s">
        <v>6677</v>
      </c>
      <c r="C2570" t="s">
        <v>797</v>
      </c>
      <c r="D2570" t="s">
        <v>8486</v>
      </c>
      <c r="E2570" t="s">
        <v>14</v>
      </c>
      <c r="F2570" t="s">
        <v>15</v>
      </c>
      <c r="G2570">
        <v>28217</v>
      </c>
      <c r="H2570" t="s">
        <v>26</v>
      </c>
      <c r="I2570">
        <v>8</v>
      </c>
      <c r="J2570">
        <v>1</v>
      </c>
      <c r="K2570" t="s">
        <v>8925</v>
      </c>
    </row>
    <row r="2571" spans="1:11" x14ac:dyDescent="0.25">
      <c r="A2571" t="s">
        <v>8487</v>
      </c>
      <c r="B2571" t="s">
        <v>1717</v>
      </c>
      <c r="C2571" t="s">
        <v>193</v>
      </c>
      <c r="D2571" t="s">
        <v>8488</v>
      </c>
      <c r="E2571" t="s">
        <v>14</v>
      </c>
      <c r="F2571" t="s">
        <v>15</v>
      </c>
      <c r="G2571">
        <v>28209</v>
      </c>
      <c r="H2571" t="s">
        <v>195</v>
      </c>
      <c r="I2571">
        <v>32</v>
      </c>
      <c r="J2571">
        <v>1</v>
      </c>
      <c r="K2571" t="s">
        <v>8935</v>
      </c>
    </row>
    <row r="2572" spans="1:11" x14ac:dyDescent="0.25">
      <c r="A2572" t="s">
        <v>8489</v>
      </c>
      <c r="B2572" t="s">
        <v>8490</v>
      </c>
      <c r="C2572" t="s">
        <v>1108</v>
      </c>
      <c r="D2572" t="s">
        <v>8491</v>
      </c>
      <c r="E2572" t="s">
        <v>14</v>
      </c>
      <c r="F2572" t="s">
        <v>15</v>
      </c>
      <c r="G2572">
        <v>28208</v>
      </c>
      <c r="H2572" t="s">
        <v>39</v>
      </c>
      <c r="I2572">
        <v>197</v>
      </c>
      <c r="J2572">
        <v>1</v>
      </c>
      <c r="K2572" t="s">
        <v>8935</v>
      </c>
    </row>
    <row r="2573" spans="1:11" x14ac:dyDescent="0.25">
      <c r="A2573" t="s">
        <v>8492</v>
      </c>
      <c r="B2573" t="s">
        <v>8493</v>
      </c>
      <c r="C2573" t="s">
        <v>8494</v>
      </c>
      <c r="D2573" t="s">
        <v>4573</v>
      </c>
      <c r="E2573" t="s">
        <v>14</v>
      </c>
      <c r="F2573" t="s">
        <v>15</v>
      </c>
      <c r="G2573">
        <v>28202</v>
      </c>
      <c r="H2573" t="s">
        <v>21</v>
      </c>
      <c r="I2573">
        <v>66</v>
      </c>
      <c r="J2573">
        <v>1</v>
      </c>
      <c r="K2573" t="s">
        <v>8935</v>
      </c>
    </row>
    <row r="2574" spans="1:11" x14ac:dyDescent="0.25">
      <c r="A2574" t="s">
        <v>8495</v>
      </c>
      <c r="B2574" t="s">
        <v>8496</v>
      </c>
      <c r="C2574" t="s">
        <v>622</v>
      </c>
      <c r="D2574" t="s">
        <v>8497</v>
      </c>
      <c r="E2574" t="s">
        <v>14</v>
      </c>
      <c r="F2574" t="s">
        <v>15</v>
      </c>
      <c r="G2574">
        <v>28208</v>
      </c>
      <c r="H2574" t="s">
        <v>195</v>
      </c>
      <c r="I2574">
        <v>6</v>
      </c>
      <c r="J2574">
        <v>1</v>
      </c>
      <c r="K2574" t="s">
        <v>8935</v>
      </c>
    </row>
    <row r="2575" spans="1:11" x14ac:dyDescent="0.25">
      <c r="A2575" t="s">
        <v>8498</v>
      </c>
      <c r="B2575" t="s">
        <v>139</v>
      </c>
      <c r="C2575" t="s">
        <v>8499</v>
      </c>
      <c r="D2575" t="s">
        <v>8500</v>
      </c>
      <c r="E2575" t="s">
        <v>14</v>
      </c>
      <c r="F2575" t="s">
        <v>15</v>
      </c>
      <c r="G2575">
        <v>28204</v>
      </c>
      <c r="H2575" t="s">
        <v>101</v>
      </c>
      <c r="I2575">
        <v>29</v>
      </c>
      <c r="J2575">
        <v>1</v>
      </c>
      <c r="K2575" t="s">
        <v>8926</v>
      </c>
    </row>
    <row r="2576" spans="1:11" x14ac:dyDescent="0.25">
      <c r="A2576" t="s">
        <v>8501</v>
      </c>
      <c r="B2576" t="s">
        <v>228</v>
      </c>
      <c r="C2576" t="s">
        <v>8502</v>
      </c>
      <c r="D2576" t="s">
        <v>8503</v>
      </c>
      <c r="E2576" t="s">
        <v>14</v>
      </c>
      <c r="F2576" t="s">
        <v>15</v>
      </c>
      <c r="G2576">
        <v>28217</v>
      </c>
      <c r="H2576" t="s">
        <v>16</v>
      </c>
      <c r="I2576">
        <v>11</v>
      </c>
      <c r="J2576">
        <v>1</v>
      </c>
      <c r="K2576" t="s">
        <v>8935</v>
      </c>
    </row>
    <row r="2577" spans="1:11" x14ac:dyDescent="0.25">
      <c r="A2577" t="s">
        <v>8504</v>
      </c>
      <c r="B2577" t="s">
        <v>8505</v>
      </c>
      <c r="C2577" t="s">
        <v>8506</v>
      </c>
      <c r="D2577" t="s">
        <v>2904</v>
      </c>
      <c r="E2577" t="s">
        <v>14</v>
      </c>
      <c r="F2577" t="s">
        <v>15</v>
      </c>
      <c r="G2577">
        <v>28202</v>
      </c>
      <c r="H2577" t="s">
        <v>21</v>
      </c>
      <c r="I2577">
        <v>4</v>
      </c>
      <c r="J2577">
        <v>1</v>
      </c>
      <c r="K2577" t="s">
        <v>8935</v>
      </c>
    </row>
    <row r="2578" spans="1:11" x14ac:dyDescent="0.25">
      <c r="A2578" t="s">
        <v>8507</v>
      </c>
      <c r="B2578" t="s">
        <v>7983</v>
      </c>
      <c r="C2578" t="s">
        <v>321</v>
      </c>
      <c r="D2578" t="s">
        <v>8508</v>
      </c>
      <c r="E2578" t="s">
        <v>14</v>
      </c>
      <c r="F2578" t="s">
        <v>15</v>
      </c>
      <c r="G2578">
        <v>28272</v>
      </c>
      <c r="H2578" t="s">
        <v>101</v>
      </c>
      <c r="I2578">
        <v>15</v>
      </c>
      <c r="J2578">
        <v>1</v>
      </c>
      <c r="K2578" t="s">
        <v>8935</v>
      </c>
    </row>
    <row r="2579" spans="1:11" x14ac:dyDescent="0.25">
      <c r="A2579" t="s">
        <v>8509</v>
      </c>
      <c r="B2579" t="s">
        <v>1343</v>
      </c>
      <c r="C2579" t="s">
        <v>8510</v>
      </c>
      <c r="D2579" t="s">
        <v>8511</v>
      </c>
      <c r="E2579" t="s">
        <v>14</v>
      </c>
      <c r="F2579" t="s">
        <v>15</v>
      </c>
      <c r="G2579">
        <v>28262</v>
      </c>
      <c r="H2579" t="s">
        <v>21</v>
      </c>
      <c r="I2579">
        <v>3</v>
      </c>
      <c r="J2579">
        <v>0</v>
      </c>
      <c r="K2579" t="s">
        <v>8935</v>
      </c>
    </row>
    <row r="2580" spans="1:11" x14ac:dyDescent="0.25">
      <c r="A2580" t="s">
        <v>8512</v>
      </c>
      <c r="B2580" t="s">
        <v>8513</v>
      </c>
      <c r="C2580" t="s">
        <v>8514</v>
      </c>
      <c r="D2580" t="s">
        <v>84</v>
      </c>
      <c r="E2580" t="s">
        <v>14</v>
      </c>
      <c r="F2580" t="s">
        <v>15</v>
      </c>
      <c r="G2580">
        <v>28208</v>
      </c>
      <c r="H2580" t="s">
        <v>26</v>
      </c>
      <c r="I2580">
        <v>5</v>
      </c>
      <c r="J2580">
        <v>1</v>
      </c>
      <c r="K2580" t="s">
        <v>8935</v>
      </c>
    </row>
    <row r="2581" spans="1:11" x14ac:dyDescent="0.25">
      <c r="A2581" t="s">
        <v>8515</v>
      </c>
      <c r="B2581" t="s">
        <v>8516</v>
      </c>
      <c r="C2581" t="s">
        <v>8517</v>
      </c>
      <c r="D2581" t="s">
        <v>8518</v>
      </c>
      <c r="E2581" t="s">
        <v>14</v>
      </c>
      <c r="F2581" t="s">
        <v>15</v>
      </c>
      <c r="G2581">
        <v>28203</v>
      </c>
      <c r="H2581" t="s">
        <v>16</v>
      </c>
      <c r="I2581">
        <v>378</v>
      </c>
      <c r="J2581">
        <v>1</v>
      </c>
      <c r="K2581" t="s">
        <v>8935</v>
      </c>
    </row>
    <row r="2582" spans="1:11" x14ac:dyDescent="0.25">
      <c r="A2582" t="s">
        <v>8519</v>
      </c>
      <c r="B2582" t="s">
        <v>8520</v>
      </c>
      <c r="C2582" t="s">
        <v>8521</v>
      </c>
      <c r="D2582" t="s">
        <v>8522</v>
      </c>
      <c r="E2582" t="s">
        <v>14</v>
      </c>
      <c r="F2582" t="s">
        <v>15</v>
      </c>
      <c r="G2582">
        <v>28215</v>
      </c>
      <c r="H2582" t="s">
        <v>48</v>
      </c>
      <c r="I2582">
        <v>4</v>
      </c>
      <c r="J2582">
        <v>1</v>
      </c>
      <c r="K2582" t="s">
        <v>8935</v>
      </c>
    </row>
    <row r="2583" spans="1:11" x14ac:dyDescent="0.25">
      <c r="A2583" t="s">
        <v>8523</v>
      </c>
      <c r="B2583" t="s">
        <v>556</v>
      </c>
      <c r="C2583" t="s">
        <v>8524</v>
      </c>
      <c r="D2583" t="s">
        <v>8525</v>
      </c>
      <c r="E2583" t="s">
        <v>14</v>
      </c>
      <c r="F2583" t="s">
        <v>15</v>
      </c>
      <c r="G2583">
        <v>28206</v>
      </c>
      <c r="H2583" t="s">
        <v>26</v>
      </c>
      <c r="I2583">
        <v>5</v>
      </c>
      <c r="J2583">
        <v>1</v>
      </c>
      <c r="K2583" t="s">
        <v>8935</v>
      </c>
    </row>
    <row r="2584" spans="1:11" x14ac:dyDescent="0.25">
      <c r="A2584" t="s">
        <v>8526</v>
      </c>
      <c r="B2584" t="s">
        <v>8527</v>
      </c>
      <c r="C2584" t="s">
        <v>8528</v>
      </c>
      <c r="D2584" t="s">
        <v>84</v>
      </c>
      <c r="E2584" t="s">
        <v>14</v>
      </c>
      <c r="F2584" t="s">
        <v>15</v>
      </c>
      <c r="G2584">
        <v>28208</v>
      </c>
      <c r="H2584" t="s">
        <v>21</v>
      </c>
      <c r="I2584">
        <v>3</v>
      </c>
      <c r="J2584">
        <v>1</v>
      </c>
      <c r="K2584" t="s">
        <v>8935</v>
      </c>
    </row>
    <row r="2585" spans="1:11" x14ac:dyDescent="0.25">
      <c r="A2585" t="s">
        <v>8529</v>
      </c>
      <c r="B2585" t="s">
        <v>8530</v>
      </c>
      <c r="C2585" t="s">
        <v>8531</v>
      </c>
      <c r="D2585" t="s">
        <v>7302</v>
      </c>
      <c r="E2585" t="s">
        <v>14</v>
      </c>
      <c r="F2585" t="s">
        <v>15</v>
      </c>
      <c r="G2585">
        <v>28214</v>
      </c>
      <c r="H2585" t="s">
        <v>26</v>
      </c>
      <c r="I2585">
        <v>76</v>
      </c>
      <c r="J2585">
        <v>1</v>
      </c>
      <c r="K2585" t="s">
        <v>8925</v>
      </c>
    </row>
    <row r="2586" spans="1:11" x14ac:dyDescent="0.25">
      <c r="A2586" t="s">
        <v>8532</v>
      </c>
      <c r="B2586" t="s">
        <v>3263</v>
      </c>
      <c r="C2586" t="s">
        <v>913</v>
      </c>
      <c r="D2586" t="s">
        <v>3109</v>
      </c>
      <c r="E2586" t="s">
        <v>14</v>
      </c>
      <c r="F2586" t="s">
        <v>15</v>
      </c>
      <c r="G2586">
        <v>28202</v>
      </c>
      <c r="H2586" t="s">
        <v>21</v>
      </c>
      <c r="I2586">
        <v>143</v>
      </c>
      <c r="J2586">
        <v>1</v>
      </c>
      <c r="K2586" t="s">
        <v>8921</v>
      </c>
    </row>
    <row r="2587" spans="1:11" x14ac:dyDescent="0.25">
      <c r="A2587" t="s">
        <v>8533</v>
      </c>
      <c r="B2587" t="s">
        <v>8534</v>
      </c>
      <c r="C2587" t="s">
        <v>8535</v>
      </c>
      <c r="D2587" t="s">
        <v>8536</v>
      </c>
      <c r="E2587" t="s">
        <v>14</v>
      </c>
      <c r="F2587" t="s">
        <v>15</v>
      </c>
      <c r="G2587">
        <v>28203</v>
      </c>
      <c r="H2587" t="s">
        <v>16</v>
      </c>
      <c r="I2587">
        <v>4</v>
      </c>
      <c r="J2587">
        <v>0</v>
      </c>
      <c r="K2587" t="s">
        <v>8935</v>
      </c>
    </row>
    <row r="2588" spans="1:11" x14ac:dyDescent="0.25">
      <c r="A2588" t="s">
        <v>8537</v>
      </c>
      <c r="B2588" t="s">
        <v>691</v>
      </c>
      <c r="C2588" t="s">
        <v>3288</v>
      </c>
      <c r="D2588" t="s">
        <v>8538</v>
      </c>
      <c r="E2588" t="s">
        <v>14</v>
      </c>
      <c r="F2588" t="s">
        <v>15</v>
      </c>
      <c r="G2588">
        <v>28263</v>
      </c>
      <c r="H2588" t="s">
        <v>26</v>
      </c>
      <c r="I2588">
        <v>52</v>
      </c>
      <c r="J2588">
        <v>0</v>
      </c>
      <c r="K2588" t="s">
        <v>8935</v>
      </c>
    </row>
    <row r="2589" spans="1:11" x14ac:dyDescent="0.25">
      <c r="A2589" t="s">
        <v>8539</v>
      </c>
      <c r="B2589" t="s">
        <v>8540</v>
      </c>
      <c r="C2589" t="s">
        <v>8541</v>
      </c>
      <c r="D2589" t="s">
        <v>8542</v>
      </c>
      <c r="E2589" t="s">
        <v>14</v>
      </c>
      <c r="F2589" t="s">
        <v>15</v>
      </c>
      <c r="G2589">
        <v>28207</v>
      </c>
      <c r="H2589" t="s">
        <v>21</v>
      </c>
      <c r="I2589">
        <v>31</v>
      </c>
      <c r="J2589">
        <v>0</v>
      </c>
      <c r="K2589" t="s">
        <v>8935</v>
      </c>
    </row>
    <row r="2590" spans="1:11" x14ac:dyDescent="0.25">
      <c r="A2590" t="s">
        <v>8543</v>
      </c>
      <c r="B2590" t="s">
        <v>8544</v>
      </c>
      <c r="C2590" t="s">
        <v>735</v>
      </c>
      <c r="D2590" t="s">
        <v>8545</v>
      </c>
      <c r="E2590" t="s">
        <v>14</v>
      </c>
      <c r="F2590" t="s">
        <v>15</v>
      </c>
      <c r="G2590">
        <v>28273</v>
      </c>
      <c r="H2590" t="s">
        <v>26</v>
      </c>
      <c r="I2590">
        <v>40</v>
      </c>
      <c r="J2590">
        <v>1</v>
      </c>
      <c r="K2590" t="s">
        <v>8935</v>
      </c>
    </row>
    <row r="2591" spans="1:11" x14ac:dyDescent="0.25">
      <c r="A2591" t="s">
        <v>8546</v>
      </c>
      <c r="B2591" t="s">
        <v>8547</v>
      </c>
      <c r="C2591" t="s">
        <v>8548</v>
      </c>
      <c r="D2591" t="s">
        <v>8549</v>
      </c>
      <c r="E2591" t="s">
        <v>14</v>
      </c>
      <c r="F2591" t="s">
        <v>15</v>
      </c>
      <c r="G2591">
        <v>28203</v>
      </c>
      <c r="H2591" t="s">
        <v>26</v>
      </c>
      <c r="I2591">
        <v>102</v>
      </c>
      <c r="J2591">
        <v>0</v>
      </c>
      <c r="K2591" t="s">
        <v>8936</v>
      </c>
    </row>
    <row r="2592" spans="1:11" x14ac:dyDescent="0.25">
      <c r="A2592" t="s">
        <v>8550</v>
      </c>
      <c r="B2592" t="s">
        <v>8551</v>
      </c>
      <c r="C2592" t="s">
        <v>8552</v>
      </c>
      <c r="E2592" t="s">
        <v>14</v>
      </c>
      <c r="F2592" t="s">
        <v>15</v>
      </c>
      <c r="G2592">
        <v>28269</v>
      </c>
      <c r="H2592" t="s">
        <v>16</v>
      </c>
      <c r="I2592">
        <v>4</v>
      </c>
      <c r="J2592">
        <v>1</v>
      </c>
      <c r="K2592" t="s">
        <v>8935</v>
      </c>
    </row>
    <row r="2593" spans="1:11" x14ac:dyDescent="0.25">
      <c r="A2593" t="s">
        <v>8553</v>
      </c>
      <c r="B2593" t="s">
        <v>8554</v>
      </c>
      <c r="C2593" t="s">
        <v>8555</v>
      </c>
      <c r="D2593" t="s">
        <v>8556</v>
      </c>
      <c r="E2593" t="s">
        <v>14</v>
      </c>
      <c r="F2593" t="s">
        <v>15</v>
      </c>
      <c r="G2593">
        <v>28202</v>
      </c>
      <c r="H2593" t="s">
        <v>21</v>
      </c>
      <c r="I2593">
        <v>14</v>
      </c>
      <c r="J2593">
        <v>0</v>
      </c>
      <c r="K2593" t="s">
        <v>8935</v>
      </c>
    </row>
    <row r="2594" spans="1:11" x14ac:dyDescent="0.25">
      <c r="A2594" t="s">
        <v>8557</v>
      </c>
      <c r="B2594" t="s">
        <v>8558</v>
      </c>
      <c r="C2594" t="s">
        <v>8559</v>
      </c>
      <c r="D2594" t="s">
        <v>8560</v>
      </c>
      <c r="E2594" t="s">
        <v>14</v>
      </c>
      <c r="F2594" t="s">
        <v>15</v>
      </c>
      <c r="G2594">
        <v>28262</v>
      </c>
      <c r="H2594" t="s">
        <v>21</v>
      </c>
      <c r="I2594">
        <v>22</v>
      </c>
      <c r="J2594">
        <v>1</v>
      </c>
      <c r="K2594" t="s">
        <v>8935</v>
      </c>
    </row>
    <row r="2595" spans="1:11" x14ac:dyDescent="0.25">
      <c r="A2595" t="s">
        <v>8561</v>
      </c>
      <c r="B2595" t="s">
        <v>3513</v>
      </c>
      <c r="C2595" t="s">
        <v>202</v>
      </c>
      <c r="D2595" t="s">
        <v>8562</v>
      </c>
      <c r="E2595" t="s">
        <v>14</v>
      </c>
      <c r="F2595" t="s">
        <v>15</v>
      </c>
      <c r="G2595">
        <v>28217</v>
      </c>
      <c r="H2595" t="s">
        <v>101</v>
      </c>
      <c r="I2595">
        <v>39</v>
      </c>
      <c r="J2595">
        <v>1</v>
      </c>
      <c r="K2595" t="s">
        <v>8935</v>
      </c>
    </row>
    <row r="2596" spans="1:11" x14ac:dyDescent="0.25">
      <c r="A2596" t="s">
        <v>8563</v>
      </c>
      <c r="B2596" t="s">
        <v>8564</v>
      </c>
      <c r="C2596" t="s">
        <v>8565</v>
      </c>
      <c r="D2596" t="s">
        <v>3974</v>
      </c>
      <c r="E2596" t="s">
        <v>14</v>
      </c>
      <c r="F2596" t="s">
        <v>15</v>
      </c>
      <c r="G2596">
        <v>28202</v>
      </c>
      <c r="H2596" t="s">
        <v>26</v>
      </c>
      <c r="I2596">
        <v>4</v>
      </c>
      <c r="J2596">
        <v>0</v>
      </c>
      <c r="K2596" t="s">
        <v>8935</v>
      </c>
    </row>
    <row r="2597" spans="1:11" x14ac:dyDescent="0.25">
      <c r="A2597" t="s">
        <v>8566</v>
      </c>
      <c r="B2597" t="s">
        <v>8567</v>
      </c>
      <c r="C2597" t="s">
        <v>8568</v>
      </c>
      <c r="D2597" t="s">
        <v>8569</v>
      </c>
      <c r="E2597" t="s">
        <v>14</v>
      </c>
      <c r="F2597" t="s">
        <v>15</v>
      </c>
      <c r="G2597">
        <v>28269</v>
      </c>
      <c r="H2597" t="s">
        <v>16</v>
      </c>
      <c r="I2597">
        <v>73</v>
      </c>
      <c r="J2597">
        <v>1</v>
      </c>
      <c r="K2597" t="s">
        <v>8935</v>
      </c>
    </row>
    <row r="2598" spans="1:11" x14ac:dyDescent="0.25">
      <c r="A2598" t="s">
        <v>8570</v>
      </c>
      <c r="B2598" t="s">
        <v>8571</v>
      </c>
      <c r="C2598" t="s">
        <v>8572</v>
      </c>
      <c r="D2598" t="s">
        <v>8573</v>
      </c>
      <c r="E2598" t="s">
        <v>14</v>
      </c>
      <c r="F2598" t="s">
        <v>15</v>
      </c>
      <c r="G2598">
        <v>28208</v>
      </c>
      <c r="H2598" t="s">
        <v>26</v>
      </c>
      <c r="I2598">
        <v>60</v>
      </c>
      <c r="J2598">
        <v>1</v>
      </c>
      <c r="K2598" t="s">
        <v>8935</v>
      </c>
    </row>
    <row r="2599" spans="1:11" x14ac:dyDescent="0.25">
      <c r="A2599" t="s">
        <v>8574</v>
      </c>
      <c r="B2599" t="s">
        <v>8575</v>
      </c>
      <c r="C2599" t="s">
        <v>8576</v>
      </c>
      <c r="D2599" t="s">
        <v>8577</v>
      </c>
      <c r="E2599" t="s">
        <v>14</v>
      </c>
      <c r="F2599" t="s">
        <v>15</v>
      </c>
      <c r="G2599">
        <v>28277</v>
      </c>
      <c r="H2599" t="s">
        <v>16</v>
      </c>
      <c r="I2599">
        <v>195</v>
      </c>
      <c r="J2599">
        <v>1</v>
      </c>
      <c r="K2599" t="s">
        <v>8923</v>
      </c>
    </row>
    <row r="2600" spans="1:11" x14ac:dyDescent="0.25">
      <c r="A2600" t="s">
        <v>8578</v>
      </c>
      <c r="B2600" t="s">
        <v>139</v>
      </c>
      <c r="C2600" t="s">
        <v>8579</v>
      </c>
      <c r="D2600" t="s">
        <v>8580</v>
      </c>
      <c r="E2600" t="s">
        <v>14</v>
      </c>
      <c r="F2600" t="s">
        <v>15</v>
      </c>
      <c r="G2600">
        <v>28226</v>
      </c>
      <c r="H2600" t="s">
        <v>16</v>
      </c>
      <c r="I2600">
        <v>165</v>
      </c>
      <c r="J2600">
        <v>1</v>
      </c>
      <c r="K2600" t="s">
        <v>8926</v>
      </c>
    </row>
    <row r="2601" spans="1:11" x14ac:dyDescent="0.25">
      <c r="A2601" t="s">
        <v>8581</v>
      </c>
      <c r="B2601" t="s">
        <v>8582</v>
      </c>
      <c r="C2601" t="s">
        <v>8583</v>
      </c>
      <c r="D2601" t="s">
        <v>8584</v>
      </c>
      <c r="E2601" t="s">
        <v>14</v>
      </c>
      <c r="F2601" t="s">
        <v>15</v>
      </c>
      <c r="G2601">
        <v>28270</v>
      </c>
      <c r="H2601" t="s">
        <v>16</v>
      </c>
      <c r="I2601">
        <v>470</v>
      </c>
      <c r="J2601">
        <v>1</v>
      </c>
      <c r="K2601" t="s">
        <v>8936</v>
      </c>
    </row>
    <row r="2602" spans="1:11" x14ac:dyDescent="0.25">
      <c r="A2602" t="s">
        <v>8585</v>
      </c>
      <c r="B2602" t="s">
        <v>8586</v>
      </c>
      <c r="C2602" t="s">
        <v>8587</v>
      </c>
      <c r="D2602" t="s">
        <v>8588</v>
      </c>
      <c r="E2602" t="s">
        <v>14</v>
      </c>
      <c r="F2602" t="s">
        <v>15</v>
      </c>
      <c r="G2602">
        <v>28205</v>
      </c>
      <c r="H2602" t="s">
        <v>39</v>
      </c>
      <c r="I2602">
        <v>15</v>
      </c>
      <c r="J2602">
        <v>0</v>
      </c>
      <c r="K2602" t="s">
        <v>8929</v>
      </c>
    </row>
    <row r="2603" spans="1:11" x14ac:dyDescent="0.25">
      <c r="A2603" t="s">
        <v>8589</v>
      </c>
      <c r="B2603" t="s">
        <v>2995</v>
      </c>
      <c r="C2603" t="s">
        <v>169</v>
      </c>
      <c r="D2603" t="s">
        <v>8590</v>
      </c>
      <c r="E2603" t="s">
        <v>14</v>
      </c>
      <c r="F2603" t="s">
        <v>15</v>
      </c>
      <c r="G2603">
        <v>28205</v>
      </c>
      <c r="H2603" t="s">
        <v>26</v>
      </c>
      <c r="I2603">
        <v>104</v>
      </c>
      <c r="J2603">
        <v>1</v>
      </c>
      <c r="K2603" t="s">
        <v>8935</v>
      </c>
    </row>
    <row r="2604" spans="1:11" x14ac:dyDescent="0.25">
      <c r="A2604" t="s">
        <v>8591</v>
      </c>
      <c r="B2604" t="s">
        <v>4410</v>
      </c>
      <c r="C2604" t="s">
        <v>8592</v>
      </c>
      <c r="D2604" t="s">
        <v>8593</v>
      </c>
      <c r="E2604" t="s">
        <v>14</v>
      </c>
      <c r="F2604" t="s">
        <v>15</v>
      </c>
      <c r="G2604">
        <v>28263</v>
      </c>
      <c r="H2604" t="s">
        <v>26</v>
      </c>
      <c r="I2604">
        <v>133</v>
      </c>
      <c r="J2604">
        <v>1</v>
      </c>
      <c r="K2604" t="s">
        <v>8920</v>
      </c>
    </row>
    <row r="2605" spans="1:11" x14ac:dyDescent="0.25">
      <c r="A2605" t="s">
        <v>8594</v>
      </c>
      <c r="B2605" t="s">
        <v>8595</v>
      </c>
      <c r="C2605" t="s">
        <v>8596</v>
      </c>
      <c r="D2605" t="s">
        <v>1883</v>
      </c>
      <c r="E2605" t="s">
        <v>14</v>
      </c>
      <c r="F2605" t="s">
        <v>15</v>
      </c>
      <c r="G2605">
        <v>28277</v>
      </c>
      <c r="H2605" t="s">
        <v>48</v>
      </c>
      <c r="I2605">
        <v>10</v>
      </c>
      <c r="J2605">
        <v>0</v>
      </c>
      <c r="K2605" t="s">
        <v>8935</v>
      </c>
    </row>
    <row r="2606" spans="1:11" x14ac:dyDescent="0.25">
      <c r="A2606" t="s">
        <v>8597</v>
      </c>
      <c r="B2606" t="s">
        <v>8598</v>
      </c>
      <c r="C2606" t="s">
        <v>6698</v>
      </c>
      <c r="D2606" t="s">
        <v>8599</v>
      </c>
      <c r="E2606" t="s">
        <v>14</v>
      </c>
      <c r="F2606" t="s">
        <v>15</v>
      </c>
      <c r="G2606">
        <v>28211</v>
      </c>
      <c r="H2606" t="s">
        <v>26</v>
      </c>
      <c r="I2606">
        <v>18</v>
      </c>
      <c r="J2606">
        <v>1</v>
      </c>
      <c r="K2606" t="s">
        <v>8935</v>
      </c>
    </row>
    <row r="2607" spans="1:11" x14ac:dyDescent="0.25">
      <c r="A2607" t="s">
        <v>8600</v>
      </c>
      <c r="B2607" t="s">
        <v>8601</v>
      </c>
      <c r="C2607" t="s">
        <v>8602</v>
      </c>
      <c r="D2607" t="s">
        <v>8603</v>
      </c>
      <c r="E2607" t="s">
        <v>14</v>
      </c>
      <c r="F2607" t="s">
        <v>15</v>
      </c>
      <c r="G2607">
        <v>28208</v>
      </c>
      <c r="H2607" t="s">
        <v>146</v>
      </c>
      <c r="I2607">
        <v>49</v>
      </c>
      <c r="J2607">
        <v>1</v>
      </c>
      <c r="K2607" t="s">
        <v>8935</v>
      </c>
    </row>
    <row r="2608" spans="1:11" x14ac:dyDescent="0.25">
      <c r="A2608" t="s">
        <v>8604</v>
      </c>
      <c r="B2608" t="s">
        <v>8605</v>
      </c>
      <c r="C2608" t="s">
        <v>1534</v>
      </c>
      <c r="D2608" t="s">
        <v>8606</v>
      </c>
      <c r="E2608" t="s">
        <v>14</v>
      </c>
      <c r="F2608" t="s">
        <v>15</v>
      </c>
      <c r="G2608">
        <v>28277</v>
      </c>
      <c r="H2608" t="s">
        <v>16</v>
      </c>
      <c r="I2608">
        <v>339</v>
      </c>
      <c r="J2608">
        <v>1</v>
      </c>
      <c r="K2608" t="s">
        <v>8935</v>
      </c>
    </row>
    <row r="2609" spans="1:11" x14ac:dyDescent="0.25">
      <c r="A2609" t="s">
        <v>8607</v>
      </c>
      <c r="B2609" t="s">
        <v>8608</v>
      </c>
      <c r="C2609" t="s">
        <v>8609</v>
      </c>
      <c r="D2609" t="s">
        <v>8610</v>
      </c>
      <c r="E2609" t="s">
        <v>14</v>
      </c>
      <c r="F2609" t="s">
        <v>15</v>
      </c>
      <c r="G2609">
        <v>28203</v>
      </c>
      <c r="H2609" t="s">
        <v>39</v>
      </c>
      <c r="I2609">
        <v>73</v>
      </c>
      <c r="J2609">
        <v>1</v>
      </c>
      <c r="K2609" t="s">
        <v>8935</v>
      </c>
    </row>
    <row r="2610" spans="1:11" x14ac:dyDescent="0.25">
      <c r="A2610" t="s">
        <v>8611</v>
      </c>
      <c r="B2610" t="s">
        <v>1347</v>
      </c>
      <c r="C2610" t="s">
        <v>8118</v>
      </c>
      <c r="D2610" t="s">
        <v>1545</v>
      </c>
      <c r="E2610" t="s">
        <v>14</v>
      </c>
      <c r="F2610" t="s">
        <v>15</v>
      </c>
      <c r="G2610">
        <v>28202</v>
      </c>
      <c r="H2610" t="s">
        <v>26</v>
      </c>
      <c r="I2610">
        <v>3</v>
      </c>
      <c r="J2610">
        <v>1</v>
      </c>
      <c r="K2610" t="s">
        <v>8930</v>
      </c>
    </row>
    <row r="2611" spans="1:11" x14ac:dyDescent="0.25">
      <c r="A2611" t="s">
        <v>8612</v>
      </c>
      <c r="B2611" t="s">
        <v>6652</v>
      </c>
      <c r="C2611" t="s">
        <v>8613</v>
      </c>
      <c r="D2611" t="s">
        <v>8614</v>
      </c>
      <c r="E2611" t="s">
        <v>14</v>
      </c>
      <c r="F2611" t="s">
        <v>15</v>
      </c>
      <c r="G2611">
        <v>28216</v>
      </c>
      <c r="H2611" t="s">
        <v>16</v>
      </c>
      <c r="I2611">
        <v>45</v>
      </c>
      <c r="J2611">
        <v>1</v>
      </c>
      <c r="K2611" t="s">
        <v>8935</v>
      </c>
    </row>
    <row r="2612" spans="1:11" x14ac:dyDescent="0.25">
      <c r="A2612" t="s">
        <v>8615</v>
      </c>
      <c r="B2612" t="s">
        <v>8616</v>
      </c>
      <c r="C2612" t="s">
        <v>8617</v>
      </c>
      <c r="D2612" t="s">
        <v>8618</v>
      </c>
      <c r="E2612" t="s">
        <v>14</v>
      </c>
      <c r="F2612" t="s">
        <v>15</v>
      </c>
      <c r="G2612">
        <v>28202</v>
      </c>
      <c r="H2612" t="s">
        <v>26</v>
      </c>
      <c r="I2612">
        <v>16</v>
      </c>
      <c r="J2612">
        <v>0</v>
      </c>
      <c r="K2612" t="s">
        <v>8935</v>
      </c>
    </row>
    <row r="2613" spans="1:11" x14ac:dyDescent="0.25">
      <c r="A2613" t="s">
        <v>8619</v>
      </c>
      <c r="B2613" t="s">
        <v>8620</v>
      </c>
      <c r="C2613" t="s">
        <v>8621</v>
      </c>
      <c r="D2613" t="s">
        <v>8622</v>
      </c>
      <c r="E2613" t="s">
        <v>14</v>
      </c>
      <c r="F2613" t="s">
        <v>15</v>
      </c>
      <c r="G2613">
        <v>28202</v>
      </c>
      <c r="H2613" t="s">
        <v>21</v>
      </c>
      <c r="I2613">
        <v>66</v>
      </c>
      <c r="J2613">
        <v>0</v>
      </c>
      <c r="K2613" t="s">
        <v>8935</v>
      </c>
    </row>
    <row r="2614" spans="1:11" x14ac:dyDescent="0.25">
      <c r="A2614" t="s">
        <v>8623</v>
      </c>
      <c r="B2614" t="s">
        <v>8624</v>
      </c>
      <c r="C2614" t="s">
        <v>8625</v>
      </c>
      <c r="D2614" t="s">
        <v>8626</v>
      </c>
      <c r="E2614" t="s">
        <v>14</v>
      </c>
      <c r="F2614" t="s">
        <v>15</v>
      </c>
      <c r="G2614">
        <v>28210</v>
      </c>
      <c r="H2614" t="s">
        <v>39</v>
      </c>
      <c r="I2614">
        <v>34</v>
      </c>
      <c r="J2614">
        <v>0</v>
      </c>
      <c r="K2614" t="s">
        <v>8931</v>
      </c>
    </row>
    <row r="2615" spans="1:11" x14ac:dyDescent="0.25">
      <c r="A2615" t="s">
        <v>8627</v>
      </c>
      <c r="B2615" t="s">
        <v>8628</v>
      </c>
      <c r="C2615" t="s">
        <v>8629</v>
      </c>
      <c r="D2615" t="s">
        <v>2049</v>
      </c>
      <c r="E2615" t="s">
        <v>14</v>
      </c>
      <c r="F2615" t="s">
        <v>15</v>
      </c>
      <c r="G2615">
        <v>28204</v>
      </c>
      <c r="H2615" t="s">
        <v>26</v>
      </c>
      <c r="I2615">
        <v>152</v>
      </c>
      <c r="J2615">
        <v>1</v>
      </c>
      <c r="K2615" t="s">
        <v>8930</v>
      </c>
    </row>
    <row r="2616" spans="1:11" x14ac:dyDescent="0.25">
      <c r="A2616" t="s">
        <v>8630</v>
      </c>
      <c r="B2616" t="s">
        <v>8631</v>
      </c>
      <c r="C2616" t="s">
        <v>8632</v>
      </c>
      <c r="D2616" t="s">
        <v>8633</v>
      </c>
      <c r="E2616" t="s">
        <v>14</v>
      </c>
      <c r="F2616" t="s">
        <v>15</v>
      </c>
      <c r="G2616">
        <v>28203</v>
      </c>
      <c r="H2616" t="s">
        <v>16</v>
      </c>
      <c r="I2616">
        <v>7</v>
      </c>
      <c r="J2616">
        <v>1</v>
      </c>
      <c r="K2616" t="s">
        <v>8935</v>
      </c>
    </row>
    <row r="2617" spans="1:11" x14ac:dyDescent="0.25">
      <c r="A2617" t="s">
        <v>8634</v>
      </c>
      <c r="B2617" t="s">
        <v>8635</v>
      </c>
      <c r="C2617" t="s">
        <v>8636</v>
      </c>
      <c r="D2617" t="s">
        <v>2063</v>
      </c>
      <c r="E2617" t="s">
        <v>14</v>
      </c>
      <c r="F2617" t="s">
        <v>15</v>
      </c>
      <c r="G2617">
        <v>28226</v>
      </c>
      <c r="H2617" t="s">
        <v>21</v>
      </c>
      <c r="I2617">
        <v>87</v>
      </c>
      <c r="J2617">
        <v>1</v>
      </c>
      <c r="K2617" t="s">
        <v>8921</v>
      </c>
    </row>
    <row r="2618" spans="1:11" x14ac:dyDescent="0.25">
      <c r="A2618" t="s">
        <v>8637</v>
      </c>
      <c r="B2618" t="s">
        <v>8638</v>
      </c>
      <c r="C2618" t="s">
        <v>8639</v>
      </c>
      <c r="D2618" t="s">
        <v>8640</v>
      </c>
      <c r="E2618" t="s">
        <v>14</v>
      </c>
      <c r="F2618" t="s">
        <v>15</v>
      </c>
      <c r="G2618">
        <v>28277</v>
      </c>
      <c r="H2618" t="s">
        <v>48</v>
      </c>
      <c r="I2618">
        <v>3</v>
      </c>
      <c r="J2618">
        <v>1</v>
      </c>
      <c r="K2618" t="s">
        <v>8935</v>
      </c>
    </row>
    <row r="2619" spans="1:11" x14ac:dyDescent="0.25">
      <c r="A2619" t="s">
        <v>8641</v>
      </c>
      <c r="B2619" t="s">
        <v>8642</v>
      </c>
      <c r="C2619" t="s">
        <v>8643</v>
      </c>
      <c r="D2619" t="s">
        <v>8644</v>
      </c>
      <c r="E2619" t="s">
        <v>14</v>
      </c>
      <c r="F2619" t="s">
        <v>15</v>
      </c>
      <c r="G2619">
        <v>28202</v>
      </c>
      <c r="H2619" t="s">
        <v>16</v>
      </c>
      <c r="I2619">
        <v>78</v>
      </c>
      <c r="J2619">
        <v>1</v>
      </c>
      <c r="K2619" t="s">
        <v>8935</v>
      </c>
    </row>
    <row r="2620" spans="1:11" x14ac:dyDescent="0.25">
      <c r="A2620" t="s">
        <v>8645</v>
      </c>
      <c r="B2620" t="s">
        <v>8646</v>
      </c>
      <c r="C2620" t="s">
        <v>8647</v>
      </c>
      <c r="D2620" t="s">
        <v>8648</v>
      </c>
      <c r="E2620" t="s">
        <v>14</v>
      </c>
      <c r="F2620" t="s">
        <v>15</v>
      </c>
      <c r="G2620">
        <v>28217</v>
      </c>
      <c r="H2620" t="s">
        <v>16</v>
      </c>
      <c r="I2620">
        <v>111</v>
      </c>
      <c r="J2620">
        <v>0</v>
      </c>
      <c r="K2620" t="s">
        <v>8926</v>
      </c>
    </row>
    <row r="2621" spans="1:11" x14ac:dyDescent="0.25">
      <c r="A2621" t="s">
        <v>8649</v>
      </c>
      <c r="B2621" t="s">
        <v>3630</v>
      </c>
      <c r="C2621" t="s">
        <v>3226</v>
      </c>
      <c r="D2621" t="s">
        <v>3091</v>
      </c>
      <c r="E2621" t="s">
        <v>14</v>
      </c>
      <c r="F2621" t="s">
        <v>15</v>
      </c>
      <c r="G2621">
        <v>28277</v>
      </c>
      <c r="H2621" t="s">
        <v>26</v>
      </c>
      <c r="I2621">
        <v>21</v>
      </c>
      <c r="J2621">
        <v>1</v>
      </c>
      <c r="K2621" t="s">
        <v>8935</v>
      </c>
    </row>
    <row r="2622" spans="1:11" x14ac:dyDescent="0.25">
      <c r="A2622" t="s">
        <v>8650</v>
      </c>
      <c r="B2622" t="s">
        <v>8651</v>
      </c>
      <c r="C2622" t="s">
        <v>7109</v>
      </c>
      <c r="D2622" t="s">
        <v>8652</v>
      </c>
      <c r="E2622" t="s">
        <v>14</v>
      </c>
      <c r="F2622" t="s">
        <v>15</v>
      </c>
      <c r="G2622">
        <v>28227</v>
      </c>
      <c r="H2622" t="s">
        <v>26</v>
      </c>
      <c r="I2622">
        <v>18</v>
      </c>
      <c r="J2622">
        <v>0</v>
      </c>
      <c r="K2622" t="s">
        <v>8935</v>
      </c>
    </row>
    <row r="2623" spans="1:11" x14ac:dyDescent="0.25">
      <c r="A2623" t="s">
        <v>8653</v>
      </c>
      <c r="B2623" t="s">
        <v>8654</v>
      </c>
      <c r="C2623" t="s">
        <v>6351</v>
      </c>
      <c r="D2623" t="s">
        <v>8655</v>
      </c>
      <c r="E2623" t="s">
        <v>14</v>
      </c>
      <c r="F2623" t="s">
        <v>15</v>
      </c>
      <c r="G2623">
        <v>28209</v>
      </c>
      <c r="H2623" t="s">
        <v>21</v>
      </c>
      <c r="I2623">
        <v>151</v>
      </c>
      <c r="J2623">
        <v>1</v>
      </c>
      <c r="K2623" t="s">
        <v>8935</v>
      </c>
    </row>
    <row r="2624" spans="1:11" x14ac:dyDescent="0.25">
      <c r="A2624" t="s">
        <v>8656</v>
      </c>
      <c r="B2624" t="s">
        <v>8657</v>
      </c>
      <c r="C2624" t="s">
        <v>2832</v>
      </c>
      <c r="D2624" t="s">
        <v>3504</v>
      </c>
      <c r="E2624" t="s">
        <v>14</v>
      </c>
      <c r="F2624" t="s">
        <v>15</v>
      </c>
      <c r="G2624">
        <v>28202</v>
      </c>
      <c r="H2624" t="s">
        <v>21</v>
      </c>
      <c r="I2624">
        <v>28</v>
      </c>
      <c r="J2624">
        <v>0</v>
      </c>
      <c r="K2624" t="s">
        <v>8921</v>
      </c>
    </row>
    <row r="2625" spans="1:11" x14ac:dyDescent="0.25">
      <c r="A2625" t="s">
        <v>8658</v>
      </c>
      <c r="B2625" t="s">
        <v>8659</v>
      </c>
      <c r="C2625" t="s">
        <v>8660</v>
      </c>
      <c r="E2625" t="s">
        <v>14</v>
      </c>
      <c r="F2625" t="s">
        <v>15</v>
      </c>
      <c r="G2625">
        <v>28269</v>
      </c>
      <c r="H2625" t="s">
        <v>21</v>
      </c>
      <c r="I2625">
        <v>16</v>
      </c>
      <c r="J2625">
        <v>1</v>
      </c>
      <c r="K2625" t="s">
        <v>8935</v>
      </c>
    </row>
    <row r="2626" spans="1:11" x14ac:dyDescent="0.25">
      <c r="A2626" t="s">
        <v>8661</v>
      </c>
      <c r="B2626" t="s">
        <v>139</v>
      </c>
      <c r="C2626" t="s">
        <v>8662</v>
      </c>
      <c r="D2626" t="s">
        <v>8663</v>
      </c>
      <c r="E2626" t="s">
        <v>14</v>
      </c>
      <c r="F2626" t="s">
        <v>15</v>
      </c>
      <c r="G2626">
        <v>28214</v>
      </c>
      <c r="H2626" t="s">
        <v>26</v>
      </c>
      <c r="I2626">
        <v>14</v>
      </c>
      <c r="J2626">
        <v>1</v>
      </c>
      <c r="K2626" t="s">
        <v>8926</v>
      </c>
    </row>
    <row r="2627" spans="1:11" x14ac:dyDescent="0.25">
      <c r="A2627" t="s">
        <v>8664</v>
      </c>
      <c r="B2627" t="s">
        <v>8665</v>
      </c>
      <c r="C2627" t="s">
        <v>1094</v>
      </c>
      <c r="D2627" t="s">
        <v>7195</v>
      </c>
      <c r="E2627" t="s">
        <v>14</v>
      </c>
      <c r="F2627" t="s">
        <v>15</v>
      </c>
      <c r="G2627">
        <v>28262</v>
      </c>
      <c r="H2627" t="s">
        <v>195</v>
      </c>
      <c r="I2627">
        <v>23</v>
      </c>
      <c r="J2627">
        <v>1</v>
      </c>
      <c r="K2627" t="s">
        <v>8925</v>
      </c>
    </row>
    <row r="2628" spans="1:11" x14ac:dyDescent="0.25">
      <c r="A2628" t="s">
        <v>8666</v>
      </c>
      <c r="B2628" t="s">
        <v>8667</v>
      </c>
      <c r="C2628" t="s">
        <v>3677</v>
      </c>
      <c r="D2628" t="s">
        <v>249</v>
      </c>
      <c r="E2628" t="s">
        <v>14</v>
      </c>
      <c r="F2628" t="s">
        <v>15</v>
      </c>
      <c r="G2628">
        <v>28262</v>
      </c>
      <c r="H2628" t="s">
        <v>21</v>
      </c>
      <c r="I2628">
        <v>37</v>
      </c>
      <c r="J2628">
        <v>1</v>
      </c>
      <c r="K2628" t="s">
        <v>8935</v>
      </c>
    </row>
    <row r="2629" spans="1:11" x14ac:dyDescent="0.25">
      <c r="A2629" t="s">
        <v>8668</v>
      </c>
      <c r="B2629" t="s">
        <v>8669</v>
      </c>
      <c r="C2629" t="s">
        <v>615</v>
      </c>
      <c r="D2629" t="s">
        <v>8670</v>
      </c>
      <c r="E2629" t="s">
        <v>14</v>
      </c>
      <c r="F2629" t="s">
        <v>15</v>
      </c>
      <c r="G2629">
        <v>28217</v>
      </c>
      <c r="H2629" t="s">
        <v>16</v>
      </c>
      <c r="I2629">
        <v>43</v>
      </c>
      <c r="J2629">
        <v>1</v>
      </c>
      <c r="K2629" t="s">
        <v>8935</v>
      </c>
    </row>
    <row r="2630" spans="1:11" x14ac:dyDescent="0.25">
      <c r="A2630" t="s">
        <v>8671</v>
      </c>
      <c r="B2630" t="s">
        <v>3700</v>
      </c>
      <c r="C2630" t="s">
        <v>364</v>
      </c>
      <c r="D2630" t="s">
        <v>8672</v>
      </c>
      <c r="E2630" t="s">
        <v>14</v>
      </c>
      <c r="F2630" t="s">
        <v>15</v>
      </c>
      <c r="G2630">
        <v>28209</v>
      </c>
      <c r="H2630" t="s">
        <v>48</v>
      </c>
      <c r="I2630">
        <v>7</v>
      </c>
      <c r="J2630">
        <v>1</v>
      </c>
      <c r="K2630" t="s">
        <v>8935</v>
      </c>
    </row>
    <row r="2631" spans="1:11" x14ac:dyDescent="0.25">
      <c r="A2631" t="s">
        <v>8673</v>
      </c>
      <c r="B2631" t="s">
        <v>8674</v>
      </c>
      <c r="C2631" t="s">
        <v>622</v>
      </c>
      <c r="D2631" t="s">
        <v>8675</v>
      </c>
      <c r="E2631" t="s">
        <v>14</v>
      </c>
      <c r="F2631" t="s">
        <v>15</v>
      </c>
      <c r="G2631">
        <v>28217</v>
      </c>
      <c r="H2631" t="s">
        <v>26</v>
      </c>
      <c r="I2631">
        <v>18</v>
      </c>
      <c r="J2631">
        <v>1</v>
      </c>
      <c r="K2631" t="s">
        <v>8935</v>
      </c>
    </row>
    <row r="2632" spans="1:11" x14ac:dyDescent="0.25">
      <c r="A2632" t="s">
        <v>8676</v>
      </c>
      <c r="B2632" t="s">
        <v>8677</v>
      </c>
      <c r="C2632" t="s">
        <v>467</v>
      </c>
      <c r="D2632" t="s">
        <v>8678</v>
      </c>
      <c r="E2632" t="s">
        <v>14</v>
      </c>
      <c r="F2632" t="s">
        <v>15</v>
      </c>
      <c r="G2632">
        <v>28210</v>
      </c>
      <c r="H2632" t="s">
        <v>48</v>
      </c>
      <c r="I2632">
        <v>25</v>
      </c>
      <c r="J2632">
        <v>1</v>
      </c>
      <c r="K2632" t="s">
        <v>8935</v>
      </c>
    </row>
    <row r="2633" spans="1:11" x14ac:dyDescent="0.25">
      <c r="A2633" t="s">
        <v>8679</v>
      </c>
      <c r="B2633" t="s">
        <v>8680</v>
      </c>
      <c r="C2633" t="s">
        <v>8681</v>
      </c>
      <c r="D2633" t="s">
        <v>6985</v>
      </c>
      <c r="E2633" t="s">
        <v>14</v>
      </c>
      <c r="F2633" t="s">
        <v>15</v>
      </c>
      <c r="G2633">
        <v>28217</v>
      </c>
      <c r="H2633" t="s">
        <v>26</v>
      </c>
      <c r="I2633">
        <v>45</v>
      </c>
      <c r="J2633">
        <v>0</v>
      </c>
      <c r="K2633" t="s">
        <v>8920</v>
      </c>
    </row>
    <row r="2634" spans="1:11" x14ac:dyDescent="0.25">
      <c r="A2634" t="s">
        <v>8682</v>
      </c>
      <c r="B2634" t="s">
        <v>8683</v>
      </c>
      <c r="C2634" t="s">
        <v>7428</v>
      </c>
      <c r="D2634" t="s">
        <v>8684</v>
      </c>
      <c r="E2634" t="s">
        <v>14</v>
      </c>
      <c r="F2634" t="s">
        <v>15</v>
      </c>
      <c r="G2634">
        <v>28214</v>
      </c>
      <c r="H2634" t="s">
        <v>101</v>
      </c>
      <c r="I2634">
        <v>35</v>
      </c>
      <c r="J2634">
        <v>1</v>
      </c>
      <c r="K2634" t="s">
        <v>8935</v>
      </c>
    </row>
    <row r="2635" spans="1:11" x14ac:dyDescent="0.25">
      <c r="A2635" t="s">
        <v>8685</v>
      </c>
      <c r="B2635" t="s">
        <v>316</v>
      </c>
      <c r="C2635" t="s">
        <v>317</v>
      </c>
      <c r="D2635" t="s">
        <v>8686</v>
      </c>
      <c r="E2635" t="s">
        <v>14</v>
      </c>
      <c r="F2635" t="s">
        <v>15</v>
      </c>
      <c r="G2635">
        <v>28278</v>
      </c>
      <c r="H2635" t="s">
        <v>101</v>
      </c>
      <c r="I2635">
        <v>10</v>
      </c>
      <c r="J2635">
        <v>1</v>
      </c>
      <c r="K2635" t="s">
        <v>8935</v>
      </c>
    </row>
    <row r="2636" spans="1:11" x14ac:dyDescent="0.25">
      <c r="A2636" t="s">
        <v>8687</v>
      </c>
      <c r="B2636" t="s">
        <v>8688</v>
      </c>
      <c r="C2636" t="s">
        <v>8689</v>
      </c>
      <c r="D2636" t="s">
        <v>4948</v>
      </c>
      <c r="E2636" t="s">
        <v>14</v>
      </c>
      <c r="F2636" t="s">
        <v>15</v>
      </c>
      <c r="G2636">
        <v>28269</v>
      </c>
      <c r="H2636" t="s">
        <v>16</v>
      </c>
      <c r="I2636">
        <v>102</v>
      </c>
      <c r="J2636">
        <v>1</v>
      </c>
      <c r="K2636" t="s">
        <v>8935</v>
      </c>
    </row>
    <row r="2637" spans="1:11" x14ac:dyDescent="0.25">
      <c r="A2637" t="s">
        <v>8690</v>
      </c>
      <c r="B2637" t="s">
        <v>8691</v>
      </c>
      <c r="C2637" t="s">
        <v>8692</v>
      </c>
      <c r="D2637" t="s">
        <v>2404</v>
      </c>
      <c r="E2637" t="s">
        <v>14</v>
      </c>
      <c r="F2637" t="s">
        <v>15</v>
      </c>
      <c r="G2637">
        <v>28273</v>
      </c>
      <c r="H2637" t="s">
        <v>16</v>
      </c>
      <c r="I2637">
        <v>161</v>
      </c>
      <c r="J2637">
        <v>1</v>
      </c>
      <c r="K2637" t="s">
        <v>8925</v>
      </c>
    </row>
    <row r="2638" spans="1:11" x14ac:dyDescent="0.25">
      <c r="A2638" t="s">
        <v>8693</v>
      </c>
      <c r="B2638" t="s">
        <v>1161</v>
      </c>
      <c r="C2638" t="s">
        <v>87</v>
      </c>
      <c r="D2638" t="s">
        <v>84</v>
      </c>
      <c r="E2638" t="s">
        <v>14</v>
      </c>
      <c r="F2638" t="s">
        <v>15</v>
      </c>
      <c r="G2638">
        <v>28208</v>
      </c>
      <c r="H2638" t="s">
        <v>265</v>
      </c>
      <c r="I2638">
        <v>22</v>
      </c>
      <c r="J2638">
        <v>1</v>
      </c>
      <c r="K2638" t="s">
        <v>8935</v>
      </c>
    </row>
    <row r="2639" spans="1:11" x14ac:dyDescent="0.25">
      <c r="A2639" t="s">
        <v>8694</v>
      </c>
      <c r="B2639" t="s">
        <v>6347</v>
      </c>
      <c r="C2639" t="s">
        <v>193</v>
      </c>
      <c r="D2639" t="s">
        <v>8695</v>
      </c>
      <c r="E2639" t="s">
        <v>14</v>
      </c>
      <c r="F2639" t="s">
        <v>15</v>
      </c>
      <c r="G2639">
        <v>28269</v>
      </c>
      <c r="H2639" t="s">
        <v>101</v>
      </c>
      <c r="I2639">
        <v>12</v>
      </c>
      <c r="J2639">
        <v>1</v>
      </c>
      <c r="K2639" t="s">
        <v>8935</v>
      </c>
    </row>
    <row r="2640" spans="1:11" x14ac:dyDescent="0.25">
      <c r="A2640" t="s">
        <v>8696</v>
      </c>
      <c r="B2640" t="s">
        <v>8697</v>
      </c>
      <c r="C2640" t="s">
        <v>4010</v>
      </c>
      <c r="D2640" t="s">
        <v>8698</v>
      </c>
      <c r="E2640" t="s">
        <v>14</v>
      </c>
      <c r="F2640" t="s">
        <v>15</v>
      </c>
      <c r="G2640">
        <v>28273</v>
      </c>
      <c r="H2640" t="s">
        <v>26</v>
      </c>
      <c r="I2640">
        <v>44</v>
      </c>
      <c r="J2640">
        <v>1</v>
      </c>
      <c r="K2640" t="s">
        <v>8925</v>
      </c>
    </row>
    <row r="2641" spans="1:11" x14ac:dyDescent="0.25">
      <c r="A2641" t="s">
        <v>8699</v>
      </c>
      <c r="B2641" t="s">
        <v>8700</v>
      </c>
      <c r="C2641" t="s">
        <v>8701</v>
      </c>
      <c r="D2641" t="s">
        <v>8702</v>
      </c>
      <c r="E2641" t="s">
        <v>14</v>
      </c>
      <c r="F2641" t="s">
        <v>15</v>
      </c>
      <c r="G2641">
        <v>28269</v>
      </c>
      <c r="H2641" t="s">
        <v>16</v>
      </c>
      <c r="I2641">
        <v>26</v>
      </c>
      <c r="J2641">
        <v>1</v>
      </c>
      <c r="K2641" t="s">
        <v>8935</v>
      </c>
    </row>
    <row r="2642" spans="1:11" x14ac:dyDescent="0.25">
      <c r="A2642" t="e">
        <f>-WZODoBei3z9QyWOUkgCxA</f>
        <v>#NAME?</v>
      </c>
      <c r="B2642" t="s">
        <v>8703</v>
      </c>
      <c r="C2642" t="s">
        <v>8704</v>
      </c>
      <c r="D2642" t="s">
        <v>3589</v>
      </c>
      <c r="E2642" t="s">
        <v>14</v>
      </c>
      <c r="F2642" t="s">
        <v>15</v>
      </c>
      <c r="G2642">
        <v>28273</v>
      </c>
      <c r="H2642" t="s">
        <v>48</v>
      </c>
      <c r="I2642">
        <v>11</v>
      </c>
      <c r="J2642">
        <v>1</v>
      </c>
      <c r="K2642" t="s">
        <v>8935</v>
      </c>
    </row>
    <row r="2643" spans="1:11" x14ac:dyDescent="0.25">
      <c r="A2643" t="s">
        <v>8705</v>
      </c>
      <c r="B2643" t="s">
        <v>8706</v>
      </c>
      <c r="C2643" t="s">
        <v>8707</v>
      </c>
      <c r="D2643" t="s">
        <v>7696</v>
      </c>
      <c r="E2643" t="s">
        <v>14</v>
      </c>
      <c r="F2643" t="s">
        <v>15</v>
      </c>
      <c r="G2643">
        <v>28277</v>
      </c>
      <c r="H2643" t="s">
        <v>21</v>
      </c>
      <c r="I2643">
        <v>123</v>
      </c>
      <c r="J2643">
        <v>0</v>
      </c>
      <c r="K2643" t="s">
        <v>8921</v>
      </c>
    </row>
    <row r="2644" spans="1:11" x14ac:dyDescent="0.25">
      <c r="A2644" t="s">
        <v>8708</v>
      </c>
      <c r="B2644" t="s">
        <v>1273</v>
      </c>
      <c r="C2644" t="s">
        <v>364</v>
      </c>
      <c r="D2644" t="s">
        <v>565</v>
      </c>
      <c r="E2644" t="s">
        <v>14</v>
      </c>
      <c r="F2644" t="s">
        <v>15</v>
      </c>
      <c r="G2644">
        <v>28246</v>
      </c>
      <c r="H2644" t="s">
        <v>26</v>
      </c>
      <c r="I2644">
        <v>4</v>
      </c>
      <c r="J2644">
        <v>1</v>
      </c>
      <c r="K2644" t="s">
        <v>8935</v>
      </c>
    </row>
    <row r="2645" spans="1:11" x14ac:dyDescent="0.25">
      <c r="A2645" t="s">
        <v>8709</v>
      </c>
      <c r="B2645" t="s">
        <v>8710</v>
      </c>
      <c r="C2645" t="s">
        <v>8711</v>
      </c>
      <c r="D2645" t="s">
        <v>6654</v>
      </c>
      <c r="E2645" t="s">
        <v>14</v>
      </c>
      <c r="F2645" t="s">
        <v>15</v>
      </c>
      <c r="G2645">
        <v>28262</v>
      </c>
      <c r="H2645" t="s">
        <v>16</v>
      </c>
      <c r="I2645">
        <v>153</v>
      </c>
      <c r="J2645">
        <v>0</v>
      </c>
      <c r="K2645" t="s">
        <v>8935</v>
      </c>
    </row>
    <row r="2646" spans="1:11" x14ac:dyDescent="0.25">
      <c r="A2646" t="s">
        <v>8712</v>
      </c>
      <c r="B2646" t="s">
        <v>8713</v>
      </c>
      <c r="C2646" t="s">
        <v>3020</v>
      </c>
      <c r="D2646" t="s">
        <v>8714</v>
      </c>
      <c r="E2646" t="s">
        <v>14</v>
      </c>
      <c r="F2646" t="s">
        <v>15</v>
      </c>
      <c r="G2646">
        <v>28262</v>
      </c>
      <c r="H2646" t="s">
        <v>48</v>
      </c>
      <c r="I2646">
        <v>29</v>
      </c>
      <c r="J2646">
        <v>1</v>
      </c>
      <c r="K2646" t="s">
        <v>8935</v>
      </c>
    </row>
    <row r="2647" spans="1:11" x14ac:dyDescent="0.25">
      <c r="A2647" t="s">
        <v>8715</v>
      </c>
      <c r="B2647" t="s">
        <v>8716</v>
      </c>
      <c r="C2647" t="s">
        <v>8717</v>
      </c>
      <c r="D2647" t="s">
        <v>8718</v>
      </c>
      <c r="E2647" t="s">
        <v>14</v>
      </c>
      <c r="F2647" t="s">
        <v>15</v>
      </c>
      <c r="G2647">
        <v>28273</v>
      </c>
      <c r="H2647" t="s">
        <v>16</v>
      </c>
      <c r="I2647">
        <v>12</v>
      </c>
      <c r="J2647">
        <v>1</v>
      </c>
      <c r="K2647" t="s">
        <v>8927</v>
      </c>
    </row>
    <row r="2648" spans="1:11" x14ac:dyDescent="0.25">
      <c r="A2648" t="s">
        <v>8719</v>
      </c>
      <c r="B2648" t="s">
        <v>8720</v>
      </c>
      <c r="C2648" t="s">
        <v>8721</v>
      </c>
      <c r="D2648" t="s">
        <v>8722</v>
      </c>
      <c r="E2648" t="s">
        <v>14</v>
      </c>
      <c r="F2648" t="s">
        <v>15</v>
      </c>
      <c r="G2648">
        <v>28211</v>
      </c>
      <c r="H2648" t="s">
        <v>39</v>
      </c>
      <c r="I2648">
        <v>85</v>
      </c>
      <c r="J2648">
        <v>1</v>
      </c>
      <c r="K2648" t="s">
        <v>8937</v>
      </c>
    </row>
    <row r="2649" spans="1:11" x14ac:dyDescent="0.25">
      <c r="A2649" t="s">
        <v>8723</v>
      </c>
      <c r="B2649" t="s">
        <v>8724</v>
      </c>
      <c r="C2649" t="s">
        <v>2380</v>
      </c>
      <c r="D2649" t="s">
        <v>2947</v>
      </c>
      <c r="E2649" t="s">
        <v>14</v>
      </c>
      <c r="F2649" t="s">
        <v>15</v>
      </c>
      <c r="G2649">
        <v>28205</v>
      </c>
      <c r="H2649" t="s">
        <v>39</v>
      </c>
      <c r="I2649">
        <v>96</v>
      </c>
      <c r="J2649">
        <v>1</v>
      </c>
      <c r="K2649" t="s">
        <v>8931</v>
      </c>
    </row>
    <row r="2650" spans="1:11" x14ac:dyDescent="0.25">
      <c r="A2650" t="s">
        <v>8725</v>
      </c>
      <c r="B2650" t="s">
        <v>8726</v>
      </c>
      <c r="C2650" t="s">
        <v>6606</v>
      </c>
      <c r="D2650" t="s">
        <v>8727</v>
      </c>
      <c r="E2650" t="s">
        <v>14</v>
      </c>
      <c r="F2650" t="s">
        <v>15</v>
      </c>
      <c r="G2650">
        <v>28277</v>
      </c>
      <c r="H2650" t="s">
        <v>16</v>
      </c>
      <c r="I2650">
        <v>173</v>
      </c>
      <c r="J2650">
        <v>1</v>
      </c>
      <c r="K2650" t="s">
        <v>8935</v>
      </c>
    </row>
    <row r="2651" spans="1:11" x14ac:dyDescent="0.25">
      <c r="A2651" t="s">
        <v>8728</v>
      </c>
      <c r="B2651" t="s">
        <v>375</v>
      </c>
      <c r="C2651" t="s">
        <v>8729</v>
      </c>
      <c r="D2651" t="s">
        <v>8730</v>
      </c>
      <c r="E2651" t="s">
        <v>14</v>
      </c>
      <c r="F2651" t="s">
        <v>15</v>
      </c>
      <c r="G2651">
        <v>28269</v>
      </c>
      <c r="H2651" t="s">
        <v>39</v>
      </c>
      <c r="I2651">
        <v>23</v>
      </c>
      <c r="J2651">
        <v>1</v>
      </c>
      <c r="K2651" t="s">
        <v>8929</v>
      </c>
    </row>
    <row r="2652" spans="1:11" x14ac:dyDescent="0.25">
      <c r="A2652" t="s">
        <v>8731</v>
      </c>
      <c r="B2652" t="s">
        <v>7741</v>
      </c>
      <c r="C2652" t="s">
        <v>2202</v>
      </c>
      <c r="D2652" t="s">
        <v>8732</v>
      </c>
      <c r="E2652" t="s">
        <v>14</v>
      </c>
      <c r="F2652" t="s">
        <v>15</v>
      </c>
      <c r="G2652">
        <v>28202</v>
      </c>
      <c r="H2652" t="s">
        <v>39</v>
      </c>
      <c r="I2652">
        <v>30</v>
      </c>
      <c r="J2652">
        <v>1</v>
      </c>
      <c r="K2652" t="s">
        <v>8935</v>
      </c>
    </row>
    <row r="2653" spans="1:11" x14ac:dyDescent="0.25">
      <c r="A2653" t="s">
        <v>8733</v>
      </c>
      <c r="B2653" t="s">
        <v>8734</v>
      </c>
      <c r="C2653" t="s">
        <v>2818</v>
      </c>
      <c r="D2653" t="s">
        <v>2671</v>
      </c>
      <c r="E2653" t="s">
        <v>14</v>
      </c>
      <c r="F2653" t="s">
        <v>15</v>
      </c>
      <c r="G2653">
        <v>28205</v>
      </c>
      <c r="H2653" t="s">
        <v>21</v>
      </c>
      <c r="I2653">
        <v>37</v>
      </c>
      <c r="J2653">
        <v>1</v>
      </c>
      <c r="K2653" t="s">
        <v>8931</v>
      </c>
    </row>
    <row r="2654" spans="1:11" x14ac:dyDescent="0.25">
      <c r="A2654" t="s">
        <v>8735</v>
      </c>
      <c r="B2654" t="s">
        <v>8736</v>
      </c>
      <c r="C2654" t="s">
        <v>8737</v>
      </c>
      <c r="D2654" t="s">
        <v>8738</v>
      </c>
      <c r="E2654" t="s">
        <v>14</v>
      </c>
      <c r="F2654" t="s">
        <v>15</v>
      </c>
      <c r="G2654">
        <v>28262</v>
      </c>
      <c r="H2654" t="s">
        <v>21</v>
      </c>
      <c r="I2654">
        <v>59</v>
      </c>
      <c r="J2654">
        <v>1</v>
      </c>
      <c r="K2654" t="s">
        <v>8921</v>
      </c>
    </row>
    <row r="2655" spans="1:11" x14ac:dyDescent="0.25">
      <c r="A2655" t="s">
        <v>8739</v>
      </c>
      <c r="B2655" t="s">
        <v>8740</v>
      </c>
      <c r="C2655" t="s">
        <v>8741</v>
      </c>
      <c r="D2655" t="s">
        <v>1621</v>
      </c>
      <c r="E2655" t="s">
        <v>14</v>
      </c>
      <c r="F2655" t="s">
        <v>15</v>
      </c>
      <c r="G2655">
        <v>28208</v>
      </c>
      <c r="H2655" t="s">
        <v>26</v>
      </c>
      <c r="I2655">
        <v>6</v>
      </c>
      <c r="J2655">
        <v>0</v>
      </c>
      <c r="K2655" t="s">
        <v>8935</v>
      </c>
    </row>
    <row r="2656" spans="1:11" x14ac:dyDescent="0.25">
      <c r="A2656" t="s">
        <v>8742</v>
      </c>
      <c r="B2656" t="s">
        <v>8743</v>
      </c>
      <c r="C2656" t="s">
        <v>193</v>
      </c>
      <c r="D2656" t="s">
        <v>8744</v>
      </c>
      <c r="E2656" t="s">
        <v>14</v>
      </c>
      <c r="F2656" t="s">
        <v>15</v>
      </c>
      <c r="G2656">
        <v>28216</v>
      </c>
      <c r="H2656" t="s">
        <v>265</v>
      </c>
      <c r="I2656">
        <v>12</v>
      </c>
      <c r="J2656">
        <v>1</v>
      </c>
      <c r="K2656" t="s">
        <v>8935</v>
      </c>
    </row>
    <row r="2657" spans="1:11" x14ac:dyDescent="0.25">
      <c r="A2657" t="s">
        <v>8745</v>
      </c>
      <c r="B2657" t="s">
        <v>8746</v>
      </c>
      <c r="C2657" t="s">
        <v>1937</v>
      </c>
      <c r="D2657" t="s">
        <v>8747</v>
      </c>
      <c r="E2657" t="s">
        <v>14</v>
      </c>
      <c r="F2657" t="s">
        <v>15</v>
      </c>
      <c r="G2657">
        <v>28203</v>
      </c>
      <c r="H2657" t="s">
        <v>16</v>
      </c>
      <c r="I2657">
        <v>137</v>
      </c>
      <c r="J2657">
        <v>1</v>
      </c>
      <c r="K2657" t="s">
        <v>8935</v>
      </c>
    </row>
    <row r="2658" spans="1:11" x14ac:dyDescent="0.25">
      <c r="A2658" t="s">
        <v>8748</v>
      </c>
      <c r="B2658" t="s">
        <v>8749</v>
      </c>
      <c r="C2658" t="s">
        <v>3190</v>
      </c>
      <c r="D2658" t="s">
        <v>6320</v>
      </c>
      <c r="E2658" t="s">
        <v>14</v>
      </c>
      <c r="F2658" t="s">
        <v>15</v>
      </c>
      <c r="G2658">
        <v>28203</v>
      </c>
      <c r="H2658" t="s">
        <v>146</v>
      </c>
      <c r="I2658">
        <v>4</v>
      </c>
      <c r="J2658">
        <v>1</v>
      </c>
      <c r="K2658" t="s">
        <v>8935</v>
      </c>
    </row>
    <row r="2659" spans="1:11" x14ac:dyDescent="0.25">
      <c r="A2659" t="s">
        <v>8750</v>
      </c>
      <c r="B2659" t="s">
        <v>8751</v>
      </c>
      <c r="C2659" t="s">
        <v>8752</v>
      </c>
      <c r="E2659" t="s">
        <v>14</v>
      </c>
      <c r="F2659" t="s">
        <v>15</v>
      </c>
      <c r="H2659" t="s">
        <v>26</v>
      </c>
      <c r="I2659">
        <v>38</v>
      </c>
      <c r="J2659">
        <v>1</v>
      </c>
      <c r="K2659" t="s">
        <v>8925</v>
      </c>
    </row>
    <row r="2660" spans="1:11" x14ac:dyDescent="0.25">
      <c r="A2660" t="s">
        <v>8753</v>
      </c>
      <c r="B2660" t="s">
        <v>8754</v>
      </c>
      <c r="C2660" t="s">
        <v>8755</v>
      </c>
      <c r="D2660" t="s">
        <v>8756</v>
      </c>
      <c r="E2660" t="s">
        <v>14</v>
      </c>
      <c r="F2660" t="s">
        <v>15</v>
      </c>
      <c r="G2660">
        <v>28269</v>
      </c>
      <c r="H2660" t="s">
        <v>16</v>
      </c>
      <c r="I2660">
        <v>26</v>
      </c>
      <c r="J2660">
        <v>1</v>
      </c>
      <c r="K2660" t="s">
        <v>8935</v>
      </c>
    </row>
    <row r="2661" spans="1:11" x14ac:dyDescent="0.25">
      <c r="A2661" t="s">
        <v>8757</v>
      </c>
      <c r="B2661" t="s">
        <v>8758</v>
      </c>
      <c r="C2661" t="s">
        <v>8759</v>
      </c>
      <c r="D2661" t="s">
        <v>8760</v>
      </c>
      <c r="E2661" t="s">
        <v>14</v>
      </c>
      <c r="F2661" t="s">
        <v>15</v>
      </c>
      <c r="G2661">
        <v>28213</v>
      </c>
      <c r="H2661" t="s">
        <v>21</v>
      </c>
      <c r="I2661">
        <v>71</v>
      </c>
      <c r="J2661">
        <v>1</v>
      </c>
      <c r="K2661" t="s">
        <v>8935</v>
      </c>
    </row>
    <row r="2662" spans="1:11" x14ac:dyDescent="0.25">
      <c r="A2662" t="s">
        <v>8761</v>
      </c>
      <c r="B2662" t="s">
        <v>8762</v>
      </c>
      <c r="C2662" t="s">
        <v>8763</v>
      </c>
      <c r="D2662" t="s">
        <v>8764</v>
      </c>
      <c r="E2662" t="s">
        <v>14</v>
      </c>
      <c r="F2662" t="s">
        <v>15</v>
      </c>
      <c r="G2662">
        <v>28209</v>
      </c>
      <c r="H2662" t="s">
        <v>16</v>
      </c>
      <c r="I2662">
        <v>81</v>
      </c>
      <c r="J2662">
        <v>1</v>
      </c>
      <c r="K2662" t="s">
        <v>8935</v>
      </c>
    </row>
    <row r="2663" spans="1:11" x14ac:dyDescent="0.25">
      <c r="A2663" t="s">
        <v>8765</v>
      </c>
      <c r="B2663" t="s">
        <v>8766</v>
      </c>
      <c r="C2663" t="s">
        <v>8767</v>
      </c>
      <c r="D2663" t="s">
        <v>8768</v>
      </c>
      <c r="E2663" t="s">
        <v>14</v>
      </c>
      <c r="F2663" t="s">
        <v>15</v>
      </c>
      <c r="G2663">
        <v>28226</v>
      </c>
      <c r="H2663" t="s">
        <v>16</v>
      </c>
      <c r="I2663">
        <v>119</v>
      </c>
      <c r="J2663">
        <v>1</v>
      </c>
      <c r="K2663" t="s">
        <v>8921</v>
      </c>
    </row>
    <row r="2664" spans="1:11" x14ac:dyDescent="0.25">
      <c r="A2664" t="s">
        <v>8769</v>
      </c>
      <c r="B2664" t="s">
        <v>312</v>
      </c>
      <c r="C2664" t="s">
        <v>8770</v>
      </c>
      <c r="D2664" t="s">
        <v>8771</v>
      </c>
      <c r="E2664" t="s">
        <v>14</v>
      </c>
      <c r="F2664" t="s">
        <v>15</v>
      </c>
      <c r="G2664">
        <v>28208</v>
      </c>
      <c r="H2664" t="s">
        <v>16</v>
      </c>
      <c r="I2664">
        <v>17</v>
      </c>
      <c r="J2664">
        <v>0</v>
      </c>
      <c r="K2664" t="s">
        <v>8925</v>
      </c>
    </row>
    <row r="2665" spans="1:11" x14ac:dyDescent="0.25">
      <c r="A2665" t="s">
        <v>8772</v>
      </c>
      <c r="B2665" t="s">
        <v>8773</v>
      </c>
      <c r="C2665" t="s">
        <v>8774</v>
      </c>
      <c r="D2665" t="s">
        <v>2668</v>
      </c>
      <c r="E2665" t="s">
        <v>14</v>
      </c>
      <c r="F2665" t="s">
        <v>15</v>
      </c>
      <c r="G2665">
        <v>28205</v>
      </c>
      <c r="H2665" t="s">
        <v>16</v>
      </c>
      <c r="I2665">
        <v>82</v>
      </c>
      <c r="J2665">
        <v>0</v>
      </c>
      <c r="K2665" t="s">
        <v>8927</v>
      </c>
    </row>
    <row r="2666" spans="1:11" x14ac:dyDescent="0.25">
      <c r="A2666" t="s">
        <v>8775</v>
      </c>
      <c r="B2666" t="s">
        <v>8776</v>
      </c>
      <c r="C2666" t="s">
        <v>8777</v>
      </c>
      <c r="D2666" t="s">
        <v>1363</v>
      </c>
      <c r="E2666" t="s">
        <v>14</v>
      </c>
      <c r="F2666" t="s">
        <v>15</v>
      </c>
      <c r="G2666">
        <v>28277</v>
      </c>
      <c r="H2666" t="s">
        <v>26</v>
      </c>
      <c r="I2666">
        <v>4</v>
      </c>
      <c r="J2666">
        <v>0</v>
      </c>
      <c r="K2666" t="s">
        <v>8935</v>
      </c>
    </row>
    <row r="2667" spans="1:11" x14ac:dyDescent="0.25">
      <c r="A2667" t="s">
        <v>8778</v>
      </c>
      <c r="B2667" t="s">
        <v>8779</v>
      </c>
      <c r="C2667" t="s">
        <v>8780</v>
      </c>
      <c r="D2667" t="s">
        <v>8781</v>
      </c>
      <c r="E2667" t="s">
        <v>14</v>
      </c>
      <c r="F2667" t="s">
        <v>15</v>
      </c>
      <c r="G2667">
        <v>28262</v>
      </c>
      <c r="H2667" t="s">
        <v>39</v>
      </c>
      <c r="I2667">
        <v>31</v>
      </c>
      <c r="J2667">
        <v>1</v>
      </c>
      <c r="K2667" t="s">
        <v>8923</v>
      </c>
    </row>
    <row r="2668" spans="1:11" x14ac:dyDescent="0.25">
      <c r="A2668" t="s">
        <v>8782</v>
      </c>
      <c r="B2668" t="s">
        <v>8783</v>
      </c>
      <c r="C2668" t="s">
        <v>8784</v>
      </c>
      <c r="D2668" t="s">
        <v>8785</v>
      </c>
      <c r="E2668" t="s">
        <v>14</v>
      </c>
      <c r="F2668" t="s">
        <v>15</v>
      </c>
      <c r="G2668">
        <v>28277</v>
      </c>
      <c r="H2668" t="s">
        <v>21</v>
      </c>
      <c r="I2668">
        <v>66</v>
      </c>
      <c r="J2668">
        <v>1</v>
      </c>
      <c r="K2668" t="s">
        <v>8935</v>
      </c>
    </row>
    <row r="2669" spans="1:11" x14ac:dyDescent="0.25">
      <c r="A2669" t="s">
        <v>8786</v>
      </c>
      <c r="B2669" t="s">
        <v>8787</v>
      </c>
      <c r="C2669" t="s">
        <v>8788</v>
      </c>
      <c r="D2669" t="s">
        <v>8789</v>
      </c>
      <c r="E2669" t="s">
        <v>14</v>
      </c>
      <c r="F2669" t="s">
        <v>15</v>
      </c>
      <c r="G2669">
        <v>28269</v>
      </c>
      <c r="H2669" t="s">
        <v>21</v>
      </c>
      <c r="I2669">
        <v>53</v>
      </c>
      <c r="J2669">
        <v>1</v>
      </c>
      <c r="K2669" t="s">
        <v>8935</v>
      </c>
    </row>
    <row r="2670" spans="1:11" x14ac:dyDescent="0.25">
      <c r="A2670" t="s">
        <v>8790</v>
      </c>
      <c r="B2670" t="s">
        <v>8791</v>
      </c>
      <c r="C2670" t="s">
        <v>2082</v>
      </c>
      <c r="D2670" t="s">
        <v>8792</v>
      </c>
      <c r="E2670" t="s">
        <v>14</v>
      </c>
      <c r="F2670" t="s">
        <v>15</v>
      </c>
      <c r="G2670">
        <v>28273</v>
      </c>
      <c r="H2670" t="s">
        <v>48</v>
      </c>
      <c r="I2670">
        <v>15</v>
      </c>
      <c r="J2670">
        <v>1</v>
      </c>
      <c r="K2670" t="s">
        <v>8935</v>
      </c>
    </row>
    <row r="2671" spans="1:11" x14ac:dyDescent="0.25">
      <c r="A2671" t="s">
        <v>8793</v>
      </c>
      <c r="B2671" t="s">
        <v>8794</v>
      </c>
      <c r="C2671" t="s">
        <v>8795</v>
      </c>
      <c r="D2671" t="s">
        <v>8796</v>
      </c>
      <c r="E2671" t="s">
        <v>14</v>
      </c>
      <c r="F2671" t="s">
        <v>15</v>
      </c>
      <c r="G2671">
        <v>28205</v>
      </c>
      <c r="H2671" t="s">
        <v>21</v>
      </c>
      <c r="I2671">
        <v>338</v>
      </c>
      <c r="J2671">
        <v>1</v>
      </c>
      <c r="K2671" t="s">
        <v>8935</v>
      </c>
    </row>
    <row r="2672" spans="1:11" x14ac:dyDescent="0.25">
      <c r="A2672" t="s">
        <v>8797</v>
      </c>
      <c r="B2672" t="s">
        <v>8798</v>
      </c>
      <c r="C2672" t="s">
        <v>653</v>
      </c>
      <c r="D2672" t="s">
        <v>8799</v>
      </c>
      <c r="E2672" t="s">
        <v>14</v>
      </c>
      <c r="F2672" t="s">
        <v>15</v>
      </c>
      <c r="G2672">
        <v>28277</v>
      </c>
      <c r="H2672" t="s">
        <v>21</v>
      </c>
      <c r="I2672">
        <v>147</v>
      </c>
      <c r="J2672">
        <v>1</v>
      </c>
      <c r="K2672" t="s">
        <v>8926</v>
      </c>
    </row>
    <row r="2673" spans="1:11" x14ac:dyDescent="0.25">
      <c r="A2673" t="s">
        <v>8800</v>
      </c>
      <c r="B2673" t="s">
        <v>8801</v>
      </c>
      <c r="C2673" t="s">
        <v>8802</v>
      </c>
      <c r="D2673" t="s">
        <v>84</v>
      </c>
      <c r="E2673" t="s">
        <v>14</v>
      </c>
      <c r="F2673" t="s">
        <v>15</v>
      </c>
      <c r="G2673">
        <v>28208</v>
      </c>
      <c r="H2673" t="s">
        <v>48</v>
      </c>
      <c r="I2673">
        <v>26</v>
      </c>
      <c r="J2673">
        <v>1</v>
      </c>
      <c r="K2673" t="s">
        <v>8935</v>
      </c>
    </row>
    <row r="2674" spans="1:11" x14ac:dyDescent="0.25">
      <c r="A2674" t="s">
        <v>8803</v>
      </c>
      <c r="B2674" t="s">
        <v>8804</v>
      </c>
      <c r="C2674" t="s">
        <v>193</v>
      </c>
      <c r="D2674" t="s">
        <v>8805</v>
      </c>
      <c r="E2674" t="s">
        <v>14</v>
      </c>
      <c r="F2674" t="s">
        <v>15</v>
      </c>
      <c r="G2674">
        <v>28210</v>
      </c>
      <c r="H2674" t="s">
        <v>195</v>
      </c>
      <c r="I2674">
        <v>23</v>
      </c>
      <c r="J2674">
        <v>1</v>
      </c>
      <c r="K2674" t="s">
        <v>8935</v>
      </c>
    </row>
    <row r="2675" spans="1:11" x14ac:dyDescent="0.25">
      <c r="A2675" t="s">
        <v>8806</v>
      </c>
      <c r="B2675" t="s">
        <v>8807</v>
      </c>
      <c r="C2675" t="s">
        <v>8808</v>
      </c>
      <c r="D2675" t="s">
        <v>8809</v>
      </c>
      <c r="E2675" t="s">
        <v>14</v>
      </c>
      <c r="F2675" t="s">
        <v>15</v>
      </c>
      <c r="G2675">
        <v>28213</v>
      </c>
      <c r="H2675" t="s">
        <v>146</v>
      </c>
      <c r="I2675">
        <v>5</v>
      </c>
      <c r="J2675">
        <v>1</v>
      </c>
      <c r="K2675" t="s">
        <v>8925</v>
      </c>
    </row>
    <row r="2676" spans="1:11" x14ac:dyDescent="0.25">
      <c r="A2676" t="s">
        <v>8810</v>
      </c>
      <c r="B2676" t="s">
        <v>8811</v>
      </c>
      <c r="C2676" t="s">
        <v>8812</v>
      </c>
      <c r="D2676" t="s">
        <v>84</v>
      </c>
      <c r="E2676" t="s">
        <v>14</v>
      </c>
      <c r="F2676" t="s">
        <v>15</v>
      </c>
      <c r="G2676">
        <v>28208</v>
      </c>
      <c r="H2676" t="s">
        <v>26</v>
      </c>
      <c r="I2676">
        <v>3</v>
      </c>
      <c r="J2676">
        <v>1</v>
      </c>
      <c r="K2676" t="s">
        <v>8935</v>
      </c>
    </row>
    <row r="2677" spans="1:11" x14ac:dyDescent="0.25">
      <c r="A2677" t="s">
        <v>8813</v>
      </c>
      <c r="B2677" t="s">
        <v>8814</v>
      </c>
      <c r="C2677" t="s">
        <v>8815</v>
      </c>
      <c r="D2677" t="s">
        <v>1857</v>
      </c>
      <c r="E2677" t="s">
        <v>14</v>
      </c>
      <c r="F2677" t="s">
        <v>15</v>
      </c>
      <c r="G2677">
        <v>28226</v>
      </c>
      <c r="H2677" t="s">
        <v>16</v>
      </c>
      <c r="I2677">
        <v>9</v>
      </c>
      <c r="J2677">
        <v>0</v>
      </c>
      <c r="K2677" t="s">
        <v>8926</v>
      </c>
    </row>
    <row r="2678" spans="1:11" x14ac:dyDescent="0.25">
      <c r="A2678" t="s">
        <v>8816</v>
      </c>
      <c r="B2678" t="s">
        <v>8817</v>
      </c>
      <c r="C2678" t="s">
        <v>622</v>
      </c>
      <c r="D2678" t="s">
        <v>8818</v>
      </c>
      <c r="E2678" t="s">
        <v>14</v>
      </c>
      <c r="F2678" t="s">
        <v>15</v>
      </c>
      <c r="G2678">
        <v>28217</v>
      </c>
      <c r="H2678" t="s">
        <v>48</v>
      </c>
      <c r="I2678">
        <v>30</v>
      </c>
      <c r="J2678">
        <v>1</v>
      </c>
      <c r="K2678" t="s">
        <v>8935</v>
      </c>
    </row>
    <row r="2679" spans="1:11" x14ac:dyDescent="0.25">
      <c r="A2679" t="s">
        <v>8819</v>
      </c>
      <c r="B2679" t="s">
        <v>718</v>
      </c>
      <c r="C2679" t="s">
        <v>8820</v>
      </c>
      <c r="D2679" t="s">
        <v>1143</v>
      </c>
      <c r="E2679" t="s">
        <v>14</v>
      </c>
      <c r="F2679" t="s">
        <v>15</v>
      </c>
      <c r="G2679">
        <v>28202</v>
      </c>
      <c r="H2679" t="s">
        <v>21</v>
      </c>
      <c r="I2679">
        <v>15</v>
      </c>
      <c r="J2679">
        <v>0</v>
      </c>
      <c r="K2679" t="s">
        <v>8935</v>
      </c>
    </row>
    <row r="2680" spans="1:11" x14ac:dyDescent="0.25">
      <c r="A2680" t="s">
        <v>8821</v>
      </c>
      <c r="B2680" t="s">
        <v>6659</v>
      </c>
      <c r="C2680" t="s">
        <v>221</v>
      </c>
      <c r="D2680" t="s">
        <v>8822</v>
      </c>
      <c r="E2680" t="s">
        <v>14</v>
      </c>
      <c r="F2680" t="s">
        <v>15</v>
      </c>
      <c r="G2680">
        <v>28273</v>
      </c>
      <c r="H2680" t="s">
        <v>101</v>
      </c>
      <c r="I2680">
        <v>14</v>
      </c>
      <c r="J2680">
        <v>1</v>
      </c>
      <c r="K2680" t="s">
        <v>8935</v>
      </c>
    </row>
    <row r="2681" spans="1:11" x14ac:dyDescent="0.25">
      <c r="A2681" t="s">
        <v>8823</v>
      </c>
      <c r="B2681" t="s">
        <v>5849</v>
      </c>
      <c r="C2681" t="s">
        <v>3226</v>
      </c>
      <c r="D2681" t="s">
        <v>8824</v>
      </c>
      <c r="E2681" t="s">
        <v>14</v>
      </c>
      <c r="F2681" t="s">
        <v>15</v>
      </c>
      <c r="G2681">
        <v>28202</v>
      </c>
      <c r="H2681" t="s">
        <v>26</v>
      </c>
      <c r="I2681">
        <v>20</v>
      </c>
      <c r="J2681">
        <v>1</v>
      </c>
      <c r="K2681" t="s">
        <v>8935</v>
      </c>
    </row>
    <row r="2682" spans="1:11" x14ac:dyDescent="0.25">
      <c r="A2682" t="s">
        <v>8825</v>
      </c>
      <c r="B2682" t="s">
        <v>1347</v>
      </c>
      <c r="C2682" t="s">
        <v>8826</v>
      </c>
      <c r="D2682" t="s">
        <v>2675</v>
      </c>
      <c r="E2682" t="s">
        <v>14</v>
      </c>
      <c r="F2682" t="s">
        <v>15</v>
      </c>
      <c r="G2682">
        <v>28277</v>
      </c>
      <c r="H2682" t="s">
        <v>39</v>
      </c>
      <c r="I2682">
        <v>6</v>
      </c>
      <c r="J2682">
        <v>1</v>
      </c>
      <c r="K2682" t="s">
        <v>8930</v>
      </c>
    </row>
    <row r="2683" spans="1:11" x14ac:dyDescent="0.25">
      <c r="A2683" t="s">
        <v>8827</v>
      </c>
      <c r="B2683" t="s">
        <v>8828</v>
      </c>
      <c r="C2683" t="s">
        <v>8829</v>
      </c>
      <c r="D2683" t="s">
        <v>8830</v>
      </c>
      <c r="E2683" t="s">
        <v>14</v>
      </c>
      <c r="F2683" t="s">
        <v>15</v>
      </c>
      <c r="G2683">
        <v>28273</v>
      </c>
      <c r="H2683" t="s">
        <v>26</v>
      </c>
      <c r="I2683">
        <v>33</v>
      </c>
      <c r="J2683">
        <v>1</v>
      </c>
      <c r="K2683" t="s">
        <v>8926</v>
      </c>
    </row>
    <row r="2684" spans="1:11" x14ac:dyDescent="0.25">
      <c r="A2684" t="s">
        <v>8831</v>
      </c>
      <c r="B2684" t="s">
        <v>1343</v>
      </c>
      <c r="C2684" t="s">
        <v>1200</v>
      </c>
      <c r="D2684" t="s">
        <v>8832</v>
      </c>
      <c r="E2684" t="s">
        <v>14</v>
      </c>
      <c r="F2684" t="s">
        <v>15</v>
      </c>
      <c r="G2684">
        <v>28209</v>
      </c>
      <c r="H2684" t="s">
        <v>48</v>
      </c>
      <c r="I2684">
        <v>5</v>
      </c>
      <c r="J2684">
        <v>1</v>
      </c>
      <c r="K2684" t="s">
        <v>8935</v>
      </c>
    </row>
    <row r="2685" spans="1:11" x14ac:dyDescent="0.25">
      <c r="A2685" t="s">
        <v>8833</v>
      </c>
      <c r="B2685" t="s">
        <v>8834</v>
      </c>
      <c r="C2685" t="s">
        <v>193</v>
      </c>
      <c r="D2685" t="s">
        <v>8835</v>
      </c>
      <c r="E2685" t="s">
        <v>14</v>
      </c>
      <c r="F2685" t="s">
        <v>15</v>
      </c>
      <c r="G2685">
        <v>28208</v>
      </c>
      <c r="H2685" t="s">
        <v>101</v>
      </c>
      <c r="I2685">
        <v>29</v>
      </c>
      <c r="J2685">
        <v>1</v>
      </c>
      <c r="K2685" t="s">
        <v>8935</v>
      </c>
    </row>
    <row r="2686" spans="1:11" x14ac:dyDescent="0.25">
      <c r="A2686" t="s">
        <v>8836</v>
      </c>
      <c r="B2686" t="s">
        <v>5102</v>
      </c>
      <c r="C2686" t="s">
        <v>8837</v>
      </c>
      <c r="D2686" t="s">
        <v>6241</v>
      </c>
      <c r="E2686" t="s">
        <v>14</v>
      </c>
      <c r="F2686" t="s">
        <v>15</v>
      </c>
      <c r="G2686">
        <v>28215</v>
      </c>
      <c r="H2686" t="s">
        <v>16</v>
      </c>
      <c r="I2686">
        <v>6</v>
      </c>
      <c r="J2686">
        <v>1</v>
      </c>
      <c r="K2686" t="s">
        <v>8931</v>
      </c>
    </row>
    <row r="2687" spans="1:11" x14ac:dyDescent="0.25">
      <c r="A2687" t="s">
        <v>8838</v>
      </c>
      <c r="B2687" t="s">
        <v>8839</v>
      </c>
      <c r="C2687" t="s">
        <v>8840</v>
      </c>
      <c r="D2687" t="s">
        <v>8841</v>
      </c>
      <c r="E2687" t="s">
        <v>14</v>
      </c>
      <c r="F2687" t="s">
        <v>15</v>
      </c>
      <c r="G2687">
        <v>28262</v>
      </c>
      <c r="H2687" t="s">
        <v>16</v>
      </c>
      <c r="I2687">
        <v>153</v>
      </c>
      <c r="J2687">
        <v>1</v>
      </c>
      <c r="K2687" t="s">
        <v>8927</v>
      </c>
    </row>
    <row r="2688" spans="1:11" x14ac:dyDescent="0.25">
      <c r="A2688" t="s">
        <v>8842</v>
      </c>
      <c r="B2688" t="s">
        <v>8843</v>
      </c>
      <c r="C2688" t="s">
        <v>221</v>
      </c>
      <c r="D2688" t="s">
        <v>8844</v>
      </c>
      <c r="E2688" t="s">
        <v>14</v>
      </c>
      <c r="F2688" t="s">
        <v>15</v>
      </c>
      <c r="G2688">
        <v>28212</v>
      </c>
      <c r="H2688" t="s">
        <v>101</v>
      </c>
      <c r="I2688">
        <v>3</v>
      </c>
      <c r="J2688">
        <v>0</v>
      </c>
      <c r="K2688" t="s">
        <v>8935</v>
      </c>
    </row>
    <row r="2689" spans="1:11" x14ac:dyDescent="0.25">
      <c r="A2689" t="s">
        <v>8845</v>
      </c>
      <c r="B2689" t="s">
        <v>86</v>
      </c>
      <c r="C2689" t="s">
        <v>8846</v>
      </c>
      <c r="D2689" t="s">
        <v>8847</v>
      </c>
      <c r="E2689" t="s">
        <v>14</v>
      </c>
      <c r="F2689" t="s">
        <v>15</v>
      </c>
      <c r="G2689">
        <v>28273</v>
      </c>
      <c r="H2689" t="s">
        <v>21</v>
      </c>
      <c r="I2689">
        <v>13</v>
      </c>
      <c r="J2689">
        <v>0</v>
      </c>
      <c r="K2689" t="s">
        <v>8935</v>
      </c>
    </row>
    <row r="2690" spans="1:11" x14ac:dyDescent="0.25">
      <c r="A2690" t="s">
        <v>8848</v>
      </c>
      <c r="B2690" t="s">
        <v>8849</v>
      </c>
      <c r="C2690" t="s">
        <v>2021</v>
      </c>
      <c r="D2690" t="s">
        <v>6647</v>
      </c>
      <c r="E2690" t="s">
        <v>14</v>
      </c>
      <c r="F2690" t="s">
        <v>15</v>
      </c>
      <c r="G2690">
        <v>28210</v>
      </c>
      <c r="H2690" t="s">
        <v>39</v>
      </c>
      <c r="I2690">
        <v>43</v>
      </c>
      <c r="J2690">
        <v>1</v>
      </c>
      <c r="K2690" t="s">
        <v>8926</v>
      </c>
    </row>
    <row r="2691" spans="1:11" x14ac:dyDescent="0.25">
      <c r="A2691" t="s">
        <v>8850</v>
      </c>
      <c r="B2691" t="s">
        <v>8851</v>
      </c>
      <c r="C2691" t="s">
        <v>1643</v>
      </c>
      <c r="D2691" t="s">
        <v>8852</v>
      </c>
      <c r="E2691" t="s">
        <v>14</v>
      </c>
      <c r="F2691" t="s">
        <v>15</v>
      </c>
      <c r="G2691">
        <v>28273</v>
      </c>
      <c r="H2691" t="s">
        <v>21</v>
      </c>
      <c r="I2691">
        <v>37</v>
      </c>
      <c r="J2691">
        <v>1</v>
      </c>
      <c r="K2691" t="s">
        <v>8921</v>
      </c>
    </row>
    <row r="2692" spans="1:11" x14ac:dyDescent="0.25">
      <c r="A2692" t="s">
        <v>8853</v>
      </c>
      <c r="B2692" t="s">
        <v>8854</v>
      </c>
      <c r="C2692" t="s">
        <v>7923</v>
      </c>
      <c r="D2692" t="s">
        <v>8855</v>
      </c>
      <c r="E2692" t="s">
        <v>14</v>
      </c>
      <c r="F2692" t="s">
        <v>15</v>
      </c>
      <c r="G2692">
        <v>28217</v>
      </c>
      <c r="H2692" t="s">
        <v>16</v>
      </c>
      <c r="I2692">
        <v>462</v>
      </c>
      <c r="J2692">
        <v>1</v>
      </c>
      <c r="K2692" t="s">
        <v>8937</v>
      </c>
    </row>
    <row r="2693" spans="1:11" x14ac:dyDescent="0.25">
      <c r="A2693" t="s">
        <v>8856</v>
      </c>
      <c r="B2693" t="s">
        <v>8857</v>
      </c>
      <c r="C2693" t="s">
        <v>8858</v>
      </c>
      <c r="D2693" t="s">
        <v>8859</v>
      </c>
      <c r="E2693" t="s">
        <v>14</v>
      </c>
      <c r="F2693" t="s">
        <v>15</v>
      </c>
      <c r="G2693">
        <v>28216</v>
      </c>
      <c r="H2693" t="s">
        <v>39</v>
      </c>
      <c r="I2693">
        <v>3</v>
      </c>
      <c r="J2693">
        <v>0</v>
      </c>
      <c r="K2693" t="s">
        <v>8935</v>
      </c>
    </row>
    <row r="2694" spans="1:11" x14ac:dyDescent="0.25">
      <c r="A2694" t="s">
        <v>8860</v>
      </c>
      <c r="B2694" t="s">
        <v>8861</v>
      </c>
      <c r="C2694" t="s">
        <v>8862</v>
      </c>
      <c r="D2694" t="s">
        <v>2675</v>
      </c>
      <c r="E2694" t="s">
        <v>14</v>
      </c>
      <c r="F2694" t="s">
        <v>15</v>
      </c>
      <c r="G2694">
        <v>28277</v>
      </c>
      <c r="H2694" t="s">
        <v>26</v>
      </c>
      <c r="I2694">
        <v>36</v>
      </c>
      <c r="J2694">
        <v>0</v>
      </c>
      <c r="K2694" t="s">
        <v>8935</v>
      </c>
    </row>
    <row r="2695" spans="1:11" x14ac:dyDescent="0.25">
      <c r="A2695" t="s">
        <v>8863</v>
      </c>
      <c r="B2695" t="s">
        <v>1057</v>
      </c>
      <c r="C2695" t="s">
        <v>8864</v>
      </c>
      <c r="D2695" t="s">
        <v>8865</v>
      </c>
      <c r="E2695" t="s">
        <v>14</v>
      </c>
      <c r="F2695" t="s">
        <v>15</v>
      </c>
      <c r="G2695">
        <v>28212</v>
      </c>
      <c r="H2695" t="s">
        <v>39</v>
      </c>
      <c r="I2695">
        <v>79</v>
      </c>
      <c r="J2695">
        <v>1</v>
      </c>
      <c r="K2695" t="s">
        <v>8935</v>
      </c>
    </row>
    <row r="2696" spans="1:11" x14ac:dyDescent="0.25">
      <c r="A2696" t="s">
        <v>8866</v>
      </c>
      <c r="B2696" t="s">
        <v>8867</v>
      </c>
      <c r="C2696" t="s">
        <v>8868</v>
      </c>
      <c r="D2696" t="s">
        <v>8869</v>
      </c>
      <c r="E2696" t="s">
        <v>14</v>
      </c>
      <c r="F2696" t="s">
        <v>15</v>
      </c>
      <c r="G2696">
        <v>28262</v>
      </c>
      <c r="H2696" t="s">
        <v>21</v>
      </c>
      <c r="I2696">
        <v>8</v>
      </c>
      <c r="J2696">
        <v>0</v>
      </c>
      <c r="K2696" t="s">
        <v>8925</v>
      </c>
    </row>
    <row r="2697" spans="1:11" x14ac:dyDescent="0.25">
      <c r="A2697" t="s">
        <v>8870</v>
      </c>
      <c r="B2697" t="s">
        <v>895</v>
      </c>
      <c r="C2697" t="s">
        <v>8871</v>
      </c>
      <c r="D2697" t="s">
        <v>84</v>
      </c>
      <c r="E2697" t="s">
        <v>14</v>
      </c>
      <c r="F2697" t="s">
        <v>15</v>
      </c>
      <c r="G2697">
        <v>28214</v>
      </c>
      <c r="H2697" t="s">
        <v>48</v>
      </c>
      <c r="I2697">
        <v>253</v>
      </c>
      <c r="J2697">
        <v>1</v>
      </c>
      <c r="K2697" t="s">
        <v>8935</v>
      </c>
    </row>
    <row r="2698" spans="1:11" x14ac:dyDescent="0.25">
      <c r="A2698" t="s">
        <v>8872</v>
      </c>
      <c r="B2698" t="s">
        <v>8873</v>
      </c>
      <c r="C2698" t="s">
        <v>8874</v>
      </c>
      <c r="D2698" t="s">
        <v>8875</v>
      </c>
      <c r="E2698" t="s">
        <v>14</v>
      </c>
      <c r="F2698" t="s">
        <v>15</v>
      </c>
      <c r="G2698">
        <v>28210</v>
      </c>
      <c r="H2698" t="s">
        <v>21</v>
      </c>
      <c r="I2698">
        <v>82</v>
      </c>
      <c r="J2698">
        <v>1</v>
      </c>
      <c r="K2698" t="s">
        <v>8921</v>
      </c>
    </row>
    <row r="2699" spans="1:11" x14ac:dyDescent="0.25">
      <c r="A2699" t="s">
        <v>8876</v>
      </c>
      <c r="B2699" t="s">
        <v>8877</v>
      </c>
      <c r="C2699" t="s">
        <v>8878</v>
      </c>
      <c r="D2699" t="s">
        <v>8879</v>
      </c>
      <c r="E2699" t="s">
        <v>14</v>
      </c>
      <c r="F2699" t="s">
        <v>15</v>
      </c>
      <c r="G2699">
        <v>28217</v>
      </c>
      <c r="H2699" t="s">
        <v>21</v>
      </c>
      <c r="I2699">
        <v>176</v>
      </c>
      <c r="J2699">
        <v>1</v>
      </c>
      <c r="K2699" t="s">
        <v>8935</v>
      </c>
    </row>
    <row r="2700" spans="1:11" x14ac:dyDescent="0.25">
      <c r="A2700" t="s">
        <v>8880</v>
      </c>
      <c r="B2700" t="s">
        <v>8881</v>
      </c>
      <c r="C2700" t="s">
        <v>8882</v>
      </c>
      <c r="D2700" t="s">
        <v>8714</v>
      </c>
      <c r="E2700" t="s">
        <v>14</v>
      </c>
      <c r="F2700" t="s">
        <v>15</v>
      </c>
      <c r="G2700">
        <v>28262</v>
      </c>
      <c r="H2700" t="s">
        <v>16</v>
      </c>
      <c r="I2700">
        <v>85</v>
      </c>
      <c r="J2700">
        <v>1</v>
      </c>
      <c r="K2700" t="s">
        <v>8935</v>
      </c>
    </row>
    <row r="2701" spans="1:11" x14ac:dyDescent="0.25">
      <c r="A2701" t="s">
        <v>8883</v>
      </c>
      <c r="B2701" t="s">
        <v>8884</v>
      </c>
      <c r="C2701" t="s">
        <v>6600</v>
      </c>
      <c r="D2701" t="s">
        <v>2165</v>
      </c>
      <c r="E2701" t="s">
        <v>14</v>
      </c>
      <c r="F2701" t="s">
        <v>15</v>
      </c>
      <c r="G2701">
        <v>28202</v>
      </c>
      <c r="H2701" t="s">
        <v>21</v>
      </c>
      <c r="I2701">
        <v>21</v>
      </c>
      <c r="J2701">
        <v>0</v>
      </c>
      <c r="K2701" t="s">
        <v>8935</v>
      </c>
    </row>
    <row r="2702" spans="1:11" x14ac:dyDescent="0.25">
      <c r="A2702" t="s">
        <v>8885</v>
      </c>
      <c r="B2702" t="s">
        <v>8886</v>
      </c>
      <c r="C2702" t="s">
        <v>8887</v>
      </c>
      <c r="D2702" t="s">
        <v>6780</v>
      </c>
      <c r="E2702" t="s">
        <v>14</v>
      </c>
      <c r="F2702" t="s">
        <v>15</v>
      </c>
      <c r="G2702">
        <v>28269</v>
      </c>
      <c r="H2702" t="s">
        <v>16</v>
      </c>
      <c r="I2702">
        <v>3</v>
      </c>
      <c r="J2702">
        <v>0</v>
      </c>
      <c r="K2702" t="s">
        <v>8935</v>
      </c>
    </row>
    <row r="2703" spans="1:11" x14ac:dyDescent="0.25">
      <c r="A2703" t="s">
        <v>8888</v>
      </c>
      <c r="B2703" t="s">
        <v>8889</v>
      </c>
      <c r="C2703" t="s">
        <v>8890</v>
      </c>
      <c r="D2703" t="s">
        <v>8891</v>
      </c>
      <c r="E2703" t="s">
        <v>14</v>
      </c>
      <c r="F2703" t="s">
        <v>15</v>
      </c>
      <c r="G2703">
        <v>28273</v>
      </c>
      <c r="H2703" t="s">
        <v>16</v>
      </c>
      <c r="I2703">
        <v>5</v>
      </c>
      <c r="J2703">
        <v>1</v>
      </c>
      <c r="K2703" t="s">
        <v>8935</v>
      </c>
    </row>
    <row r="2704" spans="1:11" x14ac:dyDescent="0.25">
      <c r="A2704" t="s">
        <v>8892</v>
      </c>
      <c r="B2704" t="s">
        <v>2213</v>
      </c>
      <c r="C2704" t="s">
        <v>8893</v>
      </c>
      <c r="D2704" t="s">
        <v>30</v>
      </c>
      <c r="E2704" t="s">
        <v>14</v>
      </c>
      <c r="F2704" t="s">
        <v>15</v>
      </c>
      <c r="G2704">
        <v>28203</v>
      </c>
      <c r="H2704" t="s">
        <v>26</v>
      </c>
      <c r="I2704">
        <v>4</v>
      </c>
      <c r="J2704">
        <v>0</v>
      </c>
      <c r="K2704" t="s">
        <v>8935</v>
      </c>
    </row>
    <row r="2705" spans="1:11" x14ac:dyDescent="0.25">
      <c r="A2705" t="s">
        <v>8894</v>
      </c>
      <c r="B2705" t="s">
        <v>8895</v>
      </c>
      <c r="C2705" t="s">
        <v>2723</v>
      </c>
      <c r="D2705" t="s">
        <v>8896</v>
      </c>
      <c r="E2705" t="s">
        <v>14</v>
      </c>
      <c r="F2705" t="s">
        <v>15</v>
      </c>
      <c r="G2705">
        <v>28215</v>
      </c>
      <c r="H2705" t="s">
        <v>16</v>
      </c>
      <c r="I2705">
        <v>14</v>
      </c>
      <c r="J2705">
        <v>1</v>
      </c>
      <c r="K2705" t="s">
        <v>8935</v>
      </c>
    </row>
    <row r="2706" spans="1:11" x14ac:dyDescent="0.25">
      <c r="A2706" t="s">
        <v>8897</v>
      </c>
      <c r="B2706" t="s">
        <v>8898</v>
      </c>
      <c r="C2706" t="s">
        <v>8899</v>
      </c>
      <c r="D2706" t="s">
        <v>8900</v>
      </c>
      <c r="E2706" t="s">
        <v>14</v>
      </c>
      <c r="F2706" t="s">
        <v>15</v>
      </c>
      <c r="G2706">
        <v>28208</v>
      </c>
      <c r="H2706" t="s">
        <v>48</v>
      </c>
      <c r="I2706">
        <v>24</v>
      </c>
      <c r="J2706">
        <v>0</v>
      </c>
      <c r="K2706" t="s">
        <v>8935</v>
      </c>
    </row>
    <row r="2707" spans="1:11" x14ac:dyDescent="0.25">
      <c r="A2707" t="s">
        <v>8901</v>
      </c>
      <c r="B2707" t="s">
        <v>8902</v>
      </c>
      <c r="C2707" t="s">
        <v>8903</v>
      </c>
      <c r="D2707" t="s">
        <v>8904</v>
      </c>
      <c r="E2707" t="s">
        <v>14</v>
      </c>
      <c r="F2707" t="s">
        <v>15</v>
      </c>
      <c r="G2707">
        <v>28205</v>
      </c>
      <c r="H2707" t="s">
        <v>39</v>
      </c>
      <c r="I2707">
        <v>6</v>
      </c>
      <c r="J2707">
        <v>1</v>
      </c>
      <c r="K2707" t="s">
        <v>8935</v>
      </c>
    </row>
    <row r="2708" spans="1:11" x14ac:dyDescent="0.25">
      <c r="A2708" t="s">
        <v>8905</v>
      </c>
      <c r="B2708" t="s">
        <v>8906</v>
      </c>
      <c r="C2708" t="s">
        <v>8907</v>
      </c>
      <c r="D2708" t="s">
        <v>226</v>
      </c>
      <c r="E2708" t="s">
        <v>14</v>
      </c>
      <c r="F2708" t="s">
        <v>15</v>
      </c>
      <c r="G2708">
        <v>28211</v>
      </c>
      <c r="H2708" t="s">
        <v>39</v>
      </c>
      <c r="I2708">
        <v>45</v>
      </c>
      <c r="J2708">
        <v>1</v>
      </c>
      <c r="K2708" t="s">
        <v>8935</v>
      </c>
    </row>
    <row r="2709" spans="1:11" x14ac:dyDescent="0.25">
      <c r="A2709" t="s">
        <v>8908</v>
      </c>
      <c r="B2709" t="s">
        <v>8909</v>
      </c>
      <c r="C2709" t="s">
        <v>8910</v>
      </c>
      <c r="D2709" t="s">
        <v>8911</v>
      </c>
      <c r="E2709" t="s">
        <v>14</v>
      </c>
      <c r="F2709" t="s">
        <v>15</v>
      </c>
      <c r="G2709">
        <v>28227</v>
      </c>
      <c r="H2709" t="s">
        <v>39</v>
      </c>
      <c r="I2709">
        <v>5</v>
      </c>
      <c r="J2709">
        <v>1</v>
      </c>
      <c r="K2709" t="s">
        <v>8926</v>
      </c>
    </row>
    <row r="2710" spans="1:11" x14ac:dyDescent="0.25">
      <c r="A2710" t="s">
        <v>8912</v>
      </c>
      <c r="B2710" t="s">
        <v>8913</v>
      </c>
      <c r="C2710" t="s">
        <v>8914</v>
      </c>
      <c r="D2710" t="s">
        <v>8915</v>
      </c>
      <c r="E2710" t="s">
        <v>14</v>
      </c>
      <c r="F2710" t="s">
        <v>15</v>
      </c>
      <c r="G2710">
        <v>28206</v>
      </c>
      <c r="H2710" t="s">
        <v>48</v>
      </c>
      <c r="I2710">
        <v>38</v>
      </c>
      <c r="J2710">
        <v>1</v>
      </c>
      <c r="K2710" t="s">
        <v>8935</v>
      </c>
    </row>
    <row r="2711" spans="1:11" x14ac:dyDescent="0.25">
      <c r="A2711" t="s">
        <v>8916</v>
      </c>
      <c r="B2711" t="s">
        <v>8917</v>
      </c>
      <c r="C2711" t="s">
        <v>8918</v>
      </c>
      <c r="D2711" t="s">
        <v>8919</v>
      </c>
      <c r="E2711" t="s">
        <v>14</v>
      </c>
      <c r="F2711" t="s">
        <v>15</v>
      </c>
      <c r="G2711">
        <v>28210</v>
      </c>
      <c r="H2711" t="s">
        <v>21</v>
      </c>
      <c r="I2711">
        <v>109</v>
      </c>
      <c r="J2711">
        <v>1</v>
      </c>
      <c r="K2711" t="s">
        <v>8935</v>
      </c>
    </row>
  </sheetData>
  <autoFilter ref="A1:JN2711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Charlotte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Voto</dc:creator>
  <cp:lastModifiedBy>Pedro Voto</cp:lastModifiedBy>
  <dcterms:created xsi:type="dcterms:W3CDTF">2019-12-02T00:08:20Z</dcterms:created>
  <dcterms:modified xsi:type="dcterms:W3CDTF">2019-12-07T00:54:01Z</dcterms:modified>
</cp:coreProperties>
</file>