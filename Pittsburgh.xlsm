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Master Program Seattle University\Courses\CPSC-5305 - Introduction of Data Science\Yelp Project\ExcelFiles\"/>
    </mc:Choice>
  </mc:AlternateContent>
  <xr:revisionPtr revIDLastSave="0" documentId="13_ncr:1_{1AD9800E-C11D-47C7-A144-32132E40567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ittsburgh" sheetId="1" r:id="rId1"/>
  </sheets>
  <definedNames>
    <definedName name="_xlnm._FilterDatabase" localSheetId="0" hidden="1">Pittsburgh!$A$1:$K$2456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7" i="1" l="1"/>
  <c r="A161" i="1"/>
  <c r="A595" i="1"/>
  <c r="A748" i="1"/>
  <c r="A857" i="1"/>
  <c r="A886" i="1"/>
  <c r="A954" i="1"/>
  <c r="A1018" i="1"/>
  <c r="A1058" i="1"/>
  <c r="A1113" i="1"/>
  <c r="A1131" i="1"/>
  <c r="A1141" i="1"/>
  <c r="A1189" i="1"/>
  <c r="A1205" i="1"/>
  <c r="A1212" i="1"/>
  <c r="A1321" i="1"/>
  <c r="A1339" i="1"/>
  <c r="A1426" i="1"/>
  <c r="A1571" i="1"/>
  <c r="A1602" i="1"/>
  <c r="A1682" i="1"/>
  <c r="A1703" i="1"/>
  <c r="A1758" i="1"/>
  <c r="A1785" i="1"/>
  <c r="A1910" i="1"/>
  <c r="A1985" i="1"/>
  <c r="A2056" i="1"/>
  <c r="A2121" i="1"/>
  <c r="A2180" i="1"/>
  <c r="A2294" i="1"/>
  <c r="A2328" i="1"/>
  <c r="A2343" i="1"/>
  <c r="A2345" i="1"/>
  <c r="A2393" i="1"/>
</calcChain>
</file>

<file path=xl/sharedStrings.xml><?xml version="1.0" encoding="utf-8"?>
<sst xmlns="http://schemas.openxmlformats.org/spreadsheetml/2006/main" count="19599" uniqueCount="8134">
  <si>
    <t>business_id</t>
  </si>
  <si>
    <t>categories</t>
  </si>
  <si>
    <t>name</t>
  </si>
  <si>
    <t>address</t>
  </si>
  <si>
    <t>city</t>
  </si>
  <si>
    <t>state</t>
  </si>
  <si>
    <t>postal_code</t>
  </si>
  <si>
    <t>stars</t>
  </si>
  <si>
    <t>review_count</t>
  </si>
  <si>
    <t>is_open</t>
  </si>
  <si>
    <t>1RHY4K3BD22FK7Cfftn8Mg</t>
  </si>
  <si>
    <t>Sandwiches, Salad, Restaurants, Burgers, Comfort Food</t>
  </si>
  <si>
    <t>Marathon Diner</t>
  </si>
  <si>
    <t>Center Core - Food Court, Fl 3, Pittsburgh International Airport</t>
  </si>
  <si>
    <t>Pittsburgh</t>
  </si>
  <si>
    <t>PA</t>
  </si>
  <si>
    <t>4.0</t>
  </si>
  <si>
    <t>dQj5DLZjeDK3KFysh1SYOQ</t>
  </si>
  <si>
    <t>Nightlife, Bars, Polish, Modern European, Restaurants, Vegan</t>
  </si>
  <si>
    <t>Apteka</t>
  </si>
  <si>
    <t>4606 Penn Ave</t>
  </si>
  <si>
    <t>4.5</t>
  </si>
  <si>
    <t>v-scZMU6jhnmV955RSzGJw</t>
  </si>
  <si>
    <t>Japanese, Sushi Bars, Restaurants</t>
  </si>
  <si>
    <t>No. 1 Sushi Sushi</t>
  </si>
  <si>
    <t>436 Market St</t>
  </si>
  <si>
    <t>t-6tdxRaz7s9a0sf94Tguw</t>
  </si>
  <si>
    <t>Restaurants, Caribbean</t>
  </si>
  <si>
    <t>Impressionz</t>
  </si>
  <si>
    <t>6008 Broad St</t>
  </si>
  <si>
    <t>5WMIvoMx3l1vn1uJ3HZB6Q</t>
  </si>
  <si>
    <t>Fast Food, Sandwiches, Restaurants</t>
  </si>
  <si>
    <t>Subway</t>
  </si>
  <si>
    <t>411 7th Ave</t>
  </si>
  <si>
    <t>3.0</t>
  </si>
  <si>
    <t>q4P3WHwC0lFafwvTlkKMIw</t>
  </si>
  <si>
    <t>Restaurants, Pizza</t>
  </si>
  <si>
    <t>Ron's Pizza Palace</t>
  </si>
  <si>
    <t>1535 Lowrie St</t>
  </si>
  <si>
    <t>hZj2HCiLae5-AxIp0im6lQ</t>
  </si>
  <si>
    <t>Bars, Nightlife, Restaurants, American (Traditional)</t>
  </si>
  <si>
    <t>Route 28 Bar &amp; Grille</t>
  </si>
  <si>
    <t>180 Gamma Dr</t>
  </si>
  <si>
    <t>2.5</t>
  </si>
  <si>
    <t>F6c3D1o9Z4Tl6cDorb3WgA</t>
  </si>
  <si>
    <t>Burgers, Restaurants, Cafes, Salad, Sandwiches</t>
  </si>
  <si>
    <t>Hello Bistro</t>
  </si>
  <si>
    <t>701 Providence Blvd</t>
  </si>
  <si>
    <t>3.5</t>
  </si>
  <si>
    <t>nm5yx8yvJNJYVjaRPwjnsw</t>
  </si>
  <si>
    <t>Buffets, Restaurants</t>
  </si>
  <si>
    <t>Misaki</t>
  </si>
  <si>
    <t>860 Saw Mill Run Blvd</t>
  </si>
  <si>
    <t>hZzwkAJG92KkszWO8PoOQA</t>
  </si>
  <si>
    <t>Fernando's</t>
  </si>
  <si>
    <t>2 Ppg Pl Food Ct</t>
  </si>
  <si>
    <t>hOv0yRX4Km89-7vJuzPteg</t>
  </si>
  <si>
    <t>Cafes, Nightlife, Restaurants, Bars, Pubs</t>
  </si>
  <si>
    <t>Spice Cafe</t>
  </si>
  <si>
    <t>328 Atwood St</t>
  </si>
  <si>
    <t>i68lkBrGgUVwOk-LSvMj_A</t>
  </si>
  <si>
    <t>Pakistani, Indian, Restaurants, Food</t>
  </si>
  <si>
    <t>Sree's Foods</t>
  </si>
  <si>
    <t>116 Meyran Ave</t>
  </si>
  <si>
    <t>UmFty_GxdqVe35apYnmGbw</t>
  </si>
  <si>
    <t>Pizza, Restaurants</t>
  </si>
  <si>
    <t>Showcase Pizza</t>
  </si>
  <si>
    <t>109 Curry Hollow Rd</t>
  </si>
  <si>
    <t>JrrY4v21k7_qYxIidhi-aw</t>
  </si>
  <si>
    <t>Lounges, Nightlife, American (Traditional), Bars, Restaurants</t>
  </si>
  <si>
    <t>Kelly's Bar &amp; Lounge</t>
  </si>
  <si>
    <t>6012 Penn Cir S</t>
  </si>
  <si>
    <t>BpJDI4Fj92lLNALQQeLvLg</t>
  </si>
  <si>
    <t>Pizza, Sandwiches, Salad, Restaurants</t>
  </si>
  <si>
    <t>Slice On Broadway</t>
  </si>
  <si>
    <t>115 Federal St</t>
  </si>
  <si>
    <t>_WsGlZnbXBdPcs0qM2Qm7w</t>
  </si>
  <si>
    <t>Restaurants, Barbeque, Bars, Pubs, Burgers, Nightlife</t>
  </si>
  <si>
    <t>Ryan's Pub</t>
  </si>
  <si>
    <t>607 S Braddock Ave</t>
  </si>
  <si>
    <t>IcHVYlgNGR-Zz8fnceiJ6g</t>
  </si>
  <si>
    <t>Restaurants, American (Traditional), Bars, Nightlife</t>
  </si>
  <si>
    <t>The Monkey Bar</t>
  </si>
  <si>
    <t>703 Clairton Blvd</t>
  </si>
  <si>
    <t>sMzNLdhJZGzYirIWt-fMAg</t>
  </si>
  <si>
    <t>Cocktail Bars, Italian, American (New), Nightlife, Bars, Pizza, Restaurants</t>
  </si>
  <si>
    <t>Sienna Mercato</t>
  </si>
  <si>
    <t>942 Penn Ave</t>
  </si>
  <si>
    <t>rGdaD3j8leOCI0zz3g5Beg</t>
  </si>
  <si>
    <t>Hot Dogs, Restaurants</t>
  </si>
  <si>
    <t>Steves New York Hotdog Shop</t>
  </si>
  <si>
    <t>1110 Federal St</t>
  </si>
  <si>
    <t>5.0</t>
  </si>
  <si>
    <t>FKQUxOfW_W5R4OTut4G1Vw</t>
  </si>
  <si>
    <t>Restaurants, Sandwiches</t>
  </si>
  <si>
    <t>Peppi's</t>
  </si>
  <si>
    <t>12 Smithfield St</t>
  </si>
  <si>
    <t>Gp8_vPUZBncqy4Fwc8ga7A</t>
  </si>
  <si>
    <t>Restaurants, Fast Food</t>
  </si>
  <si>
    <t>Go Pretzel</t>
  </si>
  <si>
    <t>807 Liberty Ave</t>
  </si>
  <si>
    <t>nxeeZnumQkrEFORtFpwSvA</t>
  </si>
  <si>
    <t>Nightlife, Restaurants, Bars, Burgers, Delis</t>
  </si>
  <si>
    <t>Tavern In The Wall</t>
  </si>
  <si>
    <t>211 Commercial Ave</t>
  </si>
  <si>
    <t>K0dp91jd_vqW4uNgvW6oag</t>
  </si>
  <si>
    <t>Restaurants, Breakfast &amp; Brunch</t>
  </si>
  <si>
    <t>Valliant's Diner</t>
  </si>
  <si>
    <t>3418 Babcock Blvd</t>
  </si>
  <si>
    <t>JGXkldESnG69YXlSNVAgJQ</t>
  </si>
  <si>
    <t>Restaurants, American (Traditional), Nightlife, Bars</t>
  </si>
  <si>
    <t>Eggheads</t>
  </si>
  <si>
    <t>1162 Brookline Blvd</t>
  </si>
  <si>
    <t>2.0</t>
  </si>
  <si>
    <t>eU_713ec6fTGNO4BegRaww</t>
  </si>
  <si>
    <t>Restaurants, Italian, Pizza</t>
  </si>
  <si>
    <t>La Tavola Italiana</t>
  </si>
  <si>
    <t>1 Boggs Ave</t>
  </si>
  <si>
    <t>zzwhN7x37nyjP0ZM8oiHmw</t>
  </si>
  <si>
    <t>Restaurants, American (New)</t>
  </si>
  <si>
    <t>Carmody's Grille</t>
  </si>
  <si>
    <t>4905 Grand Ave</t>
  </si>
  <si>
    <t>jAQwIRxZNj2zndM5V9UOpw</t>
  </si>
  <si>
    <t>Restaurants, Country Clubs, Arts &amp; Entertainment, Active Life, Golf</t>
  </si>
  <si>
    <t>Pittsburgh Field Club</t>
  </si>
  <si>
    <t>121 Field Club Rd</t>
  </si>
  <si>
    <t>R19oiRejCcgRzbeYz2UQig</t>
  </si>
  <si>
    <t>Pizza, Food Stands, Sandwiches, Restaurants, Breakfast &amp; Brunch</t>
  </si>
  <si>
    <t>City Oven</t>
  </si>
  <si>
    <t>3025 Banksville Rd</t>
  </si>
  <si>
    <t>GD0XvS6HlCuDjtCDWiLkVQ</t>
  </si>
  <si>
    <t>Vegetarian, Restaurants, Food, Coffee &amp; Tea</t>
  </si>
  <si>
    <t>Kiva Han</t>
  </si>
  <si>
    <t>420 S Craig St</t>
  </si>
  <si>
    <t>c9UmJiX2G7hKMpivZ3h1oQ</t>
  </si>
  <si>
    <t>Gluten-Free, Italian, Chicken Wings, Restaurants, Vegan, Pizza, Vegetarian</t>
  </si>
  <si>
    <t>Pastoli's Pizza, Pasta &amp; Paisans</t>
  </si>
  <si>
    <t>1900 Murray Ave</t>
  </si>
  <si>
    <t>0VDcJitRHh5uJnkjymu_6A</t>
  </si>
  <si>
    <t>American (Traditional), Nightlife, Pubs, Bars, Restaurants</t>
  </si>
  <si>
    <t>Fox &amp; Hound English Pub &amp; Grille</t>
  </si>
  <si>
    <t>8000 McKnight Rd, Ste 2002</t>
  </si>
  <si>
    <t>jd1rD7jr-_zI46Oxh5lDLA</t>
  </si>
  <si>
    <t>Antoon's Pizza</t>
  </si>
  <si>
    <t>247 Atwood St</t>
  </si>
  <si>
    <t>09pf_DnQV5Y5y2reoIPXlw</t>
  </si>
  <si>
    <t>Restaurants, American (New), Bars, Sports Bars, Sandwiches, Nightlife</t>
  </si>
  <si>
    <t>Primanti Bros</t>
  </si>
  <si>
    <t>5491 Penn Ave</t>
  </si>
  <si>
    <t>B1dCyA21u1mG1bcrq9TTYg</t>
  </si>
  <si>
    <t>Restaurants, Chicken Wings, Seafood, Fish &amp; Chips</t>
  </si>
  <si>
    <t>Hook Fish &amp; Chicken</t>
  </si>
  <si>
    <t>11644 Frankstown Rd</t>
  </si>
  <si>
    <t>V2TaLceKiGwy-y7bAGzPuQ</t>
  </si>
  <si>
    <t>Restaurants, Italian, Pizza, Chicken Wings</t>
  </si>
  <si>
    <t>Pizza Hut</t>
  </si>
  <si>
    <t>4048 Beechwood Blvd</t>
  </si>
  <si>
    <t>1.5</t>
  </si>
  <si>
    <t>Restaurants, American (Traditional), Bars, Nightlife, Seafood, Wine Bars, American (New)</t>
  </si>
  <si>
    <t>Savoy</t>
  </si>
  <si>
    <t>2623 Penn Ave</t>
  </si>
  <si>
    <t>R-GbmmHHfAyPo1qs4jo0TA</t>
  </si>
  <si>
    <t>Italian, Restaurants, Bars, Nightlife, Beer Gardens</t>
  </si>
  <si>
    <t>Il Tetto:  A Rooftop Beer Garden</t>
  </si>
  <si>
    <t>942 Penn Ave, Fl 3</t>
  </si>
  <si>
    <t>FE135tFrIhxrtAkf6-A1Rw</t>
  </si>
  <si>
    <t>Restaurants, American (Traditional), Fast Food, Burgers</t>
  </si>
  <si>
    <t>Hardee's</t>
  </si>
  <si>
    <t>1201 N Ave</t>
  </si>
  <si>
    <t>z4CYPDxL_L74GnaD35a9Yw</t>
  </si>
  <si>
    <t>Noodles, Restaurants, Japanese, Ramen</t>
  </si>
  <si>
    <t>Zen's Noodle House</t>
  </si>
  <si>
    <t>3531 Forbes Ave</t>
  </si>
  <si>
    <t>TYZIMuHwhZo_Hizenmf8Pg</t>
  </si>
  <si>
    <t>Restaurants, Nightlife, Bars, American (New)</t>
  </si>
  <si>
    <t>BZ's Bar and Grill</t>
  </si>
  <si>
    <t>140 Federal St</t>
  </si>
  <si>
    <t>by7BOr074_BKz7hkRIi9WQ</t>
  </si>
  <si>
    <t>Sammy's Place</t>
  </si>
  <si>
    <t>2350 Noblestown Rd</t>
  </si>
  <si>
    <t>lK_iVjCur58if_XcbENGqg</t>
  </si>
  <si>
    <t>Don Campiti's Pizzeria</t>
  </si>
  <si>
    <t>1509 Potomac Ave</t>
  </si>
  <si>
    <t>hNmSL-HfN_IdPlWXP1ILEw</t>
  </si>
  <si>
    <t>Mediterranean, Sandwiches, Delis, Restaurants, Pizza</t>
  </si>
  <si>
    <t>New Way Gourmet</t>
  </si>
  <si>
    <t>3832 Penn Ave</t>
  </si>
  <si>
    <t>b6vi3Ub0tbGzGtG-pVgJfQ</t>
  </si>
  <si>
    <t>Bakeries, Restaurants, Food</t>
  </si>
  <si>
    <t>Dana's Bakery</t>
  </si>
  <si>
    <t>720 N Homewood Ave</t>
  </si>
  <si>
    <t>Xdoqt46KMRBiaWWMa41m1A</t>
  </si>
  <si>
    <t>Pubs, Pizza, Chicken Wings, American (Traditional), Beer, Wine &amp; Spirits, Restaurants, Bars, Food, Nightlife</t>
  </si>
  <si>
    <t>The Coal Mine</t>
  </si>
  <si>
    <t>3160 Library Rd</t>
  </si>
  <si>
    <t>5crOt_2vpHfFeGOrEeROQA</t>
  </si>
  <si>
    <t>Pizza, Restaurants, American (Traditional), Food, Coffee &amp; Tea, Desserts, American (New), Breakfast &amp; Brunch</t>
  </si>
  <si>
    <t>Brunoise Restaurant</t>
  </si>
  <si>
    <t>54 21st St</t>
  </si>
  <si>
    <t>L0DJ7-GUDMLIlIR-7vykvQ</t>
  </si>
  <si>
    <t>Flowers &amp; Gifts, Gift Shops, Shopping, Italian, Cooking Classes, Restaurants, Arts &amp; Crafts</t>
  </si>
  <si>
    <t>Merante's Gifts</t>
  </si>
  <si>
    <t>4723 Liberty Ave</t>
  </si>
  <si>
    <t>0IfrcGbFzQvn9w8bl9GKDg</t>
  </si>
  <si>
    <t>Restaurants, Food, Sandwiches, Juice Bars &amp; Smoothies, Salad, Burgers</t>
  </si>
  <si>
    <t>North Hills Grill</t>
  </si>
  <si>
    <t>96 Rochester Rd, 1st floor</t>
  </si>
  <si>
    <t>PbOQlLSloU5Zkpth5I3cjA</t>
  </si>
  <si>
    <t>Vocelli Pizza</t>
  </si>
  <si>
    <t>617 Brownsville Rd</t>
  </si>
  <si>
    <t>Qs5fQqmc_yWmgZjHcadU7g</t>
  </si>
  <si>
    <t>Sandwiches, Restaurants, Diners</t>
  </si>
  <si>
    <t>Rudy Martino Original House of Submarines</t>
  </si>
  <si>
    <t>1918 Monongahela Ave</t>
  </si>
  <si>
    <t>FJoXrkLaLh76MgHXKdJJFw</t>
  </si>
  <si>
    <t>American (Traditional), Nightlife, Bars, Restaurants</t>
  </si>
  <si>
    <t>Someone Else's Bar</t>
  </si>
  <si>
    <t>3841 Willow Ave</t>
  </si>
  <si>
    <t>2EhBiUnUTl_H2s4DXdKCTg</t>
  </si>
  <si>
    <t>Bistros, American (New), Restaurants</t>
  </si>
  <si>
    <t>Bistro 19</t>
  </si>
  <si>
    <t>711 Washington Rd</t>
  </si>
  <si>
    <t>MfgewgMdqCx_JWk--6PgfA</t>
  </si>
  <si>
    <t>Nightlife, Bars, Burgers, American (Traditional), Restaurants</t>
  </si>
  <si>
    <t>Kretzler's Tavern</t>
  </si>
  <si>
    <t>2240 Babcock Blvd</t>
  </si>
  <si>
    <t>cfjkP0icF3wdaOJQJUy9sw</t>
  </si>
  <si>
    <t>Fast Food, Restaurants, Burgers</t>
  </si>
  <si>
    <t>Wendy's</t>
  </si>
  <si>
    <t>5422 Baum Blvd</t>
  </si>
  <si>
    <t>X2lgI8CuVEsH5UDs14rMhw</t>
  </si>
  <si>
    <t>Bars, Nightlife, Restaurants, Jazz &amp; Blues, Cocktail Bars, Wine Bars, Arts &amp; Entertainment</t>
  </si>
  <si>
    <t>Andys Wine Bar</t>
  </si>
  <si>
    <t>510 Market Street</t>
  </si>
  <si>
    <t>gomzC2CMt6MD_ykOSGwdDA</t>
  </si>
  <si>
    <t>Restaurants, Japanese, Sushi Bars</t>
  </si>
  <si>
    <t>Sushi Tomo</t>
  </si>
  <si>
    <t>4812 McKnight Rd</t>
  </si>
  <si>
    <t>aHuGV6FS0j8_1_p9vFeNuA</t>
  </si>
  <si>
    <t>Mexican, Restaurants</t>
  </si>
  <si>
    <t>Cinco</t>
  </si>
  <si>
    <t>1600 Painters Run Rd</t>
  </si>
  <si>
    <t>h5PKBY4jvOwuyYb5Dtr6jA</t>
  </si>
  <si>
    <t>Restaurants, Event Planning &amp; Services, Chicken Wings, Fast Food, Caterers</t>
  </si>
  <si>
    <t>Chick-fil-A</t>
  </si>
  <si>
    <t>120 Andrew Dr</t>
  </si>
  <si>
    <t>wdwODzBChLIh_u8V8CPpyA</t>
  </si>
  <si>
    <t>Mexican, Restaurants, Caribbean</t>
  </si>
  <si>
    <t>Casa Rasta</t>
  </si>
  <si>
    <t>2056 Broadway Ave</t>
  </si>
  <si>
    <t>uNBVnx12y-cRYSxukmTfnQ</t>
  </si>
  <si>
    <t>Food, Restaurants, Cafes, Juice Bars &amp; Smoothies, Salad</t>
  </si>
  <si>
    <t>Fresh Healthy Cafe</t>
  </si>
  <si>
    <t>100 Robinson Ctr Dr</t>
  </si>
  <si>
    <t>Yh-3IjAFCgq1Ubtdo9TDcw</t>
  </si>
  <si>
    <t>Halal, Vegan, Sandwiches, Vegetarian, Ethnic Food, Greek, Middle Eastern, Restaurants, Specialty Food, Mediterranean, Food</t>
  </si>
  <si>
    <t>Leena's Food</t>
  </si>
  <si>
    <t>121 Oakland Ave</t>
  </si>
  <si>
    <t>VFv7NcPW9ajUTLleJ8wOQA</t>
  </si>
  <si>
    <t>Mexican, Fast Food, Restaurants</t>
  </si>
  <si>
    <t>Chipotle Mexican Grill</t>
  </si>
  <si>
    <t>3615 Forbes Ave</t>
  </si>
  <si>
    <t>s5XqvAOIepm0Pw8mAf27lw</t>
  </si>
  <si>
    <t>Restaurants, Bars, American (Traditional), Nightlife</t>
  </si>
  <si>
    <t>Mt Troy Inn</t>
  </si>
  <si>
    <t>2021 Mount Troy Rd</t>
  </si>
  <si>
    <t>xRRDXfZL4V2-I7i2JLnpIA</t>
  </si>
  <si>
    <t>American (Traditional), Restaurants</t>
  </si>
  <si>
    <t>1889 Cafe</t>
  </si>
  <si>
    <t>2017 E Carson St</t>
  </si>
  <si>
    <t>LtPnsCPkCb41VG5fQr18IQ</t>
  </si>
  <si>
    <t>Little Caesars</t>
  </si>
  <si>
    <t>5430 Centre Ave</t>
  </si>
  <si>
    <t>ocZv9DHZaf9tkJyzxL5tbg</t>
  </si>
  <si>
    <t>Italian, Pizza, Restaurants</t>
  </si>
  <si>
    <t>Pasta II</t>
  </si>
  <si>
    <t>718 Brookline Blvd</t>
  </si>
  <si>
    <t>jO9gbncmBCExL_FvFKU5Ew</t>
  </si>
  <si>
    <t>Food, Food Delivery Services, Pizza, Restaurants, American (New)</t>
  </si>
  <si>
    <t>The Grateful Deli &amp; Catering Company</t>
  </si>
  <si>
    <t>4065 Penn Ave</t>
  </si>
  <si>
    <t>lSxAQR1FeSljX9zeVJTEWA</t>
  </si>
  <si>
    <t>Restaurants, Chinese</t>
  </si>
  <si>
    <t>Silver Palace Chinese Restaurant</t>
  </si>
  <si>
    <t>2739 Library Rd</t>
  </si>
  <si>
    <t>ry9MaSq_tpNODhYoIyA42Q</t>
  </si>
  <si>
    <t>Food, Wine Bars, Coffee &amp; Tea, Grocery, Sandwiches, American (New), Bars, Nightlife, Restaurants</t>
  </si>
  <si>
    <t>Market St Grocery</t>
  </si>
  <si>
    <t>435 Market St</t>
  </si>
  <si>
    <t>um9n7JDaPaO1kmgs0cLjqQ</t>
  </si>
  <si>
    <t>Hotels &amp; Travel, American (Traditional), Bed &amp; Breakfast, Restaurants, Breakfast &amp; Brunch, Salad, Comfort Food, American (New)</t>
  </si>
  <si>
    <t>Bob Evans</t>
  </si>
  <si>
    <t>7412 Mcknight Rd</t>
  </si>
  <si>
    <t>pFUFVB0cPY2wL0Gr4vL3GA</t>
  </si>
  <si>
    <t>Italian, Restaurants, American (New)</t>
  </si>
  <si>
    <t>Gaetano's Restaurant</t>
  </si>
  <si>
    <t>1617 Banksville Rd</t>
  </si>
  <si>
    <t>30Bvo-tEfvh2KOTLQg6FZw</t>
  </si>
  <si>
    <t>Sandwiches, Fast Food, Restaurants</t>
  </si>
  <si>
    <t>3707 Forbes Ave</t>
  </si>
  <si>
    <t>y19xFolCozaRA-gGmHwkQA</t>
  </si>
  <si>
    <t>Vegetarian, Middle Eastern, Food, Restaurants, Mediterranean</t>
  </si>
  <si>
    <t>Aladdin's Eatery</t>
  </si>
  <si>
    <t>929 Freeport Rd</t>
  </si>
  <si>
    <t>mKoi3QV2d45Qm3iWt1aa3w</t>
  </si>
  <si>
    <t>Restaurants, Turkish</t>
  </si>
  <si>
    <t>The Doner Kebab House</t>
  </si>
  <si>
    <t>424 Semple St</t>
  </si>
  <si>
    <t>fPivHoeKNFhPKZEKFeoIHg</t>
  </si>
  <si>
    <t>Restaurants, Fast Food, Burgers</t>
  </si>
  <si>
    <t>2237 Noblestown Rd</t>
  </si>
  <si>
    <t>nlEw8XVhQ5CTEr60xaE4Pg</t>
  </si>
  <si>
    <t>Mediterranean, Restaurants, Chicken Wings, Pizza</t>
  </si>
  <si>
    <t>Ash Kris Pizza</t>
  </si>
  <si>
    <t>3507 Cable Pl</t>
  </si>
  <si>
    <t>NbkDsQhfK13ATV79TI4OQg</t>
  </si>
  <si>
    <t>Restaurants, Mexican, Fast Food</t>
  </si>
  <si>
    <t>8870 Covenant Ave</t>
  </si>
  <si>
    <t>a-iENHYNgMdY65p9tZUj6w</t>
  </si>
  <si>
    <t>Italian, Restaurants</t>
  </si>
  <si>
    <t>Cafe Euro</t>
  </si>
  <si>
    <t>600 Grant St</t>
  </si>
  <si>
    <t>ZKBUoCqTpwMtmImz64DGyQ</t>
  </si>
  <si>
    <t>Restaurants, Chinese, Thai</t>
  </si>
  <si>
    <t>Hong Kong Express II</t>
  </si>
  <si>
    <t>529 Ct Pl</t>
  </si>
  <si>
    <t>eva56motCJcevOwKzyQO1g</t>
  </si>
  <si>
    <t>Playgrounds, Community Service/Non-Profit, Tennis, Swimming Pools, Travel Services, Hotels &amp; Travel, Restaurants, Hiking, Visitor Centers, Skating Rinks, Active Life, Beaches, Local Services, Parks, Cafes</t>
  </si>
  <si>
    <t>Schenley Park Visitors Center</t>
  </si>
  <si>
    <t>101 Panther Hollow Rd</t>
  </si>
  <si>
    <t>XrpWb4vB7-1z26OreeCD2w</t>
  </si>
  <si>
    <t>Greek, Restaurants</t>
  </si>
  <si>
    <t>The Simple Greek</t>
  </si>
  <si>
    <t>431 Market St</t>
  </si>
  <si>
    <t>nWO956JzoKr1uKD3VIkp5A</t>
  </si>
  <si>
    <t>Cafes, Restaurants</t>
  </si>
  <si>
    <t>Au Bon Pain Co</t>
  </si>
  <si>
    <t>120 5th Ave, Ste 210</t>
  </si>
  <si>
    <t>1eJ7yIzSAjwC145fnHD5Xw</t>
  </si>
  <si>
    <t>Restaurants, Coffee &amp; Tea, Cafes, Food</t>
  </si>
  <si>
    <t>Starbucks</t>
  </si>
  <si>
    <t>1050 Park Manor Blvd</t>
  </si>
  <si>
    <t>3ZcxnR9YkDVRqqkDJMRWBg</t>
  </si>
  <si>
    <t>Restaurants, Hot Pot, Soul Food, American (Traditional)</t>
  </si>
  <si>
    <t>Simmie's Restaurant</t>
  </si>
  <si>
    <t>8500 Frankstown Rd</t>
  </si>
  <si>
    <t>99SN6hku1PToQ2E3-4h8CA</t>
  </si>
  <si>
    <t>Food, Ice Cream &amp; Frozen Yogurt, Restaurants, Coffee &amp; Tea</t>
  </si>
  <si>
    <t>Jitters Cafe</t>
  </si>
  <si>
    <t>5541 Walnut St</t>
  </si>
  <si>
    <t>grZ6FnfZoj1pQWElAQve3g</t>
  </si>
  <si>
    <t>2410 W Liberty Ave</t>
  </si>
  <si>
    <t>9RiC03-rBMtulA3tS5HUZg</t>
  </si>
  <si>
    <t>Restaurants, Seafood</t>
  </si>
  <si>
    <t>Corky Nolan's Miller's Seafood House</t>
  </si>
  <si>
    <t>3853 California Ave</t>
  </si>
  <si>
    <t>bOwvJUb8A9MekXsK_SrftQ</t>
  </si>
  <si>
    <t>Mineo's Pizza</t>
  </si>
  <si>
    <t>gc4IkXZ3l7Lcmswcht-_ig</t>
  </si>
  <si>
    <t>Amo's Pizza</t>
  </si>
  <si>
    <t>2570 Woodstock Ave</t>
  </si>
  <si>
    <t>S2icYFHPsV_OSCvbI3YiTg</t>
  </si>
  <si>
    <t>Fresh Corner</t>
  </si>
  <si>
    <t>120 5th Ave, Ste 5</t>
  </si>
  <si>
    <t>FIxZW5OjfBotUouYzyYSjw</t>
  </si>
  <si>
    <t>Breakfast &amp; Brunch, Food, Sandwiches, Bagels, Restaurants</t>
  </si>
  <si>
    <t>Einstein Bros Bagels</t>
  </si>
  <si>
    <t>1736 Washington Rd</t>
  </si>
  <si>
    <t>HYwbHY-srAOoH-t337DpMw</t>
  </si>
  <si>
    <t>Tapas Bars, Restaurants</t>
  </si>
  <si>
    <t>Tusca Restaurant</t>
  </si>
  <si>
    <t>2773 Sidney St</t>
  </si>
  <si>
    <t>8mcg3eCoh69WqaKKZZF98w</t>
  </si>
  <si>
    <t>Fast Food, Hot Dogs, Desserts, American (Traditional), Burgers, Food, Restaurants</t>
  </si>
  <si>
    <t>BnD'z Burgerz &amp; Dogz</t>
  </si>
  <si>
    <t>663 Washington Rd</t>
  </si>
  <si>
    <t>u7fc6_zgJEnEq3rEkC1gBg</t>
  </si>
  <si>
    <t>Chinese, Restaurants</t>
  </si>
  <si>
    <t>Chop Sticks</t>
  </si>
  <si>
    <t>2018 Murray Ave</t>
  </si>
  <si>
    <t>NrokuoWJAy_VbMprivfAIA</t>
  </si>
  <si>
    <t>Molly's Pizza</t>
  </si>
  <si>
    <t>1525 Potomac Ave</t>
  </si>
  <si>
    <t>Mv7N0bU56dhtoDP-m2JOow</t>
  </si>
  <si>
    <t>American (New), Tapas Bars, Nightlife, Bars, Lounges, Restaurants</t>
  </si>
  <si>
    <t>Sonoma Grille</t>
  </si>
  <si>
    <t>947 Penn Ave</t>
  </si>
  <si>
    <t>oiTq668GwyXo5hMHjdW0kA</t>
  </si>
  <si>
    <t>Pubs, Restaurants, Nightlife, Bars, Burgers, American (Traditional)</t>
  </si>
  <si>
    <t>Stack'd Burgers - Shadyside</t>
  </si>
  <si>
    <t>728 Copeland St</t>
  </si>
  <si>
    <t>hzyvL2v97xLzLbLXcdi1uw</t>
  </si>
  <si>
    <t>Restaurants, Breakfast &amp; Brunch, Coffee &amp; Tea, French, Food, Creperies, Cafes</t>
  </si>
  <si>
    <t>Cafe Moulin</t>
  </si>
  <si>
    <t>732 Filbert St</t>
  </si>
  <si>
    <t>qXGKYRwCR9SLgLl0g_9o5g</t>
  </si>
  <si>
    <t>Cocktail Bars, Restaurants, American (New), American (Traditional), Bars, Nightlife</t>
  </si>
  <si>
    <t>Bar Louie</t>
  </si>
  <si>
    <t>240 Station Square Dr</t>
  </si>
  <si>
    <t>p2X4WdGMsi26t_6hN3Hz4w</t>
  </si>
  <si>
    <t>Chinese, Soup, Vietnamese, Restaurants, Asian Fusion</t>
  </si>
  <si>
    <t>Mekong Restaurant</t>
  </si>
  <si>
    <t>1429 Potomac Ave</t>
  </si>
  <si>
    <t>jhP9rUsV-KvgHu1n--7Q3w</t>
  </si>
  <si>
    <t>Khoo's Garden</t>
  </si>
  <si>
    <t>1130 Perry Hwy, Ste 26</t>
  </si>
  <si>
    <t>oITu5Qwnmv0hsEMc21XjXw</t>
  </si>
  <si>
    <t>Restaurants</t>
  </si>
  <si>
    <t>The Chef's Table at Quickhatch</t>
  </si>
  <si>
    <t>372 Butler St</t>
  </si>
  <si>
    <t>u-Xr6P0dHS5IF3HQEg5KoQ</t>
  </si>
  <si>
    <t>Desserts, Food, Pizza, Restaurants, Salad</t>
  </si>
  <si>
    <t>4740 Baum Blvd</t>
  </si>
  <si>
    <t>Zd9VJFJjfaadaJmCMFv-RQ</t>
  </si>
  <si>
    <t>Pizza, Mediterranean, Food, Turkish, Food Delivery Services, Restaurants</t>
  </si>
  <si>
    <t>Ephesus Pizza - Pittsburgh</t>
  </si>
  <si>
    <t>219 Fourth Ave</t>
  </si>
  <si>
    <t>_rKz-rQPzUAIZWlUHCKgow</t>
  </si>
  <si>
    <t>Fast Food, Burgers, Restaurants, Coffee &amp; Tea, Food</t>
  </si>
  <si>
    <t>McDonald's</t>
  </si>
  <si>
    <t>3708 Forbes Ave</t>
  </si>
  <si>
    <t>uRybQLCYWkC6N19MhaHf_w</t>
  </si>
  <si>
    <t>Noodles, Seafood, Restaurants, Taiwanese</t>
  </si>
  <si>
    <t>Taiwanese Bistro Cafe 33</t>
  </si>
  <si>
    <t>1711 Shady Ave</t>
  </si>
  <si>
    <t>b2ZukyGCS7xDlv0ZAlXdYg</t>
  </si>
  <si>
    <t>Pizza, Restaurants, Italian, Nightlife, Bars, Cocktail Bars</t>
  </si>
  <si>
    <t>Alida's Woodfire Cucina</t>
  </si>
  <si>
    <t>3345 Penn Ave, Ste 200</t>
  </si>
  <si>
    <t>G-GcMq-iVEENhjG3z1lZhA</t>
  </si>
  <si>
    <t>Caterers, Event Planning &amp; Services, Food, Food Trucks, Pizza, Restaurants</t>
  </si>
  <si>
    <t>Wood Fired Flatbreads</t>
  </si>
  <si>
    <t>625 Lowries Run Rd, Ste 200</t>
  </si>
  <si>
    <t>7HE4yPFbyimzEtVnB_nvzA</t>
  </si>
  <si>
    <t>American (Traditional), Bars, Dive Bars, Nightlife, Restaurants</t>
  </si>
  <si>
    <t>The Jaggerbush</t>
  </si>
  <si>
    <t>133 S 23rd St</t>
  </si>
  <si>
    <t>sTmHeHv-4uZRRne5jBDzvA</t>
  </si>
  <si>
    <t>Si Senor Restaurant</t>
  </si>
  <si>
    <t>_iUlt5rm-15QoLw0MEEg5A</t>
  </si>
  <si>
    <t>Nightlife, Lounges, Event Planning &amp; Services, Restaurants, Venues &amp; Event Spaces, Bars, American (Traditional)</t>
  </si>
  <si>
    <t>Mitchell's Pub</t>
  </si>
  <si>
    <t>304 Ross St</t>
  </si>
  <si>
    <t>s2s7K5_x-W6gbCvuhtI6lw</t>
  </si>
  <si>
    <t>Gateway Clipper Cafe</t>
  </si>
  <si>
    <t>224 W Station Square Dr</t>
  </si>
  <si>
    <t>OaDijC3QRwxw9uTadyWIsw</t>
  </si>
  <si>
    <t>Restaurants, Mexican</t>
  </si>
  <si>
    <t>Mexico City</t>
  </si>
  <si>
    <t>2212 E Carson St</t>
  </si>
  <si>
    <t>KNvqTNhpCq7Sshqzykx9QQ</t>
  </si>
  <si>
    <t>Pizza, Restaurants, Italian</t>
  </si>
  <si>
    <t>Folino Brothers Pizzeria</t>
  </si>
  <si>
    <t>373 Vanadium Rd</t>
  </si>
  <si>
    <t>PA0UJYogQTd5MIuKMs3tfA</t>
  </si>
  <si>
    <t>Restaurants, Greek</t>
  </si>
  <si>
    <t>It's Greek To Me</t>
  </si>
  <si>
    <t>1011 Brookline Blvd</t>
  </si>
  <si>
    <t>IBSOhov5GLSZsGzz3ZsQjg</t>
  </si>
  <si>
    <t>Event Planning &amp; Services, Restaurants, Comfort Food, Caterers, American (Traditional)</t>
  </si>
  <si>
    <t>Boston Market</t>
  </si>
  <si>
    <t>98 Clairton Blvd</t>
  </si>
  <si>
    <t>MtjOk7u7sp3yWyzscAIG4Q</t>
  </si>
  <si>
    <t>Bars, Nightlife, Restaurants, Cuban</t>
  </si>
  <si>
    <t>Salud</t>
  </si>
  <si>
    <t>4517 Butler St</t>
  </si>
  <si>
    <t>yPcAdikNrXEsfbHNBQUjkQ</t>
  </si>
  <si>
    <t>Antiques, Coffee &amp; Tea, Restaurants, Salad, Food, Breakfast &amp; Brunch, Vegetarian, Vegan, Shopping</t>
  </si>
  <si>
    <t>The Zenith</t>
  </si>
  <si>
    <t>86 S 26th St</t>
  </si>
  <si>
    <t>XKOAi4J47i-YEhhHfKkPRQ</t>
  </si>
  <si>
    <t>China Garden</t>
  </si>
  <si>
    <t>890 Butler St</t>
  </si>
  <si>
    <t>8CjI8nebSDB5aINJc3dLwA</t>
  </si>
  <si>
    <t>Italian, Restaurants, Pizza</t>
  </si>
  <si>
    <t>Quattro Pizza</t>
  </si>
  <si>
    <t>328 Curry Hollow Rd</t>
  </si>
  <si>
    <t>lPljcKGwLlcwkLT5cl0yDg</t>
  </si>
  <si>
    <t>Bagels, Sandwiches, Breakfast &amp; Brunch, Restaurants, Food</t>
  </si>
  <si>
    <t>Bruegger's Bagels</t>
  </si>
  <si>
    <t>411 Seventh Ave</t>
  </si>
  <si>
    <t>_PKa6Dj06Q2AHKGkpJ7GnA</t>
  </si>
  <si>
    <t>Restaurants, Barbeque, American (New), Soul Food</t>
  </si>
  <si>
    <t>Z-Best BBQ</t>
  </si>
  <si>
    <t>1315 5th Ave</t>
  </si>
  <si>
    <t>p4jRa3qzDJtV-hSjcuNUag</t>
  </si>
  <si>
    <t>Nightlife, Bars, Pizza, Restaurants</t>
  </si>
  <si>
    <t>Pi Coal Fired Pizza</t>
  </si>
  <si>
    <t>1707 E Carson St</t>
  </si>
  <si>
    <t>2cfzQGANxuIGcCUrlwnV7w</t>
  </si>
  <si>
    <t>Fast Food, Chicken Wings, Restaurants, Southern</t>
  </si>
  <si>
    <t>Popeyes Louisiana Kitchen</t>
  </si>
  <si>
    <t>3420 William Penn Hwy</t>
  </si>
  <si>
    <t>fHH836GXPlnwnJL14ZpGRw</t>
  </si>
  <si>
    <t>Burgers, Nightlife, Beer Bar, American (Traditional), Bars, Restaurants</t>
  </si>
  <si>
    <t>Forbes Tavern</t>
  </si>
  <si>
    <t>310 Forbes Ave</t>
  </si>
  <si>
    <t>drquCq18pgKu1lv1UzJJAQ</t>
  </si>
  <si>
    <t>American (New), Restaurants, Nightlife, Bars</t>
  </si>
  <si>
    <t>Siempre Algo</t>
  </si>
  <si>
    <t>414 E Ohio St</t>
  </si>
  <si>
    <t>LkcGDfznt-QzjL22fO3F4Q</t>
  </si>
  <si>
    <t>Soup, Bars, Burgers, Sandwiches, Restaurants, Nightlife, Food</t>
  </si>
  <si>
    <t>Stoke's Grill</t>
  </si>
  <si>
    <t>4771 McKnight Rd</t>
  </si>
  <si>
    <t>X8AGCsJHw-GuTqkzy2J3cg</t>
  </si>
  <si>
    <t>Convenience Stores, American (New), Coffee &amp; Tea, Donuts, Restaurants, Food, Breakfast &amp; Brunch</t>
  </si>
  <si>
    <t>Bluebird Kitchen</t>
  </si>
  <si>
    <t>221 Forbes Ave</t>
  </si>
  <si>
    <t>lJc5WljtIAI6hBqzKbn_HQ</t>
  </si>
  <si>
    <t>Restaurants, Pizza, Chicken Wings, Salad</t>
  </si>
  <si>
    <t>3060 W Liberty Ave</t>
  </si>
  <si>
    <t>XxmziAeRqMKwsDjyyjVgeg</t>
  </si>
  <si>
    <t>Italian, Nightlife, Restaurants</t>
  </si>
  <si>
    <t>Zarra's A Taste of Southern Italy</t>
  </si>
  <si>
    <t>3887 Bigelow Blvd</t>
  </si>
  <si>
    <t>bSdLGMzfyNa5PcwH_00_CQ</t>
  </si>
  <si>
    <t>Pizza, Burgers, Restaurants, Breakfast &amp; Brunch</t>
  </si>
  <si>
    <t>Jack's Pizza &amp; Hoagies</t>
  </si>
  <si>
    <t>3565 Harts Run Rd</t>
  </si>
  <si>
    <t>bLva9YGmDcnar3YKHE2XzA</t>
  </si>
  <si>
    <t>Ice Cream &amp; Frozen Yogurt, Food, Restaurants</t>
  </si>
  <si>
    <t>Tutti Frutti Frozen Yogurt</t>
  </si>
  <si>
    <t>5874 Forbes Ave</t>
  </si>
  <si>
    <t>xjTZe_vgnlnsEUGHfQiOIw</t>
  </si>
  <si>
    <t>Lydia's Place</t>
  </si>
  <si>
    <t>710 5th Ave, Ste 2100</t>
  </si>
  <si>
    <t>PNl8R1SmXXgGU2ThG0qVbg</t>
  </si>
  <si>
    <t>American (Traditional), American (New), Restaurants</t>
  </si>
  <si>
    <t>Georgetowne Inn</t>
  </si>
  <si>
    <t>1230 Grandview Ave</t>
  </si>
  <si>
    <t>8cyyRk-cqecyB1ctnRsR1A</t>
  </si>
  <si>
    <t>Bistros, Restaurants, American (New)</t>
  </si>
  <si>
    <t>Lola Bistro</t>
  </si>
  <si>
    <t>1100 Galveston Ave</t>
  </si>
  <si>
    <t>EJFdWX908N8Yc2XG0Lky8A</t>
  </si>
  <si>
    <t>Restaurants, Cafes</t>
  </si>
  <si>
    <t>River Moon Cafe</t>
  </si>
  <si>
    <t>104 43rd St</t>
  </si>
  <si>
    <t>iXnHrmTw-r6LNzC2MjjrWQ</t>
  </si>
  <si>
    <t>Caribbean, Restaurants, Mexican</t>
  </si>
  <si>
    <t>2102 Broadway Ave</t>
  </si>
  <si>
    <t>xA6L2w_TlbxHubb1xeBE8w</t>
  </si>
  <si>
    <t>Food, Pakistani, Indian, Restaurants, Bakeries</t>
  </si>
  <si>
    <t>Tamarind Savoring India</t>
  </si>
  <si>
    <t>2101 Greentree Rd</t>
  </si>
  <si>
    <t>PF8HqToO6An0mH6odFoCEw</t>
  </si>
  <si>
    <t>Food Court, Fast Food, Restaurants, Sandwiches, Steakhouses</t>
  </si>
  <si>
    <t>South Philly Steak &amp; Fries</t>
  </si>
  <si>
    <t>301 S Hills Village</t>
  </si>
  <si>
    <t>ygb8qHro6-EHNWevravotQ</t>
  </si>
  <si>
    <t>Noodles, Restaurants, Vietnamese, Vegan</t>
  </si>
  <si>
    <t>Tan Lac Vien Express</t>
  </si>
  <si>
    <t>256 N Craig St</t>
  </si>
  <si>
    <t>Chr3YCuvt2mD-BHgqeo-OA</t>
  </si>
  <si>
    <t>Specialty Food, Ethnic Food, Restaurants, Latin American, Peruvian, Food</t>
  </si>
  <si>
    <t>Chicken Latino</t>
  </si>
  <si>
    <t>155 21st St</t>
  </si>
  <si>
    <t>zxSfGIhK3hH3vVz_pS5eaA</t>
  </si>
  <si>
    <t>Food, Halal, Food Delivery Services, Wineries, Bars, Restaurants, Nightlife, Arts &amp; Entertainment, Indian, Pakistani</t>
  </si>
  <si>
    <t>Yuva India Kitchen + Bar</t>
  </si>
  <si>
    <t>412 S Craig St</t>
  </si>
  <si>
    <t>EWJbWp3oOwDsv4Lo5eZWxw</t>
  </si>
  <si>
    <t>Pizza, American (Traditional), Diners, Breakfast &amp; Brunch, Restaurants</t>
  </si>
  <si>
    <t>Drew's Family Restaurant</t>
  </si>
  <si>
    <t>2060 Ardmore Blvd</t>
  </si>
  <si>
    <t>oXFRaSgcT9GwCWfC9lf8dg</t>
  </si>
  <si>
    <t>Pizza Italia</t>
  </si>
  <si>
    <t>4512 Liberty Ave</t>
  </si>
  <si>
    <t>lRB4EvPM0L88f4meH9KcYQ</t>
  </si>
  <si>
    <t>Restaurants, Desserts, Food, Ice Cream &amp; Frozen Yogurt, American (Traditional), Sandwiches</t>
  </si>
  <si>
    <t>Peanut Butter Jelly Time</t>
  </si>
  <si>
    <t>4709 Liberty Ave</t>
  </si>
  <si>
    <t>R4i5FshghtTnTZC8EEbjHQ</t>
  </si>
  <si>
    <t>Restaurants, Vegetarian, Gluten-Free, Fast Food</t>
  </si>
  <si>
    <t>Freshii</t>
  </si>
  <si>
    <t>501 Grant St</t>
  </si>
  <si>
    <t>c0yPNU-BqS65u0vIKP7P0w</t>
  </si>
  <si>
    <t>American (New), Restaurants</t>
  </si>
  <si>
    <t>Avenue B</t>
  </si>
  <si>
    <t>5501 Centre Ave</t>
  </si>
  <si>
    <t>uXft-y53ujmlAt0SH-5KYg</t>
  </si>
  <si>
    <t>Diners, Coffee &amp; Tea, Breakfast &amp; Brunch, Sandwiches, Greek, Burgers, Restaurants, Food</t>
  </si>
  <si>
    <t>Lindos Restaurant</t>
  </si>
  <si>
    <t>947 Western Ave</t>
  </si>
  <si>
    <t>F-lfG2IBiICdSxoHYmi-Vg</t>
  </si>
  <si>
    <t>Restaurants, Italian</t>
  </si>
  <si>
    <t>Common Plea Restaurant</t>
  </si>
  <si>
    <t>308 Ross St</t>
  </si>
  <si>
    <t>CQbxcD7b6SjBwk7EOA0PcQ</t>
  </si>
  <si>
    <t>Real Estate, Apartments, Restaurants, Event Planning &amp; Services, Hotels, Hotels &amp; Travel, Home Services</t>
  </si>
  <si>
    <t>Extended Stay America - Pittsburgh - Airport</t>
  </si>
  <si>
    <t>200 Chauvet Dr.</t>
  </si>
  <si>
    <t>uE6hI5_i4QVq12xU99xtqA</t>
  </si>
  <si>
    <t>Fazio's Pizza</t>
  </si>
  <si>
    <t>4028 Penn Ave</t>
  </si>
  <si>
    <t>aXr_1TUkow7ef7ddrd7kYA</t>
  </si>
  <si>
    <t>Hotels &amp; Travel, Restaurants, American (New)</t>
  </si>
  <si>
    <t>Palm Court</t>
  </si>
  <si>
    <t>530 William Penn Pl</t>
  </si>
  <si>
    <t>gn8cZOxQIZNUeiHcJ0WxMQ</t>
  </si>
  <si>
    <t>Max &amp; Erma's Restaurants</t>
  </si>
  <si>
    <t>5533 Walnut St</t>
  </si>
  <si>
    <t>N56-LiN3xp3xEQbl0oRHjg</t>
  </si>
  <si>
    <t>Southern, Restaurants</t>
  </si>
  <si>
    <t>Nana's Place By Gibsons</t>
  </si>
  <si>
    <t>4510 Liberty Ave</t>
  </si>
  <si>
    <t>pGwfOqNEL8FbMUFspJdAMA</t>
  </si>
  <si>
    <t>Patron Mexican Grill</t>
  </si>
  <si>
    <t>133 S Highland Ave</t>
  </si>
  <si>
    <t>atE68d1gSZf3849yIGLBJw</t>
  </si>
  <si>
    <t>Northeastern Kitchen</t>
  </si>
  <si>
    <t>5824 Forbes Ave</t>
  </si>
  <si>
    <t>zV-MIXhL1atiHTc1P1HRRA</t>
  </si>
  <si>
    <t>Comfort Food, American (Traditional), Restaurants</t>
  </si>
  <si>
    <t>Pittsburgh Poultry Company</t>
  </si>
  <si>
    <t>411 Cherry Way</t>
  </si>
  <si>
    <t>2xBIQyPr3Bp5YPgLScMSgg</t>
  </si>
  <si>
    <t>Golden Corral of Pittsburgh</t>
  </si>
  <si>
    <t>900 Park Manor Blvd</t>
  </si>
  <si>
    <t>QzoHxxiHH1HDOATbMK4odw</t>
  </si>
  <si>
    <t>Sandwiches, Delis, Grocery, Restaurants, Food</t>
  </si>
  <si>
    <t>Giant Eagle</t>
  </si>
  <si>
    <t>1165 McKinney Ln</t>
  </si>
  <si>
    <t>Restaurants, Indian, Caterers, Event Planning &amp; Services</t>
  </si>
  <si>
    <t>Desi Moorgi</t>
  </si>
  <si>
    <t>4903 Baum Blvd</t>
  </si>
  <si>
    <t>9cgrssqswYBSpvBAKc1-nQ</t>
  </si>
  <si>
    <t>Fast Food, Salad, Restaurants, Sandwiches, Delis</t>
  </si>
  <si>
    <t>1035 Fifth Ave</t>
  </si>
  <si>
    <t>p0hfV1YC5KB3Np5mek3TbQ</t>
  </si>
  <si>
    <t>Restaurants, Fast Food, Delis, Sandwiches</t>
  </si>
  <si>
    <t>Jimmy John's</t>
  </si>
  <si>
    <t>1717 E Carson St</t>
  </si>
  <si>
    <t>78zibwl7zb6sekh4bG8g8g</t>
  </si>
  <si>
    <t>The Underground</t>
  </si>
  <si>
    <t>1060 Morewood Ave</t>
  </si>
  <si>
    <t>7hiJOyqQ14u6IkYQ40SQUg</t>
  </si>
  <si>
    <t>Music Venues, Bars, Lounges, Cafes, Restaurants, Nightlife, Arts &amp; Entertainment</t>
  </si>
  <si>
    <t>AVA Cafe + Lounge</t>
  </si>
  <si>
    <t>304 N Craig St</t>
  </si>
  <si>
    <t>64Pj9JV8jPOizCKpFI7Y2g</t>
  </si>
  <si>
    <t>El Lugar</t>
  </si>
  <si>
    <t>200 Children's Way</t>
  </si>
  <si>
    <t>dFO-m5EkCYXr3kztC1d1aA</t>
  </si>
  <si>
    <t>Italian, American (Traditional), Restaurants, Bars, Nightlife</t>
  </si>
  <si>
    <t>Rum Runners</t>
  </si>
  <si>
    <t>3385 Babcock Blvd</t>
  </si>
  <si>
    <t>9_LwnUarlbKkTbVvP9FRdw</t>
  </si>
  <si>
    <t>Uzbek, Restaurants</t>
  </si>
  <si>
    <t>Diyor Cafe and Lounge</t>
  </si>
  <si>
    <t>14 Smithfield St</t>
  </si>
  <si>
    <t>6U5QlK84UmPUgoJAwAcL9Q</t>
  </si>
  <si>
    <t>California Taco Shop</t>
  </si>
  <si>
    <t>2760 Saw Mill Run Blvd</t>
  </si>
  <si>
    <t>Aes4MuZLnFqglFJNMZxRbw</t>
  </si>
  <si>
    <t>Specialty Food, Imported Food, Food, African, Ethnic Food, Coffee &amp; Tea, Restaurants</t>
  </si>
  <si>
    <t>Lydiah's Coffee House</t>
  </si>
  <si>
    <t>200 Grant St</t>
  </si>
  <si>
    <t>q3KkavNYpcsgbdfeImYzKw</t>
  </si>
  <si>
    <t>Restaurants, Nightlife, Lounges, Bars, American (New)</t>
  </si>
  <si>
    <t>Bellfarm</t>
  </si>
  <si>
    <t>1111 Airport Blvd</t>
  </si>
  <si>
    <t>WnuRPyTEvILZKCAPk2UwYQ</t>
  </si>
  <si>
    <t>Burgers, Fast Food, Restaurants</t>
  </si>
  <si>
    <t>725 Allegheny Ave</t>
  </si>
  <si>
    <t>scIbMKZIigMz4w5Q2SltTg</t>
  </si>
  <si>
    <t>Bars, Nightlife, Restaurants, Sports Bars, Buffets, American (Traditional), Lounges</t>
  </si>
  <si>
    <t>Carson City Saloon</t>
  </si>
  <si>
    <t>1401 E Carson St</t>
  </si>
  <si>
    <t>Zs-Gk02SPk_CU7NgMAVTJw</t>
  </si>
  <si>
    <t>Coffee &amp; Tea, Cafes, Restaurants, Food, Coffee Roasteries, Desserts</t>
  </si>
  <si>
    <t>Coffee Tree Roasters</t>
  </si>
  <si>
    <t>48 Fox Chapel Rd</t>
  </si>
  <si>
    <t>6V8D6uCQ-ChFap59Fc-ZoA</t>
  </si>
  <si>
    <t>American (New), Bars, Restaurants, Burgers, Cafes, Nightlife</t>
  </si>
  <si>
    <t>Coach's Bottleshop &amp; Grille</t>
  </si>
  <si>
    <t>3105 Banksville Rd</t>
  </si>
  <si>
    <t>lYSV7xI8lhO76kZs-z2MOw</t>
  </si>
  <si>
    <t>Specialty Food, Breakfast &amp; Brunch, Food, Restaurants</t>
  </si>
  <si>
    <t>Waffle Shop</t>
  </si>
  <si>
    <t>124 S Highland Ave</t>
  </si>
  <si>
    <t>5CjdVHY504ccwZ2n3uyPOA</t>
  </si>
  <si>
    <t>Food, Burgers, Restaurants, Coffee &amp; Tea, Fast Food</t>
  </si>
  <si>
    <t>549 Clairton Blvd</t>
  </si>
  <si>
    <t>462vn0tiPlmWRcP71yYOTQ</t>
  </si>
  <si>
    <t>Tsuki Japanese</t>
  </si>
  <si>
    <t>11655 Frankstown Rd</t>
  </si>
  <si>
    <t>WQAQ6IrxRMz4U22Y79-CuA</t>
  </si>
  <si>
    <t>Pizza, Vegan, Restaurants, Salad</t>
  </si>
  <si>
    <t>Brick-Side Eatery</t>
  </si>
  <si>
    <t>3459 5th Ave, Fl 7</t>
  </si>
  <si>
    <t>JzB7NITHQ7gVHGVZ1ntgIQ</t>
  </si>
  <si>
    <t>Restaurants, Sports Bars, Nightlife, Sandwiches, Bars, American (New)</t>
  </si>
  <si>
    <t>6 Anchor Dr</t>
  </si>
  <si>
    <t>geVM8YqBzb_8kXR2Z0YsCA</t>
  </si>
  <si>
    <t>Nightlife, Restaurants, Breakfast &amp; Brunch, American (New), Beer, Wine &amp; Spirits, American (Traditional), Food</t>
  </si>
  <si>
    <t>Cornerstone Restaurant &amp; Bar</t>
  </si>
  <si>
    <t>301 Freeport Rd</t>
  </si>
  <si>
    <t>j4jsgp-e315s11ehJfRzAA</t>
  </si>
  <si>
    <t>Steakhouses, Diners, American (Traditional), Restaurants, Seafood</t>
  </si>
  <si>
    <t>The Carlton</t>
  </si>
  <si>
    <t>500 Grant St</t>
  </si>
  <si>
    <t>XUDOc980cjB0PZvVS-T6Eg</t>
  </si>
  <si>
    <t>Asian Fusion, Restaurants, Sushi Bars, Chinese</t>
  </si>
  <si>
    <t>Jimmy Wans</t>
  </si>
  <si>
    <t>1337 Old Freeport Rd</t>
  </si>
  <si>
    <t>bKj_nnb2wyXduNoFXDeR9w</t>
  </si>
  <si>
    <t>Sandwiches, Salad, Delis, Restaurants</t>
  </si>
  <si>
    <t>Zuppas Delicatessen</t>
  </si>
  <si>
    <t>2585 Freeport Rd</t>
  </si>
  <si>
    <t>qHseX2NHeUUedIgs_VasZA</t>
  </si>
  <si>
    <t>Caterers, Breakfast &amp; Brunch, Event Planning &amp; Services, Food Trucks, Mexican, Food, Restaurants</t>
  </si>
  <si>
    <t>La Palapa, Traditional Mexican Kitchen</t>
  </si>
  <si>
    <t>2224 E Carson St</t>
  </si>
  <si>
    <t>tB_SvIaU0KmMgrM4kLPW8Q</t>
  </si>
  <si>
    <t>Restaurants, Greek, Mediterranean</t>
  </si>
  <si>
    <t>Mike &amp; Tony's Gyros</t>
  </si>
  <si>
    <t>1414 E Carson St</t>
  </si>
  <si>
    <t>qfBp53c7Z2DpqUrGhV80zg</t>
  </si>
  <si>
    <t>Thai, Restaurants</t>
  </si>
  <si>
    <t>Thai Cottage</t>
  </si>
  <si>
    <t>1109 S Braddock Ave</t>
  </si>
  <si>
    <t>EXF-imcOSptiuzlirPjljA</t>
  </si>
  <si>
    <t>Sushi Bars, Restaurants, Korean, Japanese</t>
  </si>
  <si>
    <t>Oya Sushi &amp; Korean Grill</t>
  </si>
  <si>
    <t>325 Mt Lebanon Blvd</t>
  </si>
  <si>
    <t>hDD6-yk1yuuRIvfdtHsISg</t>
  </si>
  <si>
    <t>Bars, Japanese, Lounges, Nightlife, Restaurants, Sushi Bars</t>
  </si>
  <si>
    <t>Nakama</t>
  </si>
  <si>
    <t>1611 E Carson St</t>
  </si>
  <si>
    <t>of-a3UqUN5iz-ttBf0knig</t>
  </si>
  <si>
    <t>Police Station Pizza</t>
  </si>
  <si>
    <t>1124 Park Manor Blvd</t>
  </si>
  <si>
    <t>QQ4763IteaX73s6-1d68dw</t>
  </si>
  <si>
    <t>American (New), Breakfast &amp; Brunch, Restaurants</t>
  </si>
  <si>
    <t>Eliza Hot Metal Bistro</t>
  </si>
  <si>
    <t>331 Technology Dr</t>
  </si>
  <si>
    <t>R7eLlAdeIYsxux_Vm0l5sg</t>
  </si>
  <si>
    <t>Carbonara's Restaurant</t>
  </si>
  <si>
    <t>250 Mount Lebanon Blvd</t>
  </si>
  <si>
    <t>Jz4LZvTibMEzXx8nZX5Q7g</t>
  </si>
  <si>
    <t>Health Markets, Grocery, Restaurants, Sandwiches, Specialty Food, Food</t>
  </si>
  <si>
    <t>Right By Nature Hometown Market</t>
  </si>
  <si>
    <t>2305 Smallman St</t>
  </si>
  <si>
    <t>jZARZjPedelwxgCmVRgBQg</t>
  </si>
  <si>
    <t>Johnny Carino's Italian Restaurant</t>
  </si>
  <si>
    <t>1000 Sutherland Blvd</t>
  </si>
  <si>
    <t>Rcc2zK76CsRhQSAXCQusDQ</t>
  </si>
  <si>
    <t>Pizza, Pubs, Bars, Restaurants, Nightlife</t>
  </si>
  <si>
    <t>Mt. Lebanon Pub &amp; Pizza</t>
  </si>
  <si>
    <t>329 Castle Shannon Blvd</t>
  </si>
  <si>
    <t>LNAI2hGXzAFq_9KFwpdshg</t>
  </si>
  <si>
    <t>Restaurants, Irish, Arts &amp; Entertainment, Bars, American (Traditional), Nightlife</t>
  </si>
  <si>
    <t>McFadden's Saloon</t>
  </si>
  <si>
    <t>211 N Shore Dr</t>
  </si>
  <si>
    <t>sdh27i5q0EcAKagBDNQw3A</t>
  </si>
  <si>
    <t>Nightlife, French, Beer, Wine &amp; Spirits, Bars, Food, Wine Bars, American (New), Restaurants</t>
  </si>
  <si>
    <t>Poulet Bleu</t>
  </si>
  <si>
    <t>3519 Butler St</t>
  </si>
  <si>
    <t>njdz0sOFfsawcBi6jpKNhA</t>
  </si>
  <si>
    <t>Sandwiches, Pizza, Restaurants, Food Delivery Services, Food</t>
  </si>
  <si>
    <t>Adrian's Pizza</t>
  </si>
  <si>
    <t>605 Thompson Run Rd</t>
  </si>
  <si>
    <t>tj_fehXLxdGMjyLY-mTXRg</t>
  </si>
  <si>
    <t>Food, Turkish, Restaurants, Mediterranean</t>
  </si>
  <si>
    <t>Fez Grill Turkish &amp; Mediterranean Cuisine</t>
  </si>
  <si>
    <t>416 Semple St</t>
  </si>
  <si>
    <t>KzLjbXEDH1e1WrfzrrzZKw</t>
  </si>
  <si>
    <t>Restaurants, Cantonese, Chinese</t>
  </si>
  <si>
    <t>Mandarin Gourmet</t>
  </si>
  <si>
    <t>305 Wood St</t>
  </si>
  <si>
    <t>DEsBsSuyiNWYJyR0KEok2Q</t>
  </si>
  <si>
    <t>Restaurants, Bars, American (New), Nightlife</t>
  </si>
  <si>
    <t>Peanutz</t>
  </si>
  <si>
    <t>410 E Ohio St</t>
  </si>
  <si>
    <t>z4GLHQ2-o0p6Ia4q_4j4HA</t>
  </si>
  <si>
    <t>Breakfast &amp; Brunch, Diners, Restaurants, American (Traditional)</t>
  </si>
  <si>
    <t>Frank &amp; Shirley's</t>
  </si>
  <si>
    <t>2209 Saw Mill Run Blvd</t>
  </si>
  <si>
    <t>XqNDr54eLDLRfZwo4l4dVA</t>
  </si>
  <si>
    <t>Bagels, Sandwiches, Restaurants, Food, Breakfast &amp; Brunch</t>
  </si>
  <si>
    <t>3714 Forbes Ave</t>
  </si>
  <si>
    <t>5oA6zlmJ4jQREDH6dNCq6w</t>
  </si>
  <si>
    <t>Breakfast &amp; Brunch, American (Traditional), Restaurants, Food, Fast Food, Delis, Sandwiches, Diners</t>
  </si>
  <si>
    <t>The Alcove</t>
  </si>
  <si>
    <t>875 Greentree Rd, Ste 106 Bldg 4</t>
  </si>
  <si>
    <t>usCGyfoTxOYOqygtI9orUA</t>
  </si>
  <si>
    <t>Restaurants, Food, Food Trucks, Mediterranean</t>
  </si>
  <si>
    <t>Leena's Food Truck</t>
  </si>
  <si>
    <t>k3WyM7vM-4nKxJQaFBdwJA</t>
  </si>
  <si>
    <t>Delis, Sandwiches, Restaurants</t>
  </si>
  <si>
    <t>The Italian Bread Place &amp; Deli</t>
  </si>
  <si>
    <t>2381 Noblestown Rd</t>
  </si>
  <si>
    <t>NdqDt4c2ZWpGTUWvcDDKkw</t>
  </si>
  <si>
    <t>Food, Chinese, Restaurants</t>
  </si>
  <si>
    <t>Yen's Gourmet</t>
  </si>
  <si>
    <t>6123 Penn Ave</t>
  </si>
  <si>
    <t>XaTts7L8g57_odPEFuwkOw</t>
  </si>
  <si>
    <t>Chen's Wok</t>
  </si>
  <si>
    <t>825 Wood St</t>
  </si>
  <si>
    <t>4CE_jyoNwSYkorer13G5OQ</t>
  </si>
  <si>
    <t>El Toro Loco</t>
  </si>
  <si>
    <t>2512 E Carson St</t>
  </si>
  <si>
    <t>9nTF596jDvBBia2EXXiOOg</t>
  </si>
  <si>
    <t>Bubble Tea, Juice Bars &amp; Smoothies, Taiwanese, Coffee &amp; Tea, Restaurants, Food</t>
  </si>
  <si>
    <t>I Tea Cafe</t>
  </si>
  <si>
    <t>709 Bellefonte St</t>
  </si>
  <si>
    <t>pHpOuNf02eMyhdCnvMQGhg</t>
  </si>
  <si>
    <t>Bravo Franco Ristorante</t>
  </si>
  <si>
    <t>613 Penn Ave</t>
  </si>
  <si>
    <t>kGDzJFasIHxrH0EAa_oSWQ</t>
  </si>
  <si>
    <t>Burgers, Nightlife, Restaurants, American (New)</t>
  </si>
  <si>
    <t>Pittsburgh Grill and Sports Bar</t>
  </si>
  <si>
    <t>381 N Shore Dr</t>
  </si>
  <si>
    <t>qAzOcHnWerREl678su-p0A</t>
  </si>
  <si>
    <t>Chinese, Restaurants, Japanese</t>
  </si>
  <si>
    <t>Asian Garden</t>
  </si>
  <si>
    <t>4136 Library Rd</t>
  </si>
  <si>
    <t>VUDwlypqw1-DTK_lfEP4jg</t>
  </si>
  <si>
    <t>Buffets, Chinese, Food, Restaurants</t>
  </si>
  <si>
    <t>Panda</t>
  </si>
  <si>
    <t>238 Crafton Ingram Shp Ctr</t>
  </si>
  <si>
    <t>3TrY8CpsnvnTTYigx2R4yg</t>
  </si>
  <si>
    <t>Restaurants, Desserts, Bakeries, Food</t>
  </si>
  <si>
    <t>Prantl's Bakery</t>
  </si>
  <si>
    <t>5525 Walnut St</t>
  </si>
  <si>
    <t>KvlaL5wejWOaZayBxP_vUQ</t>
  </si>
  <si>
    <t>Sports Bars, Nightlife, Delis, Bars, Restaurants</t>
  </si>
  <si>
    <t>Dominic's</t>
  </si>
  <si>
    <t>7z2x16M7IuG8KPfMsyVrKA</t>
  </si>
  <si>
    <t>Spanish, Restaurants</t>
  </si>
  <si>
    <t>Morcilla</t>
  </si>
  <si>
    <t>q6BzQz426uH6rB7bmZvexQ</t>
  </si>
  <si>
    <t>Fast Food, Restaurants, Food, Pizza, Beer, Wine &amp; Spirits, Bars, Italian, Nightlife, American (Traditional)</t>
  </si>
  <si>
    <t>la Cappella</t>
  </si>
  <si>
    <t>1041 Freeport Rd</t>
  </si>
  <si>
    <t>IakOnLeTFBvJvcxxBHQq_Q</t>
  </si>
  <si>
    <t>Olio Trattoria</t>
  </si>
  <si>
    <t>3716 Forbes Ave</t>
  </si>
  <si>
    <t>fZadRslL_7WwgZfVD6DYnw</t>
  </si>
  <si>
    <t>Kar Hing</t>
  </si>
  <si>
    <t>211 North Ave</t>
  </si>
  <si>
    <t>East Pittsburgh</t>
  </si>
  <si>
    <t>A4kCvILTgfr_2cG0_yGNiw</t>
  </si>
  <si>
    <t>Karaoke, Korean, Nightlife, Restaurants</t>
  </si>
  <si>
    <t>Green Pepper</t>
  </si>
  <si>
    <t>2020 Murray Ave</t>
  </si>
  <si>
    <t>Perap0eAyCbUx4r4rQTSnA</t>
  </si>
  <si>
    <t>Pizza, Salad, Restaurants</t>
  </si>
  <si>
    <t>Pie Express</t>
  </si>
  <si>
    <t>148 Oakland Ave</t>
  </si>
  <si>
    <t>o47aY911-1rK9tHeXOWxFg</t>
  </si>
  <si>
    <t>Pizza Perfectta</t>
  </si>
  <si>
    <t>258 S Highland Ave</t>
  </si>
  <si>
    <t>bjr8Uyi-r6xDeXVAhSX-cA</t>
  </si>
  <si>
    <t>Italian Village Pizza</t>
  </si>
  <si>
    <t>nlVjdQq9FzdQ3bfy-8y80g</t>
  </si>
  <si>
    <t>The Dor-Stop Restaurant</t>
  </si>
  <si>
    <t>1430 Potomac Ave</t>
  </si>
  <si>
    <t>vXEZ-r6fah-5Fjt3a6c-Gw</t>
  </si>
  <si>
    <t>Salad, American (New), Restaurants, Food, American (Traditional), Desserts</t>
  </si>
  <si>
    <t>The Cheesecake Factory</t>
  </si>
  <si>
    <t>415 S 27th St</t>
  </si>
  <si>
    <t>GVPEk8fvR7_46_5lYch_4A</t>
  </si>
  <si>
    <t>Delis, Imported Food, Restaurants, Ethnic Food, Grocery, Food, Specialty Food</t>
  </si>
  <si>
    <t>Salim's Middle Eastern Food Store</t>
  </si>
  <si>
    <t>4705 Centre Ave</t>
  </si>
  <si>
    <t>GDXftPS1_fTJUtZkaEUDhA</t>
  </si>
  <si>
    <t>Restaurants, Juice Bars &amp; Smoothies, Food, Japanese, Acai Bowls, Tapas/Small Plates, Ramen</t>
  </si>
  <si>
    <t>Plate &amp; Bowl</t>
  </si>
  <si>
    <t>5904 Bryant St</t>
  </si>
  <si>
    <t>6OV-xbmgjdXUZ80BdjXfJQ</t>
  </si>
  <si>
    <t>Restaurants, Sports Bars, American (Traditional), Bars, Lounges, Nightlife, American (New)</t>
  </si>
  <si>
    <t>Ziggy's Tavern</t>
  </si>
  <si>
    <t>9101 Perry Hwy</t>
  </si>
  <si>
    <t>DGeupkmvo1X1oKn-sv9UQA</t>
  </si>
  <si>
    <t>Restaurants, Diners</t>
  </si>
  <si>
    <t>Kelly O's Diner</t>
  </si>
  <si>
    <t>1130 Perry Hwy</t>
  </si>
  <si>
    <t>F5xKTQB4lFfwtUNDeaqEgQ</t>
  </si>
  <si>
    <t>Food, Middle Eastern, Juice Bars &amp; Smoothies, Nightlife, Bars, Restaurants, Hookah Bars, Coffee &amp; Tea</t>
  </si>
  <si>
    <t>Hookah Bookah</t>
  </si>
  <si>
    <t>2506 E Carson St</t>
  </si>
  <si>
    <t>F4k0RVMbEPfo5a372q-m8g</t>
  </si>
  <si>
    <t>Restaurants, Soup, Pizza, Wraps, Specialty Food, Pasta Shops, Italian, Sandwiches, Food, American (New)</t>
  </si>
  <si>
    <t>Pizza Care</t>
  </si>
  <si>
    <t>1525 5th Ave</t>
  </si>
  <si>
    <t>K6AKMjAdCSe8xllsbyeL9Q</t>
  </si>
  <si>
    <t>Chinese, Tea Rooms, Fast Food, Bubble Tea, Food, Restaurants</t>
  </si>
  <si>
    <t>Asia Tea House</t>
  </si>
  <si>
    <t>4230 Forbes Ave</t>
  </si>
  <si>
    <t>hcFSc0OHgZJybnjQBrL_8Q</t>
  </si>
  <si>
    <t>Vegetarian, Noodles, Chinese, Restaurants</t>
  </si>
  <si>
    <t>Everyday Noodles</t>
  </si>
  <si>
    <t>5875 Forbes Ave</t>
  </si>
  <si>
    <t>FxLfqxdYPA6Z85PFKaqLrg</t>
  </si>
  <si>
    <t>Italian, Salad, Restaurants, Gluten-Free</t>
  </si>
  <si>
    <t>Pazzo</t>
  </si>
  <si>
    <t>1614 Washington Rd</t>
  </si>
  <si>
    <t>xePC2Iu32dgHzP892OHIUw</t>
  </si>
  <si>
    <t>Pizza Bellagio</t>
  </si>
  <si>
    <t>315 N Craig St</t>
  </si>
  <si>
    <t>R0DxkEWJfJYBxkeEds9v6w</t>
  </si>
  <si>
    <t>Nightlife, American (Traditional), Burgers, Bars, Restaurants</t>
  </si>
  <si>
    <t>Clark Bar &amp; Grill</t>
  </si>
  <si>
    <t>503 Martindale St</t>
  </si>
  <si>
    <t>Ul6JwluSTm12PVDIqnNaTg</t>
  </si>
  <si>
    <t>Restaurants, Nightlife, Bars, Latin American, Caribbean</t>
  </si>
  <si>
    <t>Kaya</t>
  </si>
  <si>
    <t>2000 Smallman St</t>
  </si>
  <si>
    <t>iR7KBgAHgt1O2acHhfIviw</t>
  </si>
  <si>
    <t>Restaurants, Tex-Mex, Mexican, Fast Food</t>
  </si>
  <si>
    <t>Taco Bell</t>
  </si>
  <si>
    <t>825 Freeport Rd</t>
  </si>
  <si>
    <t>kWwm_fHthKL-xIykOrR93A</t>
  </si>
  <si>
    <t>Food, Cafes, Coffee &amp; Tea, Donuts, Restaurants</t>
  </si>
  <si>
    <t>Dunkin Donuts</t>
  </si>
  <si>
    <t>2139-2199 Brownsville Rd</t>
  </si>
  <si>
    <t>kWcAfYg-60hpIUEUSzWjHQ</t>
  </si>
  <si>
    <t>Breakfast &amp; Brunch, Restaurants</t>
  </si>
  <si>
    <t>Breakfast At Shelly's</t>
  </si>
  <si>
    <t>740 E Warrington Ave</t>
  </si>
  <si>
    <t>zoGfGoGiw0plUKeD4I2-oA</t>
  </si>
  <si>
    <t>Venues &amp; Event Spaces, Cafes, Restaurants, Event Planning &amp; Services</t>
  </si>
  <si>
    <t>Salem's Cafe and Event Center</t>
  </si>
  <si>
    <t>2911 Penn Ave</t>
  </si>
  <si>
    <t>rjKMTKPsjYw4RtiMpHquJA</t>
  </si>
  <si>
    <t>Fajita Grill</t>
  </si>
  <si>
    <t>5865 Ellsworth Ave</t>
  </si>
  <si>
    <t>ymbe8nqpYVCIpfgVl5MjYQ</t>
  </si>
  <si>
    <t>Syrian, Middle Eastern, Restaurants</t>
  </si>
  <si>
    <t>Khalil's II</t>
  </si>
  <si>
    <t>4757 Baum Blvd</t>
  </si>
  <si>
    <t>CZKkoMlqu0N0zCFK-3T_Fg</t>
  </si>
  <si>
    <t>Spoon</t>
  </si>
  <si>
    <t>134 S Highland Ave</t>
  </si>
  <si>
    <t>zMPfZdODe82SL_zxnv7asg</t>
  </si>
  <si>
    <t>Fast Food, Restaurants, Mexican</t>
  </si>
  <si>
    <t>310 Mcholme Dr</t>
  </si>
  <si>
    <t>WSAN2er3DhaZ8ybNStxCbw</t>
  </si>
  <si>
    <t>Restaurants, Delis, Local Flavor</t>
  </si>
  <si>
    <t>The Isaly Company</t>
  </si>
  <si>
    <t>448 Perry Hwy</t>
  </si>
  <si>
    <t>E4FNLrySCP1HwoZKHoAEIw</t>
  </si>
  <si>
    <t>Fast Food, Restaurants, Sandwiches</t>
  </si>
  <si>
    <t>1926 Murray Ave</t>
  </si>
  <si>
    <t>_82041xhXs6-_WWT82BA8Q</t>
  </si>
  <si>
    <t>Nobby's Pizzeria</t>
  </si>
  <si>
    <t>1106 Castle Shannon Blvd</t>
  </si>
  <si>
    <t>sZnBCxEZ7kDVf2MwKSNUjw</t>
  </si>
  <si>
    <t>Latin American, Venezuelan, Mexican, Restaurants</t>
  </si>
  <si>
    <t>Pabellon</t>
  </si>
  <si>
    <t>2957 Banksville Rd</t>
  </si>
  <si>
    <t>zWFuGjtmzekVBTL0muNsXw</t>
  </si>
  <si>
    <t>Burgers, Restaurants, Vegetarian, Sandwiches</t>
  </si>
  <si>
    <t>Applewood Smoke Burger</t>
  </si>
  <si>
    <t>5721 Bryant St</t>
  </si>
  <si>
    <t>7GvOhqdl1EeSnvWQ0NH9mQ</t>
  </si>
  <si>
    <t>Halal, Middle Eastern, Juice Bars &amp; Smoothies, Restaurants, Bars, Tea Rooms, Hookah Bars, Nightlife, Food</t>
  </si>
  <si>
    <t>Dijlah Hookah Lounge</t>
  </si>
  <si>
    <t>4130 Butler St</t>
  </si>
  <si>
    <t>yOM-OLQExaKHdrHRIfcBKQ</t>
  </si>
  <si>
    <t>Restaurants, Middle Eastern</t>
  </si>
  <si>
    <t>Sababa Middle Eastern Grill</t>
  </si>
  <si>
    <t>2121 Murray Ave</t>
  </si>
  <si>
    <t>MPLhOV-JbmntkbcXMyCODg</t>
  </si>
  <si>
    <t>Barbeque, Restaurants</t>
  </si>
  <si>
    <t>Twelve Whiskey Barbecue</t>
  </si>
  <si>
    <t>1222 East Carson St</t>
  </si>
  <si>
    <t>cxCxWI097kFvORVhCLd6kw</t>
  </si>
  <si>
    <t>502 Liberty Ave</t>
  </si>
  <si>
    <t>eQAp73ks6V6VmsAbZX4RJA</t>
  </si>
  <si>
    <t>Barbeque, American (Traditional), Restaurants</t>
  </si>
  <si>
    <t>Mission BBQ</t>
  </si>
  <si>
    <t>6541 Steubenville Pike</t>
  </si>
  <si>
    <t>Nj3DwfsDAwogVyFrGKxgnA</t>
  </si>
  <si>
    <t>Coffee &amp; Tea, Restaurants, Caterers, Event Planning &amp; Services, Food, Cafes</t>
  </si>
  <si>
    <t>CaffÃƒÂ¨ D'Amore Catering</t>
  </si>
  <si>
    <t>2401 Penn Ave</t>
  </si>
  <si>
    <t>a2qlFwIy9vUvfUb4EnQNmA</t>
  </si>
  <si>
    <t>Vegan, Food, Restaurants</t>
  </si>
  <si>
    <t>Randita's Organic Vegan Cafe</t>
  </si>
  <si>
    <t>207 Commercial Ave</t>
  </si>
  <si>
    <t>gDQlaDRAjsCx2p_p6oJLjw</t>
  </si>
  <si>
    <t>China Star</t>
  </si>
  <si>
    <t>4219 Murray Ave</t>
  </si>
  <si>
    <t>NV9ftiLhePO0bNE1z8y6qw</t>
  </si>
  <si>
    <t>Restaurants, Desserts, Food, Japanese, Ice Cream &amp; Frozen Yogurt, Ramen</t>
  </si>
  <si>
    <t>Love Yogurt</t>
  </si>
  <si>
    <t>229 Atwood St</t>
  </si>
  <si>
    <t>WMTo7sdKEQKsfrbRNUHChw</t>
  </si>
  <si>
    <t>Restaurants, Karaoke, Bars, Nightlife, Dive Bars</t>
  </si>
  <si>
    <t>Jekyl &amp; Hyde</t>
  </si>
  <si>
    <t>140 S 18th St</t>
  </si>
  <si>
    <t>GjX2WgchvvS-JAWBmzkLyQ</t>
  </si>
  <si>
    <t>Vietnamese, Restaurants</t>
  </si>
  <si>
    <t>Pho Van</t>
  </si>
  <si>
    <t>2120 Penn Ave</t>
  </si>
  <si>
    <t>gecqbUz6uQ8PckqF-J8tFQ</t>
  </si>
  <si>
    <t>Salad, Sandwiches, Soup, Restaurants</t>
  </si>
  <si>
    <t>Panera Bread</t>
  </si>
  <si>
    <t>8800 Covenant Ave</t>
  </si>
  <si>
    <t>4LiieRb-_r9pUCM0mKS9XA</t>
  </si>
  <si>
    <t>Breakfast &amp; Brunch, Cafes, Restaurants, Coffee &amp; Tea, Food</t>
  </si>
  <si>
    <t>Friendship Perk And Brew</t>
  </si>
  <si>
    <t>300 S Pacific Ave</t>
  </si>
  <si>
    <t>0QThBvFYadl5_t4P_rKd8Q</t>
  </si>
  <si>
    <t>Wine Bars, Burgers, Bars, Breakfast &amp; Brunch, Nightlife, Restaurants, American (Traditional)</t>
  </si>
  <si>
    <t>Harris Grill</t>
  </si>
  <si>
    <t>245 Fourth Ave</t>
  </si>
  <si>
    <t>EZ9Uf-lSRtj1fvdMQlrwAw</t>
  </si>
  <si>
    <t>Thai Me Up</t>
  </si>
  <si>
    <t>118 S 23rd St</t>
  </si>
  <si>
    <t>iY35AnV-Rf4nY81qkiMLag</t>
  </si>
  <si>
    <t>Desserts, Thai, Restaurants, Food, Noodles</t>
  </si>
  <si>
    <t>Little Bangkok In the Strip</t>
  </si>
  <si>
    <t>1906 Penn Ave</t>
  </si>
  <si>
    <t>FQXu06x5D5huxPbK04DItw</t>
  </si>
  <si>
    <t>Caterers, Fast Food, Restaurants, Mexican, Event Planning &amp; Services</t>
  </si>
  <si>
    <t>QDOBA Mexican Eats</t>
  </si>
  <si>
    <t>808 Liberty Ave</t>
  </si>
  <si>
    <t>497iuIdzSZqEVZ_iTnp-Jg</t>
  </si>
  <si>
    <t>Moonlite Cafe</t>
  </si>
  <si>
    <t>530 Brookline Blvd</t>
  </si>
  <si>
    <t>aQKix0iMREiJsFGr7mH1mA</t>
  </si>
  <si>
    <t>Fast Food, Burgers, Restaurants</t>
  </si>
  <si>
    <t>6296 Steubenville Pike</t>
  </si>
  <si>
    <t>1.0</t>
  </si>
  <si>
    <t>zXaW8C2qtFHGVTETEcUX9g</t>
  </si>
  <si>
    <t>Comfort Food, Event Planning &amp; Services, American (Traditional), Caterers, Breakfast &amp; Brunch, Southern, Restaurants, Soul Food</t>
  </si>
  <si>
    <t>Cracker Barrel Old Country Store</t>
  </si>
  <si>
    <t>200 Davis Blvd</t>
  </si>
  <si>
    <t>hs5xdulRJqHZyITnEHpJhQ</t>
  </si>
  <si>
    <t>Pizza, Chicken Wings, Italian, Restaurants, Salad</t>
  </si>
  <si>
    <t>Mario's Pizza</t>
  </si>
  <si>
    <t>1000 Greentree Rd</t>
  </si>
  <si>
    <t>RMn2euwrbfu6fpomjf31qw</t>
  </si>
  <si>
    <t>3147 Banksville Rd</t>
  </si>
  <si>
    <t>by_MaktiYQc5oDPd1E9uug</t>
  </si>
  <si>
    <t>Restaurants, Caterers, Comfort Food, Sandwiches, Event Planning &amp; Services, Pizza, Chicken Wings, American (New), American (Traditional)</t>
  </si>
  <si>
    <t>978 Greentree Rd</t>
  </si>
  <si>
    <t>f2FfutZhb4F-m1Ob0EdYaw</t>
  </si>
  <si>
    <t>Chinese, Asian Fusion, Caterers, Restaurants, Fast Food, Event Planning &amp; Services, Food, Food Delivery Services, Vegetarian</t>
  </si>
  <si>
    <t>China Palace</t>
  </si>
  <si>
    <t>5440 Walnut St</t>
  </si>
  <si>
    <t>cbddL2q8uRA38RwycB0FJg</t>
  </si>
  <si>
    <t>Alexander's Italian Bistro</t>
  </si>
  <si>
    <t>5104 Liberty Ave</t>
  </si>
  <si>
    <t>Q_M5lLkREB3rb6EAYJoD_w</t>
  </si>
  <si>
    <t>Food, American (Traditional), Local Flavor, Restaurants</t>
  </si>
  <si>
    <t>Pittsburgh Restaurant Week</t>
  </si>
  <si>
    <t>700 Arch St</t>
  </si>
  <si>
    <t>35JjuQ6nsSNshtt5hyLUCQ</t>
  </si>
  <si>
    <t>Japanese, Sushi Bars, Restaurants, Chinese</t>
  </si>
  <si>
    <t>Yamato Hibachi &amp; Sushi Bar</t>
  </si>
  <si>
    <t>3450 William Penn Hwy</t>
  </si>
  <si>
    <t>CJu3t6lqoJATXIZaH9sJug</t>
  </si>
  <si>
    <t>Coffee &amp; Tea, Restaurants, Desserts, Food, Cafes</t>
  </si>
  <si>
    <t>Arriviste Coffee Bar</t>
  </si>
  <si>
    <t>5730 Ellsworth Ave</t>
  </si>
  <si>
    <t>P7Vk5j_XzWl-9kS5qZd9aQ</t>
  </si>
  <si>
    <t>Fat Angelo's Pizzeria</t>
  </si>
  <si>
    <t>511 E Carson St</t>
  </si>
  <si>
    <t>osjWmpvboG2FxcFbZyglEA</t>
  </si>
  <si>
    <t>Latin American, Food, Restaurants, Tapas/Small Plates, Vegetarian</t>
  </si>
  <si>
    <t>Alma Pan-Latin Kitchen</t>
  </si>
  <si>
    <t>7606 Forbes Ave</t>
  </si>
  <si>
    <t>QI0PGXbGkIdInOOBeq6ieQ</t>
  </si>
  <si>
    <t>Restaurants, Japanese, Chinese, Sushi Bars, Buffets</t>
  </si>
  <si>
    <t>TJ Buffet Sushi and Grill</t>
  </si>
  <si>
    <t>4801 McKnight Rd</t>
  </si>
  <si>
    <t>aYEuMDcx4Ct45TOK4YrOuA</t>
  </si>
  <si>
    <t>Middle Eastern, Hookah Bars, Restaurants, Nightlife, Food, Coffee &amp; Tea, Bars</t>
  </si>
  <si>
    <t>Sphinx Cafe</t>
  </si>
  <si>
    <t>401 Atwood St</t>
  </si>
  <si>
    <t>4JkIFC5MC7LPzu4v3Pay6w</t>
  </si>
  <si>
    <t>Chicken Wings, Restaurants, Bars, Burgers, American (Traditional), Nightlife, Sports Bars</t>
  </si>
  <si>
    <t>Buffalo Wild Wings</t>
  </si>
  <si>
    <t>480 Home Drive</t>
  </si>
  <si>
    <t>xUsLyzWQId6nXwNDVq08qQ</t>
  </si>
  <si>
    <t>Lotus Garden</t>
  </si>
  <si>
    <t>3911 Saw Mill Run Blvd</t>
  </si>
  <si>
    <t>qihqxBCgXOPf2c-QxaFibA</t>
  </si>
  <si>
    <t>American (Traditional), Nightlife, Bars, Pubs, Sports Bars, Restaurants</t>
  </si>
  <si>
    <t>Tilted Kilt Pub &amp; Eatery</t>
  </si>
  <si>
    <t>120 Andrew Dr.</t>
  </si>
  <si>
    <t>cAX-srNrvlifjfov_jpQ1w</t>
  </si>
  <si>
    <t>Venues &amp; Event Spaces, Event Planning &amp; Services, Brazilian, Restaurants, Steakhouses</t>
  </si>
  <si>
    <t>Texas de Brazil</t>
  </si>
  <si>
    <t>240 W Station Square Dr, Ste D1</t>
  </si>
  <si>
    <t>nfJHNu_AQXptaTQIHjpAoQ</t>
  </si>
  <si>
    <t>Barbeque, Steakhouses, Restaurants, American (Traditional)</t>
  </si>
  <si>
    <t>LongHorn Steakhouse</t>
  </si>
  <si>
    <t>200 Robinson Center Dr</t>
  </si>
  <si>
    <t>cpxobfqM8IuF78WUfrj9_Q</t>
  </si>
  <si>
    <t>Halal, Restaurants, Breakfast &amp; Brunch, Diners</t>
  </si>
  <si>
    <t>Grandma B's</t>
  </si>
  <si>
    <t>2537 Wylie Ave</t>
  </si>
  <si>
    <t>o6UJLrSQGZzUSsfCxVQryA</t>
  </si>
  <si>
    <t>Desserts, Italian, Pizza, Food, Restaurants</t>
  </si>
  <si>
    <t>Mia Madre Trattoria</t>
  </si>
  <si>
    <t>649 California Ave</t>
  </si>
  <si>
    <t>Fozo0B-y42EhRMomR0K5vQ</t>
  </si>
  <si>
    <t>Ice Cream &amp; Frozen Yogurt, Specialty Food, American (New), Restaurants, Breakfast &amp; Brunch, Food, Waffles, Coffee &amp; Tea, Desserts</t>
  </si>
  <si>
    <t>Waffallonia</t>
  </si>
  <si>
    <t>1709 Murray Ave</t>
  </si>
  <si>
    <t>HGPZSKWtDYGmPaVzsgKceA</t>
  </si>
  <si>
    <t>Food, Local Flavor, Event Planning &amp; Services, Coffee &amp; Tea, Caterers, Vegetarian, Restaurants</t>
  </si>
  <si>
    <t>Quiet Storm Vegetarian &amp; Vegan Cafe</t>
  </si>
  <si>
    <t>5430 Penn Ave</t>
  </si>
  <si>
    <t>TqL0ytKAucWdW2mR7EbayA</t>
  </si>
  <si>
    <t>Indian, Restaurants, Pakistani</t>
  </si>
  <si>
    <t>Tamarind</t>
  </si>
  <si>
    <t>257 N Craig St</t>
  </si>
  <si>
    <t>WE7UsbkilPeI8nw9ODnD-g</t>
  </si>
  <si>
    <t>Restaurants, American (New), Sandwiches, Nightlife, Sports Bars, Bars</t>
  </si>
  <si>
    <t>Primanti Brothers at PNC Park</t>
  </si>
  <si>
    <t>Qi1qgOK08Coi6gtQiiNlWA</t>
  </si>
  <si>
    <t>American (Traditional), Caterers, Event Planning &amp; Services, Comfort Food, Restaurants</t>
  </si>
  <si>
    <t>4826 McKnight Rd</t>
  </si>
  <si>
    <t>I5kKpCDxdrV1Lxss2T681g</t>
  </si>
  <si>
    <t>Restaurants, Salad, Pizza, American (Traditional)</t>
  </si>
  <si>
    <t>Bella Monte Pizza</t>
  </si>
  <si>
    <t>410 S Main St</t>
  </si>
  <si>
    <t>gvmhnxxuS6BrPoIuBYd6dw</t>
  </si>
  <si>
    <t>Nancettas Ristorante</t>
  </si>
  <si>
    <t>1200 Old Freeport Rd</t>
  </si>
  <si>
    <t>5OV1bavavdsYyfeBRNiOeA</t>
  </si>
  <si>
    <t>Italian, Restaurants, Sandwiches, Pizza</t>
  </si>
  <si>
    <t>Osteria 2350</t>
  </si>
  <si>
    <t>2350 Railroad St</t>
  </si>
  <si>
    <t>JZEw18_OhSzFj0IfXF6v6Q</t>
  </si>
  <si>
    <t>Alex's Corner Pizza Shop</t>
  </si>
  <si>
    <t>4902 Cypress St</t>
  </si>
  <si>
    <t>8vzMRsSIjkdjwq3u190ohw</t>
  </si>
  <si>
    <t>Pakistani, Indian, Restaurants</t>
  </si>
  <si>
    <t>701 Smithfield St</t>
  </si>
  <si>
    <t>dMnAXZ3XPMNgAQ9BwXCFBA</t>
  </si>
  <si>
    <t>Nightlife, Restaurants, American (New), Bars, Cocktail Bars, Comfort Food</t>
  </si>
  <si>
    <t>Scratch Food &amp; Beverage</t>
  </si>
  <si>
    <t>1720 Lowrie St</t>
  </si>
  <si>
    <t>0PJQ-WR-S286xH6m2RWeQw</t>
  </si>
  <si>
    <t>Restaurants, Coffee &amp; Tea, Food</t>
  </si>
  <si>
    <t>1400 East Carson Street</t>
  </si>
  <si>
    <t>jUrHQG6vBpbozdbLcUwTRg</t>
  </si>
  <si>
    <t>The Salad Cafe</t>
  </si>
  <si>
    <t>902 5th Ave</t>
  </si>
  <si>
    <t>66D9bO-p8FG01OfmfX14LA</t>
  </si>
  <si>
    <t>Diners, American (New), American (Traditional), Breakfast &amp; Brunch, Buffets, Restaurants</t>
  </si>
  <si>
    <t>Eat'n Park</t>
  </si>
  <si>
    <t>100 Park Manor Dr</t>
  </si>
  <si>
    <t>WLixYfXWO1Q0b_L4PsQ-5w</t>
  </si>
  <si>
    <t>Restaurants, Seafood, Italian</t>
  </si>
  <si>
    <t>Lombardozzi's Restaurant</t>
  </si>
  <si>
    <t>4786 Liberty Ave</t>
  </si>
  <si>
    <t>_6C-yZCmIyOmPESJbwyaSQ</t>
  </si>
  <si>
    <t>Food, Restaurants, Bakeries, Gluten-Free, Vegan</t>
  </si>
  <si>
    <t>Gluten Free Goat Bakery</t>
  </si>
  <si>
    <t>4905 Penn Ave</t>
  </si>
  <si>
    <t>gpwq15g8M3xMSpy2RL2HRg</t>
  </si>
  <si>
    <t>Steakhouses, Restaurants, Seafood, American (New), Salad, Food</t>
  </si>
  <si>
    <t>Eddie Merlot's - Pittsburgh</t>
  </si>
  <si>
    <t>444 Liberty Ave, Ste 100</t>
  </si>
  <si>
    <t>eE13PjPNjRdIcOwIQzqjnw</t>
  </si>
  <si>
    <t>Maietta Restaurant</t>
  </si>
  <si>
    <t>203 Brownsville Rd</t>
  </si>
  <si>
    <t>tPAchZUpNWeWCpghn8qjzA</t>
  </si>
  <si>
    <t>Restaurants, Tapas Bars, Bars, Nightlife</t>
  </si>
  <si>
    <t>Bossa Nova</t>
  </si>
  <si>
    <t>123 7th St</t>
  </si>
  <si>
    <t>s-KLvUupHmeIKI8y9Nlwpw</t>
  </si>
  <si>
    <t>Turkish, Middle Eastern, Restaurants</t>
  </si>
  <si>
    <t>Istanbul</t>
  </si>
  <si>
    <t>fZGTgKUNKKuOKC2tg4pQFw</t>
  </si>
  <si>
    <t>Indian, Halal, Restaurants, Bangladeshi</t>
  </si>
  <si>
    <t>Bangal Kabab House and Restaurant</t>
  </si>
  <si>
    <t>320 Atwood St</t>
  </si>
  <si>
    <t>PSXuK4EBNINy_6X8hcTvlg</t>
  </si>
  <si>
    <t>Bars, American (New), Nightlife, Seafood, Restaurants</t>
  </si>
  <si>
    <t>Gandy Dancer Saloon</t>
  </si>
  <si>
    <t>1 Station Sq</t>
  </si>
  <si>
    <t>PGCmPHJdeAREQKYbhBMA5w</t>
  </si>
  <si>
    <t>Restaurants, Sandwiches, Food, American (New), Delis, Breakfast &amp; Brunch, Juice Bars &amp; Smoothies, Cafes</t>
  </si>
  <si>
    <t>Red Oak Cafe</t>
  </si>
  <si>
    <t>3610 Forbes Ave</t>
  </si>
  <si>
    <t>WZDQqw960DaMWDyPbtRFtA</t>
  </si>
  <si>
    <t>Restaurants, Thai</t>
  </si>
  <si>
    <t>Dancing Crab Thai Noodle House</t>
  </si>
  <si>
    <t>2126 E Carson St</t>
  </si>
  <si>
    <t>kpC2FfWvH9UsIR6PWPkffA</t>
  </si>
  <si>
    <t>Curry Away</t>
  </si>
  <si>
    <t>247 Edgewood Ave</t>
  </si>
  <si>
    <t>IZ611uJBaWPAf-q0R37Nmw</t>
  </si>
  <si>
    <t>Restaurants, Breakfast &amp; Brunch, Food, Coffee &amp; Tea</t>
  </si>
  <si>
    <t>Perk Me Up Coffeehouse</t>
  </si>
  <si>
    <t>4407 Butler St</t>
  </si>
  <si>
    <t>oRBHoK2gnLTzcc71oQeQsg</t>
  </si>
  <si>
    <t>950 Ridge Ave</t>
  </si>
  <si>
    <t>wUrnir4yQj4Lnta-jdqqxQ</t>
  </si>
  <si>
    <t>Specialty Food, Restaurants, Ethnic Food, Middle Eastern, Food</t>
  </si>
  <si>
    <t>Taza 21</t>
  </si>
  <si>
    <t>1827 Murray Ave</t>
  </si>
  <si>
    <t>p5HLsmZpzqsZpOng04I8eQ</t>
  </si>
  <si>
    <t>Disanto Pizza</t>
  </si>
  <si>
    <t>125 W Station Square Dr</t>
  </si>
  <si>
    <t>cF94J7DhVdKWGMkDYmgyxQ</t>
  </si>
  <si>
    <t>Food, Cafes, Restaurants, Bakeries</t>
  </si>
  <si>
    <t>Arcade Bakery &amp; Cafe</t>
  </si>
  <si>
    <t>400 Fifth Ave</t>
  </si>
  <si>
    <t>tHLJ1pDaaHptb-EbFM2q_A</t>
  </si>
  <si>
    <t>American (Traditional), Burgers, Chicken Wings, Restaurants</t>
  </si>
  <si>
    <t>Quaker Steak and Lube</t>
  </si>
  <si>
    <t>3602 Forbes Ave</t>
  </si>
  <si>
    <t>CbwyXSyieSM3kO7brRlyHg</t>
  </si>
  <si>
    <t>Restaurants, Seafood, Food Trucks, Food</t>
  </si>
  <si>
    <t>Cousins Maine Lobster - Pittsburgh</t>
  </si>
  <si>
    <t>ytU-tGhd5ZW9ouWW6JHpMg</t>
  </si>
  <si>
    <t>Restaurants, Mediterranean, Middle Eastern, Soup</t>
  </si>
  <si>
    <t>Jolina's Mediterranean Cuisine</t>
  </si>
  <si>
    <t>7LkgfuhLVeQZ4qHHq86JKQ</t>
  </si>
  <si>
    <t>New Mexican Cuisine, Restaurants, Breakfast &amp; Brunch</t>
  </si>
  <si>
    <t>Mesa</t>
  </si>
  <si>
    <t>221 Schenley Dr</t>
  </si>
  <si>
    <t>bqW0f0RigwpYyz1lbxhHlw</t>
  </si>
  <si>
    <t>German, Event Planning &amp; Services, Restaurants, Breweries, Venues &amp; Event Spaces, Food</t>
  </si>
  <si>
    <t>Penn Brewery</t>
  </si>
  <si>
    <t>800 Vinial St</t>
  </si>
  <si>
    <t>0IhSOm9Vm1JkvRO6XyElGg</t>
  </si>
  <si>
    <t>Restaurants, Delis</t>
  </si>
  <si>
    <t>Cafe At the Lofts</t>
  </si>
  <si>
    <t>1001 Progress St</t>
  </si>
  <si>
    <t>AR9Lf9MIsBqc52qlyKIpcg</t>
  </si>
  <si>
    <t>Villa Fresh Italian Kitchen</t>
  </si>
  <si>
    <t>1000 Ross Park Mall Dr</t>
  </si>
  <si>
    <t>guQww9yGHP7rRTea6zTnDg</t>
  </si>
  <si>
    <t>Seafood, Steakhouses, Restaurants</t>
  </si>
  <si>
    <t>Andrew's Steak and Seafood</t>
  </si>
  <si>
    <t>777 Casino Dr</t>
  </si>
  <si>
    <t>l_pR3x7v2mvE3luVdmGuoQ</t>
  </si>
  <si>
    <t>Chinese, Sushi Bars, Restaurants, Cantonese, Dim Sum</t>
  </si>
  <si>
    <t>Orient Kitchen</t>
  </si>
  <si>
    <t>4808 Baum Blvd</t>
  </si>
  <si>
    <t>CqU7SXYRo9EbMwlxrSvErA</t>
  </si>
  <si>
    <t>Nightlife, Restaurants, Bars, American (New), American (Traditional)</t>
  </si>
  <si>
    <t>1947 Tavern</t>
  </si>
  <si>
    <t>5744 1/2 Ellsworth Ave</t>
  </si>
  <si>
    <t>3rf5VUEu1jlU2-EdiRmIBw</t>
  </si>
  <si>
    <t>Restaurants, Cocktail Bars, American (Traditional), Bars, Nightlife</t>
  </si>
  <si>
    <t>Garden Bar Lounge</t>
  </si>
  <si>
    <t>4912 Gardenville Rd</t>
  </si>
  <si>
    <t>pRfIJ6zurjEsWmJheDOP6A</t>
  </si>
  <si>
    <t>Restaurants, Chinese, Japanese</t>
  </si>
  <si>
    <t>Pan Asia</t>
  </si>
  <si>
    <t>5321 Clairton Blvd</t>
  </si>
  <si>
    <t>5lMgsMFb1hAmP6YTCzBAcw</t>
  </si>
  <si>
    <t>Italian, Restaurants, Hungarian</t>
  </si>
  <si>
    <t>Jozsa Corner</t>
  </si>
  <si>
    <t>4800 2nd Ave</t>
  </si>
  <si>
    <t>yYyAdIxKBvFbUa19Kymq_Q</t>
  </si>
  <si>
    <t>Nightlife, Restaurants, Italian</t>
  </si>
  <si>
    <t>Paparazzi Restaurant</t>
  </si>
  <si>
    <t>2100 E Carson St</t>
  </si>
  <si>
    <t>ui4fyPJ_HRm4HPkEmIHQOA</t>
  </si>
  <si>
    <t>Chef Chen Chinese Resturant</t>
  </si>
  <si>
    <t>7211 Saltsburg Rd</t>
  </si>
  <si>
    <t>LTPcaw-_IqOfTSDxe8811A</t>
  </si>
  <si>
    <t>Pizza, Restaurants, American (New)</t>
  </si>
  <si>
    <t>Duke's Pub and Pizza</t>
  </si>
  <si>
    <t>uO_OX2DXmzo2c72YpbXe1A</t>
  </si>
  <si>
    <t>Pusadee's Garden</t>
  </si>
  <si>
    <t>5321 Butler St</t>
  </si>
  <si>
    <t>gYY9U9CXRS12O-oUFoO0cg</t>
  </si>
  <si>
    <t>Breakfast &amp; Brunch, Salad, Sandwiches, Food, Soup, Bagels, Restaurants</t>
  </si>
  <si>
    <t>3401 Boulevard Of The Allies</t>
  </si>
  <si>
    <t>X-aqEYlXcWQj0fp6aGDP8A</t>
  </si>
  <si>
    <t>Nightlife, Diners, Lounges, Bars, Restaurants, American (Traditional)</t>
  </si>
  <si>
    <t>Le Mont</t>
  </si>
  <si>
    <t>1114 Grandview Ave</t>
  </si>
  <si>
    <t>bCa0CY4F74N5lCEVOquKkg</t>
  </si>
  <si>
    <t>Food, Chinese, Restaurants, Asian Fusion, Dim Sum, Noodles, Bars, Sandwiches, Salad, Nightlife</t>
  </si>
  <si>
    <t>G &amp; G Noodle Bar</t>
  </si>
  <si>
    <t>535 Liberty Ave</t>
  </si>
  <si>
    <t>qfcdMhm1Ff28JHVpHca20g</t>
  </si>
  <si>
    <t>4635 Centre Ave</t>
  </si>
  <si>
    <t>RUnq8jOzySCpRa5X64FgJQ</t>
  </si>
  <si>
    <t>Restaurants, Pubs, Lounges, Arts &amp; Entertainment, Modern European, Bars, Nightlife, Breakfast &amp; Brunch, Music Venues, American (Traditional)</t>
  </si>
  <si>
    <t>Club Cafe</t>
  </si>
  <si>
    <t>56 S 12th St</t>
  </si>
  <si>
    <t>0Wy4gw8krao9nGq-sHWFSQ</t>
  </si>
  <si>
    <t>Brewstone</t>
  </si>
  <si>
    <t>3466 William Penn Hwy</t>
  </si>
  <si>
    <t>EWswCV97BBb0ezXRZhCoOQ</t>
  </si>
  <si>
    <t>Museums, Arts &amp; Entertainment, Restaurants, Sandwiches, Botanical Gardens, Vegetarian</t>
  </si>
  <si>
    <t>CafÃƒÂ© Phipps</t>
  </si>
  <si>
    <t>1 Schenley Park</t>
  </si>
  <si>
    <t>u4sTiCzVeIHZY8OlaL346Q</t>
  </si>
  <si>
    <t>Argentine, Latin American, Restaurants, Seafood</t>
  </si>
  <si>
    <t>Gaucho Parrilla Argentina</t>
  </si>
  <si>
    <t>1601 Penn Ave</t>
  </si>
  <si>
    <t>P4lfCI0WSaVoA2VFdsZRiQ</t>
  </si>
  <si>
    <t>Six Penn Kitchen</t>
  </si>
  <si>
    <t>146 6th St</t>
  </si>
  <si>
    <t>eVCaX_hbNVFjM-XXahovYA</t>
  </si>
  <si>
    <t>Burgers, Dive Bars, Nightlife, American (New), Food, Bars, Restaurants, Beer, Wine &amp; Spirits</t>
  </si>
  <si>
    <t>OTB Bicycle CafÃƒÂ©</t>
  </si>
  <si>
    <t>2518 E Carson St</t>
  </si>
  <si>
    <t>M8UHKKHpJHd7AUiMTHGrOw</t>
  </si>
  <si>
    <t>Walnut Grove</t>
  </si>
  <si>
    <t>1141 Freeport Rd</t>
  </si>
  <si>
    <t>a2ACZqoFUxxd-rXsAac2MQ</t>
  </si>
  <si>
    <t>Sandwiches, Restaurants, Salad, Pizza</t>
  </si>
  <si>
    <t>Uncle Tony's Pizza</t>
  </si>
  <si>
    <t>3285 W Liberty Ave</t>
  </si>
  <si>
    <t>PIiVJJ4mgiltU-u6Byn2_w</t>
  </si>
  <si>
    <t>603 Clairton Blvd</t>
  </si>
  <si>
    <t>Uz5BTOmRr9Za2btfFq9JWg</t>
  </si>
  <si>
    <t>Restaurants, Nightlife, American (New), Bars</t>
  </si>
  <si>
    <t>Houlihan's</t>
  </si>
  <si>
    <t>1741 Washington Rd</t>
  </si>
  <si>
    <t>OAsYaD7nLC2kDuqO4uaoIQ</t>
  </si>
  <si>
    <t>Pizza, Sandwiches, Restaurants, Salad</t>
  </si>
  <si>
    <t>Badamo's Pizza</t>
  </si>
  <si>
    <t>1106 Federal St</t>
  </si>
  <si>
    <t>J5JzAUd2wzyArZ-qHT0A4A</t>
  </si>
  <si>
    <t>Seafood, Restaurants, Mediterranean, Turkish, Greek, Lebanese, Middle Eastern</t>
  </si>
  <si>
    <t>Poros</t>
  </si>
  <si>
    <t>2 Ppg Pl</t>
  </si>
  <si>
    <t>fiRbomFAAtfTYOTTtnDUcA</t>
  </si>
  <si>
    <t>Bars, Beer Bar, Chicken Wings, Restaurants, Salad, Sandwiches, Burgers, Food, Pizza, Nightlife</t>
  </si>
  <si>
    <t>Caliente Pizza &amp; Drafthouse</t>
  </si>
  <si>
    <t>4624 Liberty Ave</t>
  </si>
  <si>
    <t>keJOgdHUWFm2d08qFk3QsA</t>
  </si>
  <si>
    <t>Mexican, Soup, Restaurants, Salad</t>
  </si>
  <si>
    <t>Z5LyFZUazPQ1x_i6HsS3vw</t>
  </si>
  <si>
    <t>Taco Diablo</t>
  </si>
  <si>
    <t>297 Beverly Rd</t>
  </si>
  <si>
    <t>FGL0dGh9450_SEtDNlU3Cg</t>
  </si>
  <si>
    <t>Pizza, Italian, Restaurants</t>
  </si>
  <si>
    <t>Gino Bros Pizzeria</t>
  </si>
  <si>
    <t>55 Alpha Dr W</t>
  </si>
  <si>
    <t>sMJAUZNU6u4iNvpmaLgx_g</t>
  </si>
  <si>
    <t>Italian, American (Traditional), Nightlife, Bars, Restaurants</t>
  </si>
  <si>
    <t>Talia Cucina &amp; Rosticceria</t>
  </si>
  <si>
    <t>425 6th Ave</t>
  </si>
  <si>
    <t>N-COeLWbWoWNlDkFt0EeGw</t>
  </si>
  <si>
    <t>Food, Restaurants, Food Court, Ice Cream &amp; Frozen Yogurt</t>
  </si>
  <si>
    <t>Yo Place</t>
  </si>
  <si>
    <t>w53w6IvO6EWZyh7VF12oJg</t>
  </si>
  <si>
    <t>Burgers, Restaurants, Breakfast &amp; Brunch</t>
  </si>
  <si>
    <t>Rail House Restaurant</t>
  </si>
  <si>
    <t>2525 Freeport Rd</t>
  </si>
  <si>
    <t>4o2DEgSgY2sDZ16g6U03-w</t>
  </si>
  <si>
    <t>Nightlife, Bars, Restaurants, American (Traditional)</t>
  </si>
  <si>
    <t>Excuses Bar &amp; Grill</t>
  </si>
  <si>
    <t>2526 E Carson St</t>
  </si>
  <si>
    <t>zIY5QBp77eEiGHK8lAfWgg</t>
  </si>
  <si>
    <t>Caterers, Event Planning &amp; Services, American (Traditional), Restaurants</t>
  </si>
  <si>
    <t>Mark's Grille &amp; Catering</t>
  </si>
  <si>
    <t>923 Penn Ave</t>
  </si>
  <si>
    <t>soPVIcC8dVfRhj2RObE8QQ</t>
  </si>
  <si>
    <t>Nightlife, Restaurants, Food, Specialty Food, Cocktail Bars, Bars, American (New), Food Stands</t>
  </si>
  <si>
    <t>The Pennsylvania Market</t>
  </si>
  <si>
    <t>108 19th St</t>
  </si>
  <si>
    <t>7mU3l5VjH1IxsXcxBxUblg</t>
  </si>
  <si>
    <t>Restaurants, Mexican, Bars, Nightlife</t>
  </si>
  <si>
    <t>Emilliano's Mexican Restaurant and Bar</t>
  </si>
  <si>
    <t>2557 E Carson St</t>
  </si>
  <si>
    <t>tJhj8Mk9qpAr1sVcOVurEQ</t>
  </si>
  <si>
    <t>Z-Best Barbeque Chicken &amp; Ribs</t>
  </si>
  <si>
    <t>639 Herron Ave</t>
  </si>
  <si>
    <t>NQN-ERs976mbnP6rkMwKtQ</t>
  </si>
  <si>
    <t>Restaurants, Coffee &amp; Tea, Vegetarian, Food, Cafes</t>
  </si>
  <si>
    <t>Kaibur Coffee</t>
  </si>
  <si>
    <t>3138 Dobson St</t>
  </si>
  <si>
    <t>2cF-sCqhCGzVMJULhNqjBQ</t>
  </si>
  <si>
    <t>Restaurants, Donuts, Food, Coffee &amp; Tea</t>
  </si>
  <si>
    <t>Dunkin' Donuts</t>
  </si>
  <si>
    <t>2065 Ardmore Blvd</t>
  </si>
  <si>
    <t>9HD224rVyahrfg9SNe5SVg</t>
  </si>
  <si>
    <t>Sandwiches, Restaurants, Italian, Pizza</t>
  </si>
  <si>
    <t>Aprimo Pizza</t>
  </si>
  <si>
    <t>516 Brownsville Rd</t>
  </si>
  <si>
    <t>JALpYzMTlwiIcp1s9R4QIw</t>
  </si>
  <si>
    <t>Restaurants, American (Traditional)</t>
  </si>
  <si>
    <t>Hanlon's Cafe</t>
  </si>
  <si>
    <t>961 Liberty Ave</t>
  </si>
  <si>
    <t>QQDguhxy2warZR69VI3M_g</t>
  </si>
  <si>
    <t>Cafes, Southern, Restaurants</t>
  </si>
  <si>
    <t>Cafe on the corner</t>
  </si>
  <si>
    <t>2700 Shadeland Ave</t>
  </si>
  <si>
    <t>7rO0ET3aQLT_NtFutyZC1w</t>
  </si>
  <si>
    <t>Turkish, Mediterranean, Restaurants</t>
  </si>
  <si>
    <t>Selami's Turkish Kebab House</t>
  </si>
  <si>
    <t>_AAzQeNJ4E2HIxM50qdwBA</t>
  </si>
  <si>
    <t>Grocery, Gluten-Free, Food, Delis, Restaurants, Polish</t>
  </si>
  <si>
    <t>Alfred's Deli &amp; Market</t>
  </si>
  <si>
    <t>3041 Brereton St</t>
  </si>
  <si>
    <t>pgK0mBQLth1C3DubvmWH3w</t>
  </si>
  <si>
    <t>Nightlife, Salad, American (Traditional), Restaurants, Sports Bars, Bars</t>
  </si>
  <si>
    <t>Silky's Sports Bar &amp; Grill</t>
  </si>
  <si>
    <t>1731 Murray Ave</t>
  </si>
  <si>
    <t>T9va11v5HvQDnEXO9k838A</t>
  </si>
  <si>
    <t>Sandwiches, Fast Food, Restaurants, Hot Dogs</t>
  </si>
  <si>
    <t>Yovi's</t>
  </si>
  <si>
    <t>477 Graeme St Market Sq</t>
  </si>
  <si>
    <t>wnasanv4cj7tN6U00VfzOQ</t>
  </si>
  <si>
    <t>American (Traditional), Nightlife, Restaurants, Bars</t>
  </si>
  <si>
    <t>Tramp's Restaurant</t>
  </si>
  <si>
    <t>412 Greentree Rd</t>
  </si>
  <si>
    <t>w6WOclNdCBYgUQXGyNAYGw</t>
  </si>
  <si>
    <t>Edgar's Authentic Mexican</t>
  </si>
  <si>
    <t>g9otJ_FZ3D0BxqTEJetuUw</t>
  </si>
  <si>
    <t>Olive Oil's Pizzeria</t>
  </si>
  <si>
    <t>930 Brookline Blvd</t>
  </si>
  <si>
    <t>78jHxNL8wHMSq_j8KF9exA</t>
  </si>
  <si>
    <t>Restaurants, Sandwiches, Fast Food</t>
  </si>
  <si>
    <t>570 Chauvet Dr</t>
  </si>
  <si>
    <t>tSiR_cl3GBrTZUbEvkZ2XA</t>
  </si>
  <si>
    <t>Bars, Dive Bars, American (Traditional), Restaurants, Nightlife</t>
  </si>
  <si>
    <t>Danny's Bar &amp; Grill</t>
  </si>
  <si>
    <t>1511 Center Ave</t>
  </si>
  <si>
    <t>dMLGSQlmo6MhLD18grRENA</t>
  </si>
  <si>
    <t>Restaurants, Food, Bakeries, Donuts</t>
  </si>
  <si>
    <t>Better-Maid Donut</t>
  </si>
  <si>
    <t>1178 Steuben St</t>
  </si>
  <si>
    <t>oJsfjG1uh6jopK6Kc-3pdQ</t>
  </si>
  <si>
    <t>Sandwiches, Restaurants, Lounges, American (New), Nightlife, Bars</t>
  </si>
  <si>
    <t>Cavo Nightclub</t>
  </si>
  <si>
    <t>1916 Smallman St</t>
  </si>
  <si>
    <t>_-W_hRQRDEqVdO1WKGa-DQ</t>
  </si>
  <si>
    <t>Nightlife, Restaurants, Bars, Pubs, German, Breakfast &amp; Brunch</t>
  </si>
  <si>
    <t>Max's Allegheny Tavern</t>
  </si>
  <si>
    <t>537 Suismon St</t>
  </si>
  <si>
    <t>6WU_JVpPPnbAfBvMcRoPuw</t>
  </si>
  <si>
    <t>CSA, Food, Desserts, Bakeries, Restaurants, Cafes, Sandwiches</t>
  </si>
  <si>
    <t>Bartram House Bakery &amp; Cafe</t>
  </si>
  <si>
    <t>2612 E Carson St</t>
  </si>
  <si>
    <t>TWk7hL6yCx5mYcs0Ys-usQ</t>
  </si>
  <si>
    <t>Burgers, Restaurants, American (Traditional), Sandwiches</t>
  </si>
  <si>
    <t>Stinky's Bar &amp; Grill</t>
  </si>
  <si>
    <t>4901 Hatfield St</t>
  </si>
  <si>
    <t>FgTzITgrmvrZqoHvkTSDzA</t>
  </si>
  <si>
    <t>Nightlife, Food, Beer, Wine &amp; Spirits, Bars, Sports Bars, American (New), American (Traditional), Restaurants</t>
  </si>
  <si>
    <t>Jerome Bettis' Grille 36</t>
  </si>
  <si>
    <t>393 N Shore Dr</t>
  </si>
  <si>
    <t>26gv3c-XzkuC6oKW7YNpdg</t>
  </si>
  <si>
    <t>Atria's</t>
  </si>
  <si>
    <t>1374 Freeport Rd</t>
  </si>
  <si>
    <t>TcCWYYL6FxBTT6KrxabwRg</t>
  </si>
  <si>
    <t>Food Trucks, Food, Restaurants, Street Vendors, Mexican</t>
  </si>
  <si>
    <t>Edgar's Best Tacos</t>
  </si>
  <si>
    <t>2533 Penn Ave</t>
  </si>
  <si>
    <t>FV5o9VV0yTU2Kt2bmjlHbA</t>
  </si>
  <si>
    <t>Bona Terra Restaurant</t>
  </si>
  <si>
    <t>908 Main St</t>
  </si>
  <si>
    <t>TjJdpI5XX2zwHmXQbnEWeQ</t>
  </si>
  <si>
    <t>Restaurants, Cafes, Food, Food Stands, Food Trucks, Street Vendors</t>
  </si>
  <si>
    <t>Gyros N'at</t>
  </si>
  <si>
    <t>512 Braddock Ave</t>
  </si>
  <si>
    <t>Z5NhdlLCu--leud_OLcvIA</t>
  </si>
  <si>
    <t>The Pizza Company</t>
  </si>
  <si>
    <t>4101 Library Rd</t>
  </si>
  <si>
    <t>ax8kuBZVtC0_eCn_rN_-6A</t>
  </si>
  <si>
    <t>Burger King</t>
  </si>
  <si>
    <t>1820 E Carson St</t>
  </si>
  <si>
    <t>_29kWahGAxn1QzMmxOCRlA</t>
  </si>
  <si>
    <t>Delis, Cafes, Restaurants</t>
  </si>
  <si>
    <t>Keystone Cafe</t>
  </si>
  <si>
    <t>2000 Technology Dr</t>
  </si>
  <si>
    <t>oVuZtlCFg_zF090Nhtp0Ow</t>
  </si>
  <si>
    <t>Restaurants, Indian, Gluten-Free, Vegan, Vegetarian</t>
  </si>
  <si>
    <t>Choolaah Indian BBQ</t>
  </si>
  <si>
    <t>6114 Centre Ave</t>
  </si>
  <si>
    <t>illl9cvvlgloor7GrIvwug</t>
  </si>
  <si>
    <t>American (Traditional), American (New), Burgers, Restaurants</t>
  </si>
  <si>
    <t>Max &amp; Erma's</t>
  </si>
  <si>
    <t>130 Andrew Dr</t>
  </si>
  <si>
    <t>qWMGMCPQoyRq7NpQ78ntmg</t>
  </si>
  <si>
    <t>Cafes, Sandwiches, Restaurants, Breakfast &amp; Brunch, Barbeque</t>
  </si>
  <si>
    <t>CafÃƒÂ© Cravings</t>
  </si>
  <si>
    <t>402 Bigham St</t>
  </si>
  <si>
    <t>59h0SyMyfMoQ988sEsjfEQ</t>
  </si>
  <si>
    <t>Restaurants, Middle Eastern, Egyptian</t>
  </si>
  <si>
    <t>Isis Cafe</t>
  </si>
  <si>
    <t>815 Brookline Blvd</t>
  </si>
  <si>
    <t>RhXKTksPWch75Bo1lpoLqQ</t>
  </si>
  <si>
    <t>Fast Food, Tex-Mex, Mexican, Restaurants</t>
  </si>
  <si>
    <t>9797 Mcknight Rd.</t>
  </si>
  <si>
    <t>YhBigRwAFdRPIQxWDjZOrQ</t>
  </si>
  <si>
    <t>Pizza, Sandwiches, Restaurants</t>
  </si>
  <si>
    <t>SLICE on Broadway</t>
  </si>
  <si>
    <t>2128 Broadway Ave</t>
  </si>
  <si>
    <t>oq8qksFNfHVyQwcZsQIN8A</t>
  </si>
  <si>
    <t>Tacos, Restaurants, Latin American, Venezuelan, Mexican, Salad</t>
  </si>
  <si>
    <t>Chevere</t>
  </si>
  <si>
    <t>400 Cherry Way</t>
  </si>
  <si>
    <t>uNMQV-r1nO5dfGSGnVTFUA</t>
  </si>
  <si>
    <t>No 1 China House</t>
  </si>
  <si>
    <t>823 E Warrington Ave</t>
  </si>
  <si>
    <t>vZSgu1k5gWkTmoMwmmKc9Q</t>
  </si>
  <si>
    <t>Seasons Restaurant</t>
  </si>
  <si>
    <t>372 Butler St, Fl 1</t>
  </si>
  <si>
    <t>dHiq1JliKgh_3z-KnTpCaA</t>
  </si>
  <si>
    <t>Restaurants, Event Planning &amp; Services, Soul Food, Food, Southern, Caterers, Seafood</t>
  </si>
  <si>
    <t>Roxanne's Catering</t>
  </si>
  <si>
    <t>4124 Main St</t>
  </si>
  <si>
    <t>SYRHkzfM3E2Pa9fq3T0WTQ</t>
  </si>
  <si>
    <t>Arts &amp; Entertainment, American (Traditional), Nightlife, Bars, Restaurants, Pubs, Music Venues</t>
  </si>
  <si>
    <t>PD's Pub</t>
  </si>
  <si>
    <t>5832 Forward Ave</t>
  </si>
  <si>
    <t>OOThzIpIiCRok8zaN0NPwQ</t>
  </si>
  <si>
    <t>5438 Centre Ave</t>
  </si>
  <si>
    <t>arGo97Zk7YoHbFGKDFUFKg</t>
  </si>
  <si>
    <t>Osteria 100</t>
  </si>
  <si>
    <t>100 Wood St</t>
  </si>
  <si>
    <t>hcryG9RkmK9oCELYLHukiQ</t>
  </si>
  <si>
    <t>Supremo's Pizzeria</t>
  </si>
  <si>
    <t>120 Three Degree Rd, Ste C</t>
  </si>
  <si>
    <t>guGPP-3ZsXdLNjtZDnR7tw</t>
  </si>
  <si>
    <t>Bars, Nightlife, Pizza, American (Traditional), Restaurants</t>
  </si>
  <si>
    <t>Hog's Head Bar &amp; Grill</t>
  </si>
  <si>
    <t>3433 Spring Garden Rd</t>
  </si>
  <si>
    <t>JFkY8zMcD_HLGcFTlxiV2Q</t>
  </si>
  <si>
    <t>Nightlife, Burgers, Bars, Restaurants, Sports Bars, Food, Beer, Wine &amp; Spirits, American (New)</t>
  </si>
  <si>
    <t>Redbeard's Sports Bar &amp; Grill</t>
  </si>
  <si>
    <t>201 Shiloh St</t>
  </si>
  <si>
    <t>Gl1jrbGS941SJ-UOxKYg6A</t>
  </si>
  <si>
    <t>Babylon Cuisine</t>
  </si>
  <si>
    <t>4371 Murray Ave</t>
  </si>
  <si>
    <t>u8ndOBCi3qVK0QISbIzmuw</t>
  </si>
  <si>
    <t>American (New), Restaurants, Bars, Nightlife</t>
  </si>
  <si>
    <t>American Cafe</t>
  </si>
  <si>
    <t>4701 Campbells Run Rd</t>
  </si>
  <si>
    <t>TrCiLMGy_bxbeAQcuSSUeQ</t>
  </si>
  <si>
    <t>Pizza, Italian, Restaurants, Sandwiches</t>
  </si>
  <si>
    <t>Larry &amp; Carols Pizza</t>
  </si>
  <si>
    <t>410 Semple St</t>
  </si>
  <si>
    <t>V0DJ2gDXlKl11VJ75ZN0-A</t>
  </si>
  <si>
    <t>Restaurants, Nightlife, Bars</t>
  </si>
  <si>
    <t>Verdetto's Bar &amp; Restaurant</t>
  </si>
  <si>
    <t>814 Madison Ave</t>
  </si>
  <si>
    <t>94kQ2TM8Wn85jbmTeG2fbQ</t>
  </si>
  <si>
    <t>American (Traditional), Nightlife, Restaurants, Bars, Dive Bars, Vegetarian</t>
  </si>
  <si>
    <t>Yesterday's Bar &amp; Grill</t>
  </si>
  <si>
    <t>501 Greenfield Ave</t>
  </si>
  <si>
    <t>m_zeXzkj3btfvRJiPVw8Ug</t>
  </si>
  <si>
    <t>Bars, Dive Bars, Pubs, Nightlife, American (New), Restaurants</t>
  </si>
  <si>
    <t>Squirrel Hill Cafe</t>
  </si>
  <si>
    <t>5802 Forbes Ave</t>
  </si>
  <si>
    <t>YajT7NNbaexIbXpUuQ8a9A</t>
  </si>
  <si>
    <t>Amili's Pizzeria</t>
  </si>
  <si>
    <t>2816 Golden Mile Hwy</t>
  </si>
  <si>
    <t>gNMkHi3V_YZLZihhwYFPCg</t>
  </si>
  <si>
    <t>Soup, Salad, Sandwiches, Restaurants</t>
  </si>
  <si>
    <t>5301 Grove Rd</t>
  </si>
  <si>
    <t>G7QZWVm-ytyKHpvUq3ggFA</t>
  </si>
  <si>
    <t>Sal's New York Pizzeria</t>
  </si>
  <si>
    <t>1322 E Carson St</t>
  </si>
  <si>
    <t>4GUXkFjJL5SEZK-qtDZSKA</t>
  </si>
  <si>
    <t>Restaurants, Seafood, Italian, Pizza</t>
  </si>
  <si>
    <t>Piacquadio's Italian Restaurant &amp; Lounge</t>
  </si>
  <si>
    <t>300 Mt Lebanon Blvd</t>
  </si>
  <si>
    <t>Mge4KiFP09sWeKpbM6J65w</t>
  </si>
  <si>
    <t>Little Shanghai</t>
  </si>
  <si>
    <t>1611 Penn Ave</t>
  </si>
  <si>
    <t>jWlErd3TOkO4C0MgP8eDvw</t>
  </si>
  <si>
    <t>Steakhouses, Bars, Wine Bars, Nightlife, Italian, Restaurants</t>
  </si>
  <si>
    <t>Bella Vista</t>
  </si>
  <si>
    <t>1204 Grandview Ave</t>
  </si>
  <si>
    <t>SHiJlYdxQmJur3i-gLf9MQ</t>
  </si>
  <si>
    <t>Restaurants, American (New), Bars, Nightlife</t>
  </si>
  <si>
    <t>The Red Ring Bar &amp; Grille</t>
  </si>
  <si>
    <t>1015 Forbes Ave</t>
  </si>
  <si>
    <t>xlcasiT7khpxFTvl_vfaoQ</t>
  </si>
  <si>
    <t>Kings</t>
  </si>
  <si>
    <t>5 Alpha Dr E</t>
  </si>
  <si>
    <t>DHBDTikebcLpCzF2LF27uA</t>
  </si>
  <si>
    <t>Arts &amp; Entertainment, Restaurants, Performing Arts, Italian</t>
  </si>
  <si>
    <t>Papa J's Centro</t>
  </si>
  <si>
    <t>212 Blvd of the Allies</t>
  </si>
  <si>
    <t>ql0AaBp68ckekxvWOF8xLA</t>
  </si>
  <si>
    <t>Cafe Fifth Ave</t>
  </si>
  <si>
    <t>818 5th Ave</t>
  </si>
  <si>
    <t>J9f-9Prw2YVM-fiZqv2fmQ</t>
  </si>
  <si>
    <t>Pizza, Burgers, Hot Dogs, Restaurants</t>
  </si>
  <si>
    <t>Original Hot Dog Shop</t>
  </si>
  <si>
    <t>3901 Forbes Ave</t>
  </si>
  <si>
    <t>oS96aJIHFWcFAlGHKKXjaw</t>
  </si>
  <si>
    <t>French, Food, Restaurants, Patisserie/Cake Shop, Bakeries</t>
  </si>
  <si>
    <t>La Gourmandine Bakery &amp; Pastry Shop</t>
  </si>
  <si>
    <t>4605 Butler St</t>
  </si>
  <si>
    <t>I26PLVBABlTcUJ8pq08p_g</t>
  </si>
  <si>
    <t>Bars, Nightlife, Irish, Pubs, Restaurants</t>
  </si>
  <si>
    <t>Mullaneys Harp and Fiddle</t>
  </si>
  <si>
    <t>2329 Penn Ave</t>
  </si>
  <si>
    <t>rmOhzOwrMVpUj2rn70xrEQ</t>
  </si>
  <si>
    <t>Sandwiches, Chicken Wings, Restaurants</t>
  </si>
  <si>
    <t>Big Shot Bob's House of wings</t>
  </si>
  <si>
    <t>918 Main St</t>
  </si>
  <si>
    <t>UayCOOGeeEi9GLz9v4rFBA</t>
  </si>
  <si>
    <t>Foli's Place</t>
  </si>
  <si>
    <t>1050 Brinton Rd</t>
  </si>
  <si>
    <t>YjmbCvygeMj9dfJp6neQ_A</t>
  </si>
  <si>
    <t>336 4th Ave</t>
  </si>
  <si>
    <t>X4CRPHvv-33kjxVJISZpUg</t>
  </si>
  <si>
    <t>Restaurants, Sushi Bars, Chinese</t>
  </si>
  <si>
    <t>Little Asia</t>
  </si>
  <si>
    <t>311 S Craig St</t>
  </si>
  <si>
    <t>rVCK-fdFm1zPppMO9iMn6g</t>
  </si>
  <si>
    <t>Apollo Cafe</t>
  </si>
  <si>
    <t>429 Forbes Ave</t>
  </si>
  <si>
    <t>Tdc2v9DBRRYeG2P_h9OvRw</t>
  </si>
  <si>
    <t>Italian, Restaurants, Food, Pizza, Sandwiches</t>
  </si>
  <si>
    <t>Pizza Amier</t>
  </si>
  <si>
    <t>5804 Forward Ave</t>
  </si>
  <si>
    <t>xGXtoeQAggLP9646N4Iwnw</t>
  </si>
  <si>
    <t>Bars, Restaurants, Nightlife, Lounges, Karaoke, American (Traditional)</t>
  </si>
  <si>
    <t>Vasta Lounge</t>
  </si>
  <si>
    <t>2937 W Liberty Ave</t>
  </si>
  <si>
    <t>pxlTuangM_lHmQqx44RsaA</t>
  </si>
  <si>
    <t>Caribbean, Restaurants</t>
  </si>
  <si>
    <t>Rasta House Caribbean Resturant</t>
  </si>
  <si>
    <t>1204 Federal St</t>
  </si>
  <si>
    <t>6fQXFkkw2BUARDa0EzsGnA</t>
  </si>
  <si>
    <t>Restaurants, Diners, Breakfast &amp; Brunch, American (Traditional)</t>
  </si>
  <si>
    <t>7671 McKnight Rd</t>
  </si>
  <si>
    <t>qibYmQhLQ6E6HEwCcegl7w</t>
  </si>
  <si>
    <t>Italian, Wraps, Restaurants, Pizza</t>
  </si>
  <si>
    <t>Gino Bros. Pizzeria</t>
  </si>
  <si>
    <t>713 Main St</t>
  </si>
  <si>
    <t>sc__kdcFV4IcNTfBx1707w</t>
  </si>
  <si>
    <t>Sandwiches, Breakfast &amp; Brunch, Restaurants, Diners</t>
  </si>
  <si>
    <t>P&amp;G's Pamela's Diner</t>
  </si>
  <si>
    <t>60 21st St</t>
  </si>
  <si>
    <t>wjaOY12srS2OQYk04x8y1g</t>
  </si>
  <si>
    <t>Restaurants, Food, Butcher, Cafes</t>
  </si>
  <si>
    <t>Block 292</t>
  </si>
  <si>
    <t>292 Beverly Rd</t>
  </si>
  <si>
    <t>czeihVQNDXMlAq_H5_T4sA</t>
  </si>
  <si>
    <t>Hot Dogs, Vegetarian, Restaurants</t>
  </si>
  <si>
    <t>Franktuary</t>
  </si>
  <si>
    <t>325 Oliver Ave</t>
  </si>
  <si>
    <t>DzviZnBOgPD3YTnBCDEM9Q</t>
  </si>
  <si>
    <t>Nightlife, Restaurants, Sandwiches, Bars</t>
  </si>
  <si>
    <t>Armand's Bar</t>
  </si>
  <si>
    <t>4755 Liberty Ave</t>
  </si>
  <si>
    <t>kwMJ4KfhEcrk9jiMe-S6wQ</t>
  </si>
  <si>
    <t>Ice Cream &amp; Frozen Yogurt, Food, Restaurants, Pizza, Gelato, Italian</t>
  </si>
  <si>
    <t>Mercurio's</t>
  </si>
  <si>
    <t>5523 Walnut St</t>
  </si>
  <si>
    <t>VVbp-2Bs5_MGrjboTwpSRA</t>
  </si>
  <si>
    <t>Venice Pizzeria</t>
  </si>
  <si>
    <t>4144 Saw Mill Run Blvd</t>
  </si>
  <si>
    <t>RMekqD2-hGWHCjXYvp7CSg</t>
  </si>
  <si>
    <t>Event Planning &amp; Services, Champagne Bars, Tapas Bars, Restaurants, Nightlife, Bars, Lounges, Venues &amp; Event Spaces</t>
  </si>
  <si>
    <t>PerlÃƒÂ©</t>
  </si>
  <si>
    <t>25 Market Square</t>
  </si>
  <si>
    <t>Oj_74Fa-VtFHXYTOWHMlsA</t>
  </si>
  <si>
    <t>Lucky Dragon Chinese Restaurant</t>
  </si>
  <si>
    <t>5100 Butler St</t>
  </si>
  <si>
    <t>atu9bo2flyoM3CzihE-OlQ</t>
  </si>
  <si>
    <t>1660 Cochran Rd</t>
  </si>
  <si>
    <t>S74fSVSCPSdWtEkROcVYtw</t>
  </si>
  <si>
    <t>Sandwiches, Restaurants</t>
  </si>
  <si>
    <t>Charley's Grilled Subs</t>
  </si>
  <si>
    <t>120 5th Ave</t>
  </si>
  <si>
    <t>woXlprCuowrLJswWere3TQ</t>
  </si>
  <si>
    <t>Restaurants, American (New), Mexican</t>
  </si>
  <si>
    <t>tÃƒÂ¤kÃ…ï¿½</t>
  </si>
  <si>
    <t>214 6th St</t>
  </si>
  <si>
    <t>dBCDRobULrxeSDvQyudcKQ</t>
  </si>
  <si>
    <t>Asian Fusion, Vegan, Restaurants, Street Vendors, Food, Vegetarian</t>
  </si>
  <si>
    <t>Onion Maiden</t>
  </si>
  <si>
    <t>639 E Warrington Ave</t>
  </si>
  <si>
    <t>dw0y95zD-ODAavckvGPP9A</t>
  </si>
  <si>
    <t>Bars, Pubs, Nightlife, Irish Pub, Restaurants</t>
  </si>
  <si>
    <t>Pub In The Park</t>
  </si>
  <si>
    <t>7034 Blackhawk St</t>
  </si>
  <si>
    <t>5mMcFcZGdktTF8Qfh1u02A</t>
  </si>
  <si>
    <t>Music Venues, Pubs, Restaurants, Beer Bar, American (Traditional), Bars, Nightlife, Arts &amp; Entertainment</t>
  </si>
  <si>
    <t>Crafthouse Stage &amp; Grill</t>
  </si>
  <si>
    <t>5024 Curry Rd</t>
  </si>
  <si>
    <t>EzISn_Ke-SSqziUE6zPK4Q</t>
  </si>
  <si>
    <t>Restaurants, Caterers, Food, German, Pretzels, Event Planning &amp; Services</t>
  </si>
  <si>
    <t>Philly Pretzel Factory</t>
  </si>
  <si>
    <t>2311 Babcock Blvd</t>
  </si>
  <si>
    <t>VxRlBe2wjtycFWSZm1orTA</t>
  </si>
  <si>
    <t>Restaurants, Bars, Irish, British, Fish &amp; Chips, Pubs, Nightlife</t>
  </si>
  <si>
    <t>Piper's Pub</t>
  </si>
  <si>
    <t>1828 E Carson St</t>
  </si>
  <si>
    <t>i39--wZD6L9hm9Lg90Uziw</t>
  </si>
  <si>
    <t>Greek, Diners, American (Traditional), Seafood, Restaurants</t>
  </si>
  <si>
    <t>Central Diner &amp; Grille</t>
  </si>
  <si>
    <t>6408 Steubenville Pike</t>
  </si>
  <si>
    <t>9h8ufGEG_kUf_H3Lq81veQ</t>
  </si>
  <si>
    <t>American (Traditional), Breakfast &amp; Brunch, American (New), Burgers, Diners, Restaurants</t>
  </si>
  <si>
    <t>849 Freeport Rd</t>
  </si>
  <si>
    <t>tqyhUt1OyImr8hT3wQ0a4A</t>
  </si>
  <si>
    <t>Pizza, Greek, Mediterranean, Restaurants</t>
  </si>
  <si>
    <t>BFG CafÃƒÂ©</t>
  </si>
  <si>
    <t>5335 Penn Ave</t>
  </si>
  <si>
    <t>50KEvLtQl9Vv4YE1vs681Q</t>
  </si>
  <si>
    <t>Thai, Vegan, Restaurants, Asian Fusion</t>
  </si>
  <si>
    <t>Thai Foon</t>
  </si>
  <si>
    <t>1950 Settlers Ridge Center Dr</t>
  </si>
  <si>
    <t>t9BPvhkUakhvr3TWDw-mXA</t>
  </si>
  <si>
    <t>Restaurants, Chicken Shop, Fast Food, Chicken Wings</t>
  </si>
  <si>
    <t>KFC</t>
  </si>
  <si>
    <t>210 Rodi Rd</t>
  </si>
  <si>
    <t>bD_vqSSU_abcCT0oCzN1xA</t>
  </si>
  <si>
    <t>Food, Food Trucks, Restaurants, Chinese</t>
  </si>
  <si>
    <t>Wok of Life</t>
  </si>
  <si>
    <t>wdTcd7edB9g-zEP6YWBP2A</t>
  </si>
  <si>
    <t>Bars, American (New), Restaurants, Nightlife, Breakfast &amp; Brunch</t>
  </si>
  <si>
    <t>Gather Restaurant &amp; Bar</t>
  </si>
  <si>
    <t>164 Fort Couch Rd</t>
  </si>
  <si>
    <t>caGXS6ubNTlv91ZZyoirjQ</t>
  </si>
  <si>
    <t>Restaurants, Nightlife, Sandwiches, American (New), Sports Bars, American (Traditional), Bars</t>
  </si>
  <si>
    <t>3803 Forbes Ave</t>
  </si>
  <si>
    <t>V9cuDVUS1NCSfPmmabUkvw</t>
  </si>
  <si>
    <t>Fish &amp; Chips, Restaurants, Chicken Wings, Seafood</t>
  </si>
  <si>
    <t>Pittsburgh Fish &amp; Chicken</t>
  </si>
  <si>
    <t>1312 Benton Ave</t>
  </si>
  <si>
    <t>B10A-q2fskHqLx5miQpmOw</t>
  </si>
  <si>
    <t>Grocery, Korean, International Grocery, Chinese, Restaurants, Food, Asian Fusion</t>
  </si>
  <si>
    <t>WFH Oriental Food Market</t>
  </si>
  <si>
    <t>2306 Penn Ave</t>
  </si>
  <si>
    <t>1LUaZFVMEjodl1tbAGF3sQ</t>
  </si>
  <si>
    <t>Sushi Bars, Restaurants</t>
  </si>
  <si>
    <t>Andy's Sushi Bar</t>
  </si>
  <si>
    <t>1711 Penn Ave</t>
  </si>
  <si>
    <t>TMirWwTikHCn5H82K9QMXQ</t>
  </si>
  <si>
    <t>American (Traditional), Caterers, Nightlife, Restaurants, American (New), Party &amp; Event Planning, Event Planning &amp; Services</t>
  </si>
  <si>
    <t>Cain's Local Bar + Kitchen</t>
  </si>
  <si>
    <t>3239 W Liberty Ave</t>
  </si>
  <si>
    <t>LQm8wLJ8VZV2ns4S1yUc0A</t>
  </si>
  <si>
    <t>Pita Pit</t>
  </si>
  <si>
    <t>411 Smithfield St</t>
  </si>
  <si>
    <t>2JYszoQKgJj6pPbaN7cLwQ</t>
  </si>
  <si>
    <t>Italian, Event Planning &amp; Services, Restaurants, Caterers</t>
  </si>
  <si>
    <t>Asiago's</t>
  </si>
  <si>
    <t>mRZCTkOgDc28VWYMvo3nVQ</t>
  </si>
  <si>
    <t>Shady Grove</t>
  </si>
  <si>
    <t>5500 Walnut St</t>
  </si>
  <si>
    <t>PRsiM1hkoAIb-e7ov8SMkA</t>
  </si>
  <si>
    <t>Coffee &amp; Tea, Restaurants, Food, Sandwiches</t>
  </si>
  <si>
    <t>Sandpresso</t>
  </si>
  <si>
    <t>1125 Penn Ave</t>
  </si>
  <si>
    <t>ndzT1maiVwpz-7VFFzAb5Q</t>
  </si>
  <si>
    <t>Bars, Lounges, Seafood, Restaurants, Nightlife, Steakhouses</t>
  </si>
  <si>
    <t>Eddie V's Prime Seafood</t>
  </si>
  <si>
    <t>NF0ONd9LRcwZL-VWixRO5Q</t>
  </si>
  <si>
    <t>Restaurants, Nightlife, American (Traditional), Bars, Beer Bar, Sports Bars</t>
  </si>
  <si>
    <t>Down There Bar &amp; Grill</t>
  </si>
  <si>
    <t>5027 Curry Rd</t>
  </si>
  <si>
    <t>4ggOHxvlxnF0a00hDDVbnQ</t>
  </si>
  <si>
    <t>Food, Beer, Wine &amp; Spirits, American (Traditional), Restaurants, American (New), Nightlife, Mexican, Barbeque, Bars, Beer Bar</t>
  </si>
  <si>
    <t>Sunny Jim's Tavern</t>
  </si>
  <si>
    <t>255 Camp Horne Rd</t>
  </si>
  <si>
    <t>A-IqLvBfU5Gr_b9HVLETTw</t>
  </si>
  <si>
    <t>Chicken Wings, Pizza, Restaurants, Salad</t>
  </si>
  <si>
    <t>Pizza Parma</t>
  </si>
  <si>
    <t>217 S Highland Ave</t>
  </si>
  <si>
    <t>88Mq2edCXyXRtjmY_Vkarg</t>
  </si>
  <si>
    <t>Rico's Restaurant</t>
  </si>
  <si>
    <t>1 Rico Ln</t>
  </si>
  <si>
    <t>xK4K5OwcYU0UjrWwEVHRCw</t>
  </si>
  <si>
    <t>Sandwiches, Salad, Restaurants, Cafes, American (Traditional), American (New)</t>
  </si>
  <si>
    <t>RedWood Cafe</t>
  </si>
  <si>
    <t>698 Washington Rd</t>
  </si>
  <si>
    <t>1yQvJ-By1zO7HzSYhSlz1w</t>
  </si>
  <si>
    <t>Pauline's Caribbean Soul Cuisine</t>
  </si>
  <si>
    <t>N42CouuodYv-yGpmuUZyew</t>
  </si>
  <si>
    <t>Restaurants, Nightlife, Bars, Ethiopian</t>
  </si>
  <si>
    <t>Tana Ethiopian Cuisine</t>
  </si>
  <si>
    <t>5929 Baum Blvd</t>
  </si>
  <si>
    <t>u-A9gv_Q8CwLgjK8nxFxbA</t>
  </si>
  <si>
    <t>Restaurants, Vegetarian, Poutineries, Salad, Hot Dogs</t>
  </si>
  <si>
    <t>115 Forbes Ave</t>
  </si>
  <si>
    <t>fUB_aqie86DKI2tTAkG72w</t>
  </si>
  <si>
    <t>Food Delivery Services, Food, Pizza, Restaurants</t>
  </si>
  <si>
    <t>254 Freeport Rd</t>
  </si>
  <si>
    <t>rrysQBMgpCqhDZuM34vvwg</t>
  </si>
  <si>
    <t>Santoro's Pizzeria Italiana</t>
  </si>
  <si>
    <t>3805 Willow Ave</t>
  </si>
  <si>
    <t>VgWvHMs5TJ2lr0ec2DaMtQ</t>
  </si>
  <si>
    <t>Asian Fusion, Korean, Restaurants, Salad, Pan Asian, Vegan, Cafes, Vegetarian</t>
  </si>
  <si>
    <t>Bae Bae's Kitchen</t>
  </si>
  <si>
    <t>951 Liberty Ave</t>
  </si>
  <si>
    <t>jALlIr27pjGBK75DHZHMKg</t>
  </si>
  <si>
    <t>Hot Franks</t>
  </si>
  <si>
    <t>2701 Penn Ave</t>
  </si>
  <si>
    <t>5eKk8dA1QtKaQr_5i_SCRw</t>
  </si>
  <si>
    <t>Nightlife, Bars, Food, Desserts, Mexican, Restaurants</t>
  </si>
  <si>
    <t>Las Velas</t>
  </si>
  <si>
    <t>21 Market Sq</t>
  </si>
  <si>
    <t>Bj8SEo-9tkOjXIYSub3Wag</t>
  </si>
  <si>
    <t>Red Orchid</t>
  </si>
  <si>
    <t>5439 Babcock Blvd</t>
  </si>
  <si>
    <t>Ky0X7OLqSeBpvNNf0NjVcg</t>
  </si>
  <si>
    <t>Italian, Restaurants, Wine Bars, Salad, Nightlife, Bars</t>
  </si>
  <si>
    <t>Olive Garden Italian Restaurant</t>
  </si>
  <si>
    <t>971 Greentree Rd</t>
  </si>
  <si>
    <t>i7CzT5ncBc7Pgt1R6quOqg</t>
  </si>
  <si>
    <t>1800 Golden Mile Hwy</t>
  </si>
  <si>
    <t>gkR_X3INE6Rr-TuM4ynhzQ</t>
  </si>
  <si>
    <t>Food, American (New), Brewpubs, Restaurants, Breweries</t>
  </si>
  <si>
    <t>Cinderlands Beer</t>
  </si>
  <si>
    <t>3705 Butler St</t>
  </si>
  <si>
    <t>iJkKi-5NqRN1PhdI4KqjAQ</t>
  </si>
  <si>
    <t>Fast Food, Restaurants, Japanese</t>
  </si>
  <si>
    <t>Sarku Japan</t>
  </si>
  <si>
    <t>181 Fort Couch Rd</t>
  </si>
  <si>
    <t>id0K2DhGNocMRMoBcvCsyg</t>
  </si>
  <si>
    <t>Restaurants, Noodles, Vegetarian, Thai, Seafood</t>
  </si>
  <si>
    <t>Senyai Thai Kitchen</t>
  </si>
  <si>
    <t>v3rXLmTCX6ZFR6kIYTY2fg</t>
  </si>
  <si>
    <t>Middle Eastern, Restaurants, Turkish, Mediterranean</t>
  </si>
  <si>
    <t>Istanbul Grille</t>
  </si>
  <si>
    <t>673 Liberty Ave</t>
  </si>
  <si>
    <t>ZiEn3McAAbapzyAV0c6qWg</t>
  </si>
  <si>
    <t>Restaurants, Food, Grocery, Delis</t>
  </si>
  <si>
    <t>Groceria Italiana</t>
  </si>
  <si>
    <t>237 Cedarville St</t>
  </si>
  <si>
    <t>Eg_M8eeu9SDEdbP7iUmVbQ</t>
  </si>
  <si>
    <t>Restaurants, Soup, Sandwiches, Pizza, Burgers, American (New)</t>
  </si>
  <si>
    <t>The Porch at Schenley</t>
  </si>
  <si>
    <t>F8ZdHw7rhyp3FRqQpqQNTg</t>
  </si>
  <si>
    <t>Bars, Coffee &amp; Tea, Restaurants, Music Venues, Food, Nightlife, Arts &amp; Entertainment</t>
  </si>
  <si>
    <t>Shadow Lounge</t>
  </si>
  <si>
    <t>5972 Baum Blvd</t>
  </si>
  <si>
    <t>Fbudk6ffw8DlLwKwunilZA</t>
  </si>
  <si>
    <t>Restaurants, Boat Dealers, Automotive, Marinas, Professional Services, Boat Repair</t>
  </si>
  <si>
    <t>Fox Chapel Yacht Club</t>
  </si>
  <si>
    <t>1366 Old Freeport Rd</t>
  </si>
  <si>
    <t>0dRqzEG9-2QNnvJtdpdDZw</t>
  </si>
  <si>
    <t>Soup, Food, Sandwiches, Breakfast &amp; Brunch, Salad, Bagels, Restaurants</t>
  </si>
  <si>
    <t>uKesGTGs1o5KgazKq-0iMQ</t>
  </si>
  <si>
    <t>Restaurants, Vietnamese</t>
  </si>
  <si>
    <t>Pho Minh</t>
  </si>
  <si>
    <t>4917 Penn Ave</t>
  </si>
  <si>
    <t>nuMmehPFS5kI1_C9bBlK5A</t>
  </si>
  <si>
    <t>Coffee &amp; Tea, Food, Bakeries, Restaurants</t>
  </si>
  <si>
    <t>Uptown Coffee</t>
  </si>
  <si>
    <t>723 Washington Rd</t>
  </si>
  <si>
    <t>qNyp4GMPiRqbY3kbbPju8w</t>
  </si>
  <si>
    <t>Nightlife, Restaurants, Bars, American (Traditional)</t>
  </si>
  <si>
    <t>Boulevard Lounge</t>
  </si>
  <si>
    <t>1150 Brookline Blvd</t>
  </si>
  <si>
    <t>QNn3lvwCBwNcQFPbjAtgdQ</t>
  </si>
  <si>
    <t>American (New), Beer Bar, Pizza, Nightlife, Restaurants, Bars</t>
  </si>
  <si>
    <t>Fairway Grille</t>
  </si>
  <si>
    <t>1530 Hamilton Rd</t>
  </si>
  <si>
    <t>0MR1J0U8uOXtvZlHV-johQ</t>
  </si>
  <si>
    <t>Food, Restaurants, Arcades, Internet Cafes, Arts &amp; Entertainment, Coffee &amp; Tea, Cafes</t>
  </si>
  <si>
    <t>Kickback Pinball Cafe</t>
  </si>
  <si>
    <t>4326 Butler St</t>
  </si>
  <si>
    <t>37PlKoT60Qfo_G8V2NRfCQ</t>
  </si>
  <si>
    <t>Desserts, Restaurants, Ice Cream &amp; Frozen Yogurt, Shaved Ice, Food, Coffee &amp; Tea</t>
  </si>
  <si>
    <t>LaScola's Italian Ice &amp; Custard</t>
  </si>
  <si>
    <t>1218 N Euclid Ave</t>
  </si>
  <si>
    <t>v1G_bioP6POazUyQwHcz7Q</t>
  </si>
  <si>
    <t>Coffee &amp; Tea, Restaurants, Food</t>
  </si>
  <si>
    <t>3533 Forbes Ave</t>
  </si>
  <si>
    <t>rBnpbR-cfCD9CKy_ahCmsg</t>
  </si>
  <si>
    <t>Nicky's Thai Kitchen</t>
  </si>
  <si>
    <t>856 Western Ave</t>
  </si>
  <si>
    <t>fMdnlYyN5EMhafyE3dGTFQ</t>
  </si>
  <si>
    <t>Pizza, Restaurants, Food</t>
  </si>
  <si>
    <t>Pizza Palermo</t>
  </si>
  <si>
    <t>7343 Saltsburg Rd</t>
  </si>
  <si>
    <t>6hKY8sj-ikAQdzrkrBcvuQ</t>
  </si>
  <si>
    <t>American (Traditional), Restaurants, Cafes, American (New), Delis</t>
  </si>
  <si>
    <t>Cafe io</t>
  </si>
  <si>
    <t>300 Beverly Rd</t>
  </si>
  <si>
    <t>GGKesha1RQd21HyzRhj2bA</t>
  </si>
  <si>
    <t>Buffets, American (Traditional), Chicken Wings, Restaurants</t>
  </si>
  <si>
    <t>Pittsburgh Cafe</t>
  </si>
  <si>
    <t>226 Meyran Ave</t>
  </si>
  <si>
    <t>br_d4kDitXax4QOb6IaXPw</t>
  </si>
  <si>
    <t>Restaurants, Steakhouses</t>
  </si>
  <si>
    <t>Lone Star Steakhouse &amp; Saloon</t>
  </si>
  <si>
    <t>QIXz6e0SZ4okLBFBsO79_Q</t>
  </si>
  <si>
    <t>Hotels &amp; Travel, Restaurants, Nightlife, Bars, American (Traditional), Hotels, Food, Cocktail Bars, American (New), Event Planning &amp; Services, Coffee &amp; Tea, Venues &amp; Event Spaces</t>
  </si>
  <si>
    <t>ACE Hotel Pittsburgh</t>
  </si>
  <si>
    <t>120 S Whitfield St</t>
  </si>
  <si>
    <t>Tr8TJnMoSgBvfZvmCx9-eQ</t>
  </si>
  <si>
    <t>Mexican, Ethnic Food, Food, Restaurants, Specialty Food</t>
  </si>
  <si>
    <t>The Franklin Inn</t>
  </si>
  <si>
    <t>2313 Rochester Rd</t>
  </si>
  <si>
    <t>GEpavUjzVf5ATsGYkPu0WA</t>
  </si>
  <si>
    <t>Bakeries, Restaurants, Wraps, American (New), Coffee &amp; Tea, Food</t>
  </si>
  <si>
    <t>Orbis Caffe</t>
  </si>
  <si>
    <t>675 Washington Rd</t>
  </si>
  <si>
    <t>TpZO3sokGBg8mDYyTRiGiQ</t>
  </si>
  <si>
    <t>Food, Chicken Wings, Beer, Wine &amp; Spirits, Bars, Barbeque, Restaurants, Nightlife, Local Flavor</t>
  </si>
  <si>
    <t>Union Pig &amp; Chicken</t>
  </si>
  <si>
    <t>220 N Highland Ave</t>
  </si>
  <si>
    <t>HNbX93hyrua2p6LO4IwdHA</t>
  </si>
  <si>
    <t>Mexican, Restaurants, Fast Food, Tex-Mex</t>
  </si>
  <si>
    <t>1690 Cochran Rd</t>
  </si>
  <si>
    <t>wDbHi9749cEhJTT2sttHBw</t>
  </si>
  <si>
    <t>Cafes, Restaurants, Bistros</t>
  </si>
  <si>
    <t>Billy's Troy Hill Bistro</t>
  </si>
  <si>
    <t>B7pcNWBNTXl4WZ22Y-2x6A</t>
  </si>
  <si>
    <t>Coughlin's Law Kitchen and Ale House</t>
  </si>
  <si>
    <t>10 Virginia Ave</t>
  </si>
  <si>
    <t>3JyqPFOCUHFczVSfiw518w</t>
  </si>
  <si>
    <t>Restaurants, Breakfast &amp; Brunch, Burgers, American (Traditional)</t>
  </si>
  <si>
    <t>155 McMurray Road</t>
  </si>
  <si>
    <t>LH9YFarEKe_ByAl6xeeegQ</t>
  </si>
  <si>
    <t>Sandwiches, Chicken Wings, Burgers, Restaurants</t>
  </si>
  <si>
    <t>Big Shot Bob's House of Wings - Avalon</t>
  </si>
  <si>
    <t>344 Union Ave</t>
  </si>
  <si>
    <t>kzCG-KC3YVrQs7l-0d0b1w</t>
  </si>
  <si>
    <t>Jet's Pizza</t>
  </si>
  <si>
    <t>1810 Dormont Ave</t>
  </si>
  <si>
    <t>0vAHRd4Xlsdx3fHV8JCRBQ</t>
  </si>
  <si>
    <t>Mineo's Pizza House</t>
  </si>
  <si>
    <t>713 Washington Rd</t>
  </si>
  <si>
    <t>GN0LE1tKNoT0UeWrUU-cbA</t>
  </si>
  <si>
    <t>Bars, Beer Bar, Restaurants, Nightlife</t>
  </si>
  <si>
    <t>Local Craft Kitchen + Bar</t>
  </si>
  <si>
    <t>1000 Airport Blvd</t>
  </si>
  <si>
    <t>MnveklSsns2LyYj4Mrx84g</t>
  </si>
  <si>
    <t>Finn McCools</t>
  </si>
  <si>
    <t>1501 E Carson St</t>
  </si>
  <si>
    <t>80zlpfsStM8emhxzHi2kXA</t>
  </si>
  <si>
    <t>Restaurants, Asian Fusion</t>
  </si>
  <si>
    <t>Indo: Asian Fusion</t>
  </si>
  <si>
    <t>957 Liberty Ave</t>
  </si>
  <si>
    <t>mQ_aMzTnkHSpbgdnOryeDA</t>
  </si>
  <si>
    <t>Restaurants, Chicken Wings</t>
  </si>
  <si>
    <t>6960 5th Ave</t>
  </si>
  <si>
    <t>bm8-Kriygv-R8DVCmKzoOw</t>
  </si>
  <si>
    <t>Specialty Food, Cafes, Breakfast &amp; Brunch, Restaurants, Local Flavor, Butcher, Food, Grocery</t>
  </si>
  <si>
    <t>Marty's Market</t>
  </si>
  <si>
    <t>2301 Smallman St</t>
  </si>
  <si>
    <t>dfVmClBit5Hd7u9_lFY1Lg</t>
  </si>
  <si>
    <t>Sandwiches, Restaurants, Cheesesteaks, American (Traditional)</t>
  </si>
  <si>
    <t>Penn Station East Coast Subs</t>
  </si>
  <si>
    <t>G32N8Tr2LyvHl4FnUTt5pg</t>
  </si>
  <si>
    <t>Sushi Bars, Japanese, Restaurants</t>
  </si>
  <si>
    <t>Ginza</t>
  </si>
  <si>
    <t>4734 Liberty Ave</t>
  </si>
  <si>
    <t>mt9mrG8wALTzD3YYGim3mQ</t>
  </si>
  <si>
    <t>American (New), Pubs, Beer Bar, American (Traditional), Restaurants, Nightlife, Sports Bars, Bars</t>
  </si>
  <si>
    <t>City Works - Pittsburgh</t>
  </si>
  <si>
    <t>y_Oig8XBVyyOJ-r_m95ABg</t>
  </si>
  <si>
    <t>Fast Food, Restaurants</t>
  </si>
  <si>
    <t>60 Towne Square Way</t>
  </si>
  <si>
    <t>y4CE_4CHTWZ6oe3JCH-AoQ</t>
  </si>
  <si>
    <t>Food, Nightlife, Persian/Iranian, Restaurants, Hookah Bars, Pizza, Mediterranean, Bars</t>
  </si>
  <si>
    <t>Shiraz Kabob and Hookah</t>
  </si>
  <si>
    <t>4709 Centre Ave</t>
  </si>
  <si>
    <t>3ed7T7HvUJUnPf6jDmys9A</t>
  </si>
  <si>
    <t>Asian Fusion, Restaurants</t>
  </si>
  <si>
    <t>Fun Asian Bistro</t>
  </si>
  <si>
    <t>6sqfAMlX68kusvE_FsIr-w</t>
  </si>
  <si>
    <t>Delis, Fast Food, Sandwiches, Restaurants</t>
  </si>
  <si>
    <t>4_43zqNDdn7icwxlgHgL8g</t>
  </si>
  <si>
    <t>Nightlife, Bars, American (Traditional), Restaurants, Food, Beer, Wine &amp; Spirits</t>
  </si>
  <si>
    <t>Beer Nutz Bottle Shop</t>
  </si>
  <si>
    <t>1335 Freeport Rd</t>
  </si>
  <si>
    <t>JS8zqTShTYXHvpsWYTaQ6A</t>
  </si>
  <si>
    <t>Dive Bars, American (Traditional), Nightlife, Bars, Restaurants</t>
  </si>
  <si>
    <t>Dive Bar &amp; Grill</t>
  </si>
  <si>
    <t>5147 Butler St</t>
  </si>
  <si>
    <t>2v3uI97JPebCDaTNy8jdwg</t>
  </si>
  <si>
    <t>Restaurants, Pizza, Nightlife, Pubs, Bars</t>
  </si>
  <si>
    <t>Pizza Sola</t>
  </si>
  <si>
    <t>114 Atwood St</t>
  </si>
  <si>
    <t>gURBE4EKkytlOMuIqJHG8Q</t>
  </si>
  <si>
    <t>Anthony's Pizza</t>
  </si>
  <si>
    <t>413 Grant Ave</t>
  </si>
  <si>
    <t>MkoiuqUFOnX8riewi6d2sQ</t>
  </si>
  <si>
    <t>Restaurants, Mexican, Event Planning &amp; Services, Food, Caterers</t>
  </si>
  <si>
    <t>La Palapa</t>
  </si>
  <si>
    <t>Pittsburgh Public Market, 2100 Smallman St</t>
  </si>
  <si>
    <t>h1fOnj8ofEmKM7U9JdCcGw</t>
  </si>
  <si>
    <t>Indian, Food, Food Delivery Services, Restaurants</t>
  </si>
  <si>
    <t>Prince of India</t>
  </si>
  <si>
    <t>3614 5th Ave</t>
  </si>
  <si>
    <t>6hLFmFmDKO39b9qsyeVx-A</t>
  </si>
  <si>
    <t>Restaurants, Venues &amp; Event Spaces, Event Planning &amp; Services, American (New)</t>
  </si>
  <si>
    <t>The Lexus Club</t>
  </si>
  <si>
    <t>1001 5th Ave</t>
  </si>
  <si>
    <t>jTlcLfsSDGnHcbjL1aD9Zw</t>
  </si>
  <si>
    <t>Food, American (New), Pizza, Restaurants, Ice Cream &amp; Frozen Yogurt, Turkish, Middle Eastern</t>
  </si>
  <si>
    <t>Forbes Gyro</t>
  </si>
  <si>
    <t>3715 Forbes Ave</t>
  </si>
  <si>
    <t>lKom12WnYEjH5FFemK3M1Q</t>
  </si>
  <si>
    <t>Sandwiches, Restaurants, Botanical Gardens, Sports Bars, Bars, Arts &amp; Entertainment, Nightlife, American (New)</t>
  </si>
  <si>
    <t>46 18th St</t>
  </si>
  <si>
    <t>FzvN6d00RNmLSJy2UMKuvA</t>
  </si>
  <si>
    <t>Pazzo Ristorante</t>
  </si>
  <si>
    <t>1535 Washington Rd</t>
  </si>
  <si>
    <t>JkWRqZ2gSYDdt8Dw1E8oyA</t>
  </si>
  <si>
    <t>Diners, Restaurants, Delis</t>
  </si>
  <si>
    <t>Sojourn Catering &amp; Deli</t>
  </si>
  <si>
    <t>7RkcQem9jJFxvVU5TSJMdw</t>
  </si>
  <si>
    <t>Restaurants, Food, Convenience Stores, Delis</t>
  </si>
  <si>
    <t>Hanini Market</t>
  </si>
  <si>
    <t>2625 Brownsville Rd</t>
  </si>
  <si>
    <t>HDMoo6OIY4qIIKWfvbYK_A</t>
  </si>
  <si>
    <t>American (New), American (Traditional), Restaurants, Salad, Sandwiches, Burgers</t>
  </si>
  <si>
    <t>1910 Cochran Rd</t>
  </si>
  <si>
    <t>J1vEp4AZTPZvdxG9A-u1_w</t>
  </si>
  <si>
    <t>Restaurants, Hot Dogs</t>
  </si>
  <si>
    <t>Boardwalk on Carson</t>
  </si>
  <si>
    <t>1509 E Carson St</t>
  </si>
  <si>
    <t>9Yo5Fl8wstZlxBnD0G-uHg</t>
  </si>
  <si>
    <t>Arby's</t>
  </si>
  <si>
    <t>4810 McKnight Rd</t>
  </si>
  <si>
    <t>UyEJouFTFxcmYaHouhSGFA</t>
  </si>
  <si>
    <t>Indian, Restaurants</t>
  </si>
  <si>
    <t>Bombay Curry House</t>
  </si>
  <si>
    <t>346 Atwood St</t>
  </si>
  <si>
    <t>UWi2CNiSSHrgsKfiI6qQDw</t>
  </si>
  <si>
    <t>Italian, Restaurants, Food, Delis, Gelato</t>
  </si>
  <si>
    <t>Rocchio's Italian Deli</t>
  </si>
  <si>
    <t>1408 Potomac Ave</t>
  </si>
  <si>
    <t>hXJOnDvOvtBjB5WQ6fuzmQ</t>
  </si>
  <si>
    <t>Bars, American (Traditional), Fast Food, Nightlife, Restaurants</t>
  </si>
  <si>
    <t>Preeti's PiTT</t>
  </si>
  <si>
    <t>Q8b36PEPL61nxeQDcLBV7g</t>
  </si>
  <si>
    <t>Ice Cream &amp; Frozen Yogurt, Custom Cakes, Cupcakes, Food, Restaurants</t>
  </si>
  <si>
    <t>Scoops in Bloomfield</t>
  </si>
  <si>
    <t>4806 Liberty Ave</t>
  </si>
  <si>
    <t>t4qEsqfsL26p6s2Q42OydA</t>
  </si>
  <si>
    <t>Restaurants, Latin American</t>
  </si>
  <si>
    <t>Rivas Nicaraguan Restaurant</t>
  </si>
  <si>
    <t>601 E Carson St</t>
  </si>
  <si>
    <t>mseBBgYcqyv6T1sfrXI-XQ</t>
  </si>
  <si>
    <t>American (New), Nightlife, Restaurants, Bars</t>
  </si>
  <si>
    <t>Tavern 51</t>
  </si>
  <si>
    <t>4604 Clairton Blvd</t>
  </si>
  <si>
    <t>74wRr6PP6lbaL1YzUcYGAA</t>
  </si>
  <si>
    <t>Restaurants, Chinese, Buffets</t>
  </si>
  <si>
    <t>Golden Palace Buffet</t>
  </si>
  <si>
    <t>3607 Forbes Ave</t>
  </si>
  <si>
    <t>gXzQb8auHnhNxJ9EF2F-tA</t>
  </si>
  <si>
    <t>Sandwiches, Restaurants, Pizza, Chicken Wings</t>
  </si>
  <si>
    <t>Domino's Pizza</t>
  </si>
  <si>
    <t>2600 Ardmore Blvd</t>
  </si>
  <si>
    <t>E9Gnux898nomZK0fYErQVw</t>
  </si>
  <si>
    <t>Restaurants, Breakfast &amp; Brunch, Sandwiches, Cafes, Coffee Roasteries, Coffee &amp; Tea, Food</t>
  </si>
  <si>
    <t>Everyday Cafe</t>
  </si>
  <si>
    <t>532 N Homewood Ave</t>
  </si>
  <si>
    <t>xI7GN5nujGjlYF9lAMtC1A</t>
  </si>
  <si>
    <t>Chicken Wings, Sports Bars, Restaurants, Bars, Irish, American (Traditional), Nightlife, Pubs</t>
  </si>
  <si>
    <t>353 N Shore Dr</t>
  </si>
  <si>
    <t>75azemjvdMXjzzWp-fZDTA</t>
  </si>
  <si>
    <t>Restaurants, Seafood, Chicken Wings, Comfort Food, Southern</t>
  </si>
  <si>
    <t>Liam's Fish, Wings &amp; Things</t>
  </si>
  <si>
    <t>501 Penn Ave</t>
  </si>
  <si>
    <t>TTnUoYDCQoTfldLs3AuTDg</t>
  </si>
  <si>
    <t>Fast Food, Mexican, Restaurants</t>
  </si>
  <si>
    <t>1027 Freeport Rd</t>
  </si>
  <si>
    <t>aKMpYHAW_949EKIa8Xu6nw</t>
  </si>
  <si>
    <t>Culture</t>
  </si>
  <si>
    <t>130 7th St</t>
  </si>
  <si>
    <t>ijRCz1YX5Ws2UW_2G0Bz7w</t>
  </si>
  <si>
    <t>Restaurants, Bars, Steakhouses, Nightlife, American (Traditional), Sports Bars, Burgers, Sandwiches</t>
  </si>
  <si>
    <t>Applebee's Grill + Bar</t>
  </si>
  <si>
    <t>6570 Rte 60 Steubenville Pike</t>
  </si>
  <si>
    <t>qQvHYQ1uocuEnFcUdhxV_g</t>
  </si>
  <si>
    <t>Restaurants, British, American (New), Breakfast &amp; Brunch, Seafood, Fish &amp; Chips, Bakeries, Food</t>
  </si>
  <si>
    <t>The Pub Chip Shop</t>
  </si>
  <si>
    <t>1830 E Carson St</t>
  </si>
  <si>
    <t>afXMX5llxcMFzbaPaBBm6A</t>
  </si>
  <si>
    <t>D'Imperio's Restaurant</t>
  </si>
  <si>
    <t>3412 William Penn Hwy</t>
  </si>
  <si>
    <t>ZwuHsufvw1x5rd2c-qyw2w</t>
  </si>
  <si>
    <t>Sandwiches, Cocktail Bars, Caribbean, Nightlife, Bars, Restaurants</t>
  </si>
  <si>
    <t>Pirata</t>
  </si>
  <si>
    <t>274 Forbes Ave</t>
  </si>
  <si>
    <t>qCq3JGKYMFq4dqFjtuF7DQ</t>
  </si>
  <si>
    <t>Pizza Burgh</t>
  </si>
  <si>
    <t>5001 Curry Rd</t>
  </si>
  <si>
    <t>cNz2tTTAPmdeAq6HnGeo8w</t>
  </si>
  <si>
    <t>Seafood, Restaurants</t>
  </si>
  <si>
    <t>Roland's Seafood Grill</t>
  </si>
  <si>
    <t>1904 Penn Ave</t>
  </si>
  <si>
    <t>t3uYS5ClpvjS-7ItPEflUQ</t>
  </si>
  <si>
    <t>Restaurants, Soul Food, American (Traditional)</t>
  </si>
  <si>
    <t>Birdy's Restaurant</t>
  </si>
  <si>
    <t>7302 Hamilton Ave</t>
  </si>
  <si>
    <t>URmpCBod57A07npzwCp4bA</t>
  </si>
  <si>
    <t>Restaurants, Fast Food, Sandwiches</t>
  </si>
  <si>
    <t>slMjKmGTnufGx6ZWR6Mg3A</t>
  </si>
  <si>
    <t>American (Traditional), Bars, Event Planning &amp; Services, Nightlife, Restaurants, Sandwiches, Delis, Caterers</t>
  </si>
  <si>
    <t>Carson Street Deli &amp; Craft Beer Bar</t>
  </si>
  <si>
    <t>1507 E Carson St</t>
  </si>
  <si>
    <t>i1t1vBPEWkjPVEW9OoDH2A</t>
  </si>
  <si>
    <t>Restaurants, Pizza, Italian, Chicken Wings</t>
  </si>
  <si>
    <t>1219 Federal St</t>
  </si>
  <si>
    <t>QQMHSov0KBlBSfb7PXOcXg</t>
  </si>
  <si>
    <t>Japanese, Restaurants, Seafood, Steakhouses</t>
  </si>
  <si>
    <t>Sapporo Japanese Steakhouse</t>
  </si>
  <si>
    <t>4260 Steubenville Pike</t>
  </si>
  <si>
    <t>UkylJaNbvMENvL61dgwdLg</t>
  </si>
  <si>
    <t>Nightlife, Bars, Mexican, Restaurants</t>
  </si>
  <si>
    <t>Emiliano's Mexican Restaurant &amp; Bar</t>
  </si>
  <si>
    <t>9070 St Simon Way</t>
  </si>
  <si>
    <t>MV4MCTQ4EbhoZ-JseM1x-Q</t>
  </si>
  <si>
    <t>Sandwiches, Salad, Ice Cream &amp; Frozen Yogurt, Food, Restaurants, American (Traditional), Cafes</t>
  </si>
  <si>
    <t>East End CafÃƒÂ©</t>
  </si>
  <si>
    <t>7332 Penn Ave</t>
  </si>
  <si>
    <t>K7j0BqmmN6ZEZ4BHIgUcng</t>
  </si>
  <si>
    <t>Food, Convenience Stores, Restaurants, Fast Food, Automotive, Gas Stations</t>
  </si>
  <si>
    <t>GetGo from Giant Eagle</t>
  </si>
  <si>
    <t>4924 Baum Blvd</t>
  </si>
  <si>
    <t>tE4H7SuEBCdF8O-BMAAB6g</t>
  </si>
  <si>
    <t>Papa John's Pizza</t>
  </si>
  <si>
    <t>4815 Centre Ave, Ste 4</t>
  </si>
  <si>
    <t>in39cUCMBRjpwxw7qNSOfg</t>
  </si>
  <si>
    <t>Restaurants, Mexican, Tacos</t>
  </si>
  <si>
    <t>Condado Tacos</t>
  </si>
  <si>
    <t>4300 Butler St</t>
  </si>
  <si>
    <t>vxFrGfeQCtc5AzPKkMHHgA</t>
  </si>
  <si>
    <t xml:space="preserve">Holy Guacamole </t>
  </si>
  <si>
    <t>5750 Ellsworth Ave</t>
  </si>
  <si>
    <t>Z6_gRH_m8FQlKgsNkZKmTg</t>
  </si>
  <si>
    <t>Seafood, Italian, Restaurants</t>
  </si>
  <si>
    <t>Lucca</t>
  </si>
  <si>
    <t>317 S Craig St</t>
  </si>
  <si>
    <t>Srl3TFbOAfa-9_1m_wK6xQ</t>
  </si>
  <si>
    <t>QofXroW2R5FzOzY4TdLTGQ</t>
  </si>
  <si>
    <t>Vegetarian, Food, Coffee &amp; Tea, Breakfast &amp; Brunch, Restaurants</t>
  </si>
  <si>
    <t>Morning Glory Coffeehouse</t>
  </si>
  <si>
    <t>1806 Chislett St</t>
  </si>
  <si>
    <t>Oo3X0pVhRe93-eky6MvM4w</t>
  </si>
  <si>
    <t>Bars, American (Traditional), Nightlife, Restaurants</t>
  </si>
  <si>
    <t>Fanattics</t>
  </si>
  <si>
    <t>1704 Shady Ave</t>
  </si>
  <si>
    <t>TKDL0wiztnEr_rMkX8ZomQ</t>
  </si>
  <si>
    <t>American (New), Bars, Sandwiches, American (Traditional), Sports Bars, Restaurants, Nightlife</t>
  </si>
  <si>
    <t>1832 E Carson St</t>
  </si>
  <si>
    <t>9x1bWbbSgFCMLJlJR8mezQ</t>
  </si>
  <si>
    <t>Restaurants, Italian, Pizza, Sandwiches</t>
  </si>
  <si>
    <t>La Gondola Pizzeria &amp; Restaurant</t>
  </si>
  <si>
    <t>4 Market Sq</t>
  </si>
  <si>
    <t>VXKIx4WUGw3jNad0BOcFYQ</t>
  </si>
  <si>
    <t>Restaurants, Pizza, Italian</t>
  </si>
  <si>
    <t>DeMore's Pizzeria</t>
  </si>
  <si>
    <t>1256 Evergreen Ave</t>
  </si>
  <si>
    <t>YVYHX7RCPjCBqEth2CS91Q</t>
  </si>
  <si>
    <t>French, Restaurants</t>
  </si>
  <si>
    <t>Brasserie 33</t>
  </si>
  <si>
    <t>5863 Ellsworth Ave</t>
  </si>
  <si>
    <t>OjXXfBcsaGMcXJ5In6pJcQ</t>
  </si>
  <si>
    <t>Thai Gourmet</t>
  </si>
  <si>
    <t>4505 Liberty Ave</t>
  </si>
  <si>
    <t>3_tWe-D5if9y8RrmMrN7AQ</t>
  </si>
  <si>
    <t>Kiku Japanese Restaurant</t>
  </si>
  <si>
    <t>225 W Station Square Dr</t>
  </si>
  <si>
    <t>Oy9xDxD-JtUzSurhOhboLg</t>
  </si>
  <si>
    <t>Imported Food, Ethnic Food, Ice Cream &amp; Frozen Yogurt, Coffee &amp; Tea, Waffles, Restaurants, Specialty Food, Desserts, Food</t>
  </si>
  <si>
    <t>4212 Forbes Ave</t>
  </si>
  <si>
    <t>QbuWKli8fme4O84t99UfSg</t>
  </si>
  <si>
    <t>Chinese, Restaurants, Indian</t>
  </si>
  <si>
    <t>The Mintt</t>
  </si>
  <si>
    <t>3033 Banksville Rd</t>
  </si>
  <si>
    <t>1flOAXtu0-0YEvgJg1r3VQ</t>
  </si>
  <si>
    <t>Restaurants, Art Galleries, Arts &amp; Entertainment, Shopping</t>
  </si>
  <si>
    <t>Unblurred</t>
  </si>
  <si>
    <t>4800-5500 Penn Ave</t>
  </si>
  <si>
    <t>orR36ClncK344iL2vcSqCA</t>
  </si>
  <si>
    <t>American (New), Burgers, Sandwiches, Restaurants</t>
  </si>
  <si>
    <t>The Grove</t>
  </si>
  <si>
    <t>395 Jacks Run Rd</t>
  </si>
  <si>
    <t>jlyuxZtZ5M6TlAlR0_c7kw</t>
  </si>
  <si>
    <t>Old Mexico</t>
  </si>
  <si>
    <t>KW9xNNu14RcskVcnhZ-vVg</t>
  </si>
  <si>
    <t>Restaurants, Sports Bars, American (Traditional), Bars, Nightlife</t>
  </si>
  <si>
    <t>Ordinary Joe's</t>
  </si>
  <si>
    <t>225 Commerical Ave</t>
  </si>
  <si>
    <t>j86uUIR-sDU7KfXDZeUDzQ</t>
  </si>
  <si>
    <t>Sandwiches, Vietnamese, Asian Fusion, Bars, Nightlife, Vegetarian, Restaurants</t>
  </si>
  <si>
    <t>Banhmilicious</t>
  </si>
  <si>
    <t>Rdj85mwep92VrZioUqiFlw</t>
  </si>
  <si>
    <t>Breakfast &amp; Brunch, Restaurants, Bars, Nightlife, American (New), Cocktail Bars</t>
  </si>
  <si>
    <t>Revival on Lincoln</t>
  </si>
  <si>
    <t>366 Lincoln Ave</t>
  </si>
  <si>
    <t>9-lFwrePtcGd6tnRSPI9bA</t>
  </si>
  <si>
    <t>Dive Bars, Nightlife, Bars, Restaurants, American (Traditional), Lounges</t>
  </si>
  <si>
    <t>The Huddle</t>
  </si>
  <si>
    <t>1648 Broadway Ave</t>
  </si>
  <si>
    <t>Coffee &amp; Tea, Breakfast &amp; Brunch, Donuts, Food, Restaurants</t>
  </si>
  <si>
    <t>5819 Forbes Ave</t>
  </si>
  <si>
    <t>cNCXUYQd3kFR_AyfjTejQQ</t>
  </si>
  <si>
    <t>Restaurants, Nightlife, American (Traditional), Sandwiches, Bars, Tapas/Small Plates, Beer Bar</t>
  </si>
  <si>
    <t>Lot 17</t>
  </si>
  <si>
    <t>4617 Liberty Ave</t>
  </si>
  <si>
    <t>vA2aKRFspZWyxSlk0jNgbA</t>
  </si>
  <si>
    <t>Madonna's Restaurant</t>
  </si>
  <si>
    <t>441 Smithfield St</t>
  </si>
  <si>
    <t>jpn329BeGpfAa9n1uPYOrA</t>
  </si>
  <si>
    <t>Italian, Diners, Food, Breakfast &amp; Brunch, Buffets, Restaurants</t>
  </si>
  <si>
    <t>Cucina Vitale</t>
  </si>
  <si>
    <t>2516 E Carson St</t>
  </si>
  <si>
    <t>55LdBLn7CXbWwhD06Zn_0Q</t>
  </si>
  <si>
    <t>Qdoba Mexican Grill</t>
  </si>
  <si>
    <t>1028 Freeport Rd</t>
  </si>
  <si>
    <t>mJAqx7wK33gFt4MjN_1aDg</t>
  </si>
  <si>
    <t>Pizza, Nightlife, Breakfast &amp; Brunch, Gluten-Free, Restaurants, Bars, Food, Desserts, Salad</t>
  </si>
  <si>
    <t>Michigan &amp; Trumbull</t>
  </si>
  <si>
    <t>Jl9w5WVI9qdDtKIwZnHKGw</t>
  </si>
  <si>
    <t>Restaurants, Juice Bars &amp; Smoothies, Food</t>
  </si>
  <si>
    <t>MixStirs Cafe</t>
  </si>
  <si>
    <t>555 Grant St</t>
  </si>
  <si>
    <t>xeCqEmjQi0M0dlf4DXcugA</t>
  </si>
  <si>
    <t>Pizza Bosa</t>
  </si>
  <si>
    <t>741 Fifth Ave</t>
  </si>
  <si>
    <t>q2y2K9RwT954oQGgeNAu1w</t>
  </si>
  <si>
    <t>Salad, Sandwiches, Food Delivery Services, Restaurants, Pizza, Food</t>
  </si>
  <si>
    <t>Disilva's Pizzeria</t>
  </si>
  <si>
    <t>3600 Brownsville Rd</t>
  </si>
  <si>
    <t>yt0IPg-CURvYFRcmXU1V3g</t>
  </si>
  <si>
    <t>Food, Coffee &amp; Tea, Vegan, Vegetarian, Restaurants</t>
  </si>
  <si>
    <t>Hoi Polloi: Coffeehouse and Vegetarian Cafe</t>
  </si>
  <si>
    <t>Tp2jd64iH0v-vjEu2OWjyw</t>
  </si>
  <si>
    <t>American (New), Restaurants, American (Traditional), Seafood</t>
  </si>
  <si>
    <t>Red Lobster</t>
  </si>
  <si>
    <t>4766 McKnight Rd</t>
  </si>
  <si>
    <t>lFSF5XRwn-ibJLj5efDIjg</t>
  </si>
  <si>
    <t>Union Pie Co</t>
  </si>
  <si>
    <t>1914 Brownsville Rd</t>
  </si>
  <si>
    <t>ryy9UyS6tV9qp1l6Zw3kaw</t>
  </si>
  <si>
    <t>2 Market Sq</t>
  </si>
  <si>
    <t>3yOAOV1ZlrhSWgANFWDWDA</t>
  </si>
  <si>
    <t>Sports Rock Cafe</t>
  </si>
  <si>
    <t>1400 Smallman St</t>
  </si>
  <si>
    <t>Idow0ymZ7ptpoeVPwzqOPQ</t>
  </si>
  <si>
    <t>Barbeque, Restaurants, Food</t>
  </si>
  <si>
    <t>The Flame BBQ</t>
  </si>
  <si>
    <t>1805 Babcock Blvd</t>
  </si>
  <si>
    <t>HThLR9ln5hLPL24-7TyWtA</t>
  </si>
  <si>
    <t>Cajun/Creole, Restaurants, Caribbean</t>
  </si>
  <si>
    <t>Musa Caribbean / Cajun Fare</t>
  </si>
  <si>
    <t>2318 Broadway Ave</t>
  </si>
  <si>
    <t>z7ns1g4S82kaBdIAC_RMRw</t>
  </si>
  <si>
    <t>pYeQ80rPttM6KzMQ3MXE8g</t>
  </si>
  <si>
    <t>American (Traditional), Restaurants, Dive Bars, Sandwiches, Bars, Nightlife, Seafood</t>
  </si>
  <si>
    <t>Nied's Hotel</t>
  </si>
  <si>
    <t>5438 Butler St</t>
  </si>
  <si>
    <t>tXZxc-3HcXvj1Z-Tzs4Mkw</t>
  </si>
  <si>
    <t>El Campesino</t>
  </si>
  <si>
    <t>460 Home Dr</t>
  </si>
  <si>
    <t>WKlMFUCGI7dCysGkFLWvaQ</t>
  </si>
  <si>
    <t>Event Planning &amp; Services, Nightlife, Venues &amp; Event Spaces, Wine Bars, Restaurants, Bars, Italian, Pizza, Breakfast &amp; Brunch</t>
  </si>
  <si>
    <t>Stagioni</t>
  </si>
  <si>
    <t>2104 E Carson St</t>
  </si>
  <si>
    <t>UslSiDSUTCaq62FMpWK6Lw</t>
  </si>
  <si>
    <t>Food, Restaurants, Chinese</t>
  </si>
  <si>
    <t>China Max</t>
  </si>
  <si>
    <t>x9DcUQTyx_yjJYLkHLcyBw</t>
  </si>
  <si>
    <t>100 Robinson Center Dr</t>
  </si>
  <si>
    <t>jkJuwGa227qpQjT34TrECQ</t>
  </si>
  <si>
    <t>2771 E Carson St</t>
  </si>
  <si>
    <t>1Vbt1GsmtQm2dkC4A2L_-g</t>
  </si>
  <si>
    <t>Indian, Himalayan/Nepalese, Restaurants, Asian Fusion</t>
  </si>
  <si>
    <t>Subba</t>
  </si>
  <si>
    <t>700 Cedar Ave</t>
  </si>
  <si>
    <t>9tK5ibv58TxxpndehLXjDg</t>
  </si>
  <si>
    <t>Red Room Cafe</t>
  </si>
  <si>
    <t>ynKAUSYi3c8M-rkVJI1PcQ</t>
  </si>
  <si>
    <t>Italian, Fast Food, Food, Restaurants, Ice Cream &amp; Frozen Yogurt, Sandwiches, Pizza, Buffets</t>
  </si>
  <si>
    <t>DiPietro's</t>
  </si>
  <si>
    <t>412 Perry Hwy</t>
  </si>
  <si>
    <t>gae9LAyt7Qvf_OgAkWASxA</t>
  </si>
  <si>
    <t>Italian, Caterers, Bars, Restaurants, Food, Pizza, Event Planning &amp; Services, Nightlife</t>
  </si>
  <si>
    <t>Buca di Beppo Italian Restaurant</t>
  </si>
  <si>
    <t>3 Station Sq</t>
  </si>
  <si>
    <t>_89bhQB_KjkJxTBn1A6iPA</t>
  </si>
  <si>
    <t>Event Planning &amp; Services, Coffee &amp; Tea, Caterers, Restaurants, Food, Salad, Sandwiches</t>
  </si>
  <si>
    <t>Cafe 808</t>
  </si>
  <si>
    <t>808 Penn Ave</t>
  </si>
  <si>
    <t>74gDxr6rs_8tUTcS1vkr0Q</t>
  </si>
  <si>
    <t>Bars, Speakeasies, American (New), Jazz &amp; Blues, Restaurants, Gastropubs, Arts &amp; Entertainment, Nightlife</t>
  </si>
  <si>
    <t>James Street Gastropub &amp; Speakeasy</t>
  </si>
  <si>
    <t>422 Foreland St</t>
  </si>
  <si>
    <t>pO-mDwu-vkU79Mp-DmI0Tw</t>
  </si>
  <si>
    <t>Food, Restaurants, Salad, Acai Bowls</t>
  </si>
  <si>
    <t>Crave a Bowl</t>
  </si>
  <si>
    <t>3712 Forbes Ave</t>
  </si>
  <si>
    <t>PIfqmSxZyjr9AGMuAbNBbw</t>
  </si>
  <si>
    <t>Chicken Wings, Restaurants, Soup, Thai</t>
  </si>
  <si>
    <t>Sawasdee Thai &amp; Sushi</t>
  </si>
  <si>
    <t>112 Abbeyville Rd</t>
  </si>
  <si>
    <t>XMNdO9lFw3lSPO4gCH_qvQ</t>
  </si>
  <si>
    <t>Restaurants, American (New), American (Traditional), Cocktail Bars, Bars, Nightlife</t>
  </si>
  <si>
    <t>Tender Bar &amp; Kitchen</t>
  </si>
  <si>
    <t>tdFv4HMVEuqebqjHtkZVdw</t>
  </si>
  <si>
    <t>American (Traditional), Barbeque, Restaurants</t>
  </si>
  <si>
    <t>Dukes Rib House &amp; Grille</t>
  </si>
  <si>
    <t>YWLkcMOx6YmCxDlLjBG8eA</t>
  </si>
  <si>
    <t>Bakeries, Sandwiches, Cafes, Food, Restaurants</t>
  </si>
  <si>
    <t>Great Harvest Bread Co</t>
  </si>
  <si>
    <t>6401 Penn Ave</t>
  </si>
  <si>
    <t>j87Y1hyifp-XHN5HuVtpPA</t>
  </si>
  <si>
    <t>Restaurants, Mexican, Ethnic Food, Food, Specialty Food, Grocery</t>
  </si>
  <si>
    <t>Reyna Foods</t>
  </si>
  <si>
    <t>2023 Penn Ave</t>
  </si>
  <si>
    <t>e-tVn_DJs_t8ZIeM0Sq36w</t>
  </si>
  <si>
    <t>American (New), Chicken Wings, Bars, Restaurants, Nightlife</t>
  </si>
  <si>
    <t>Bob's Lounge</t>
  </si>
  <si>
    <t>944 Greensburg Pike</t>
  </si>
  <si>
    <t>2UCXCbv7qaO3d8FfQd4Ing</t>
  </si>
  <si>
    <t>Pizza, Chicken Wings, Restaurants, Salad, Mediterranean</t>
  </si>
  <si>
    <t>Pizza Bellino</t>
  </si>
  <si>
    <t>5839 Forbes Ave</t>
  </si>
  <si>
    <t>_P_Hznxd1vF-agFXTS8KGw</t>
  </si>
  <si>
    <t>American (New), Restaurants, Chicken Wings</t>
  </si>
  <si>
    <t>Mohan's Restaurant</t>
  </si>
  <si>
    <t>7324 Saltsburg Rd</t>
  </si>
  <si>
    <t>A96UMn--KouLcMO6DUi8Ng</t>
  </si>
  <si>
    <t>Food, Pizza, Middle Eastern, Specialty Food, Greek, Ethnic Food, American (New), Restaurants</t>
  </si>
  <si>
    <t>Family Restaurant</t>
  </si>
  <si>
    <t>2614 Brownsville Rd</t>
  </si>
  <si>
    <t>HyvavSam_sME5Q3O3aR2Bg</t>
  </si>
  <si>
    <t>Bars, Hookah Bars, Food, Nightlife, Cafes, Sandwiches, Juice Bars &amp; Smoothies, Lounges, Restaurants</t>
  </si>
  <si>
    <t>Urban Hookah Lounge</t>
  </si>
  <si>
    <t>myJKusJSWeNT6XGm9nBO8A</t>
  </si>
  <si>
    <t>Rudy's Submarines</t>
  </si>
  <si>
    <t>270 Yost Blvd</t>
  </si>
  <si>
    <t>KQn6QpYML27vEjwqqB2Z9w</t>
  </si>
  <si>
    <t>American (New), Restaurants, Sandwiches, Sushi Bars</t>
  </si>
  <si>
    <t>Penn Cove Eatery</t>
  </si>
  <si>
    <t>245 7th St</t>
  </si>
  <si>
    <t>8ptBNZne8pV6X01pQBnpkQ</t>
  </si>
  <si>
    <t>Cafe Ola Appetite!</t>
  </si>
  <si>
    <t>801 N Negley Ave</t>
  </si>
  <si>
    <t>DCnU_ehDedwPMJLKlOECuw</t>
  </si>
  <si>
    <t>Soup, Bagels, Food, Breakfast &amp; Brunch, Sandwiches, Salad, Restaurants</t>
  </si>
  <si>
    <t>295 Settlers Ridge Dr</t>
  </si>
  <si>
    <t>1R0SfOQnSknw4wzrZGaFVw</t>
  </si>
  <si>
    <t>Restaurants, Soul Food</t>
  </si>
  <si>
    <t>Soul Food on Hamilton</t>
  </si>
  <si>
    <t>GNa1y5-b7u_5ary42o8-LQ</t>
  </si>
  <si>
    <t>Turkish, Restaurants, Delis</t>
  </si>
  <si>
    <t>339 Sixth Ave</t>
  </si>
  <si>
    <t>DOnn1M-8V1_iegwmzQoflQ</t>
  </si>
  <si>
    <t>Restaurants, Irish</t>
  </si>
  <si>
    <t>Molly Brannigans</t>
  </si>
  <si>
    <t>660 Washington Rd</t>
  </si>
  <si>
    <t>2VnPnlU4pH-3TyFf436Wzg</t>
  </si>
  <si>
    <t>Food, Pizza, Food Delivery Services, Restaurants</t>
  </si>
  <si>
    <t>LaNova Pizzaria</t>
  </si>
  <si>
    <t>1100 North Canal St</t>
  </si>
  <si>
    <t>aZdHskuurZJXQ6C7oiqP_g</t>
  </si>
  <si>
    <t>Diners, Restaurants</t>
  </si>
  <si>
    <t>Johnny's Diner</t>
  </si>
  <si>
    <t>1900 Woodville Ave</t>
  </si>
  <si>
    <t>Msq2CBPFaY7Fe7h7R20fOA</t>
  </si>
  <si>
    <t>Dragon Palace</t>
  </si>
  <si>
    <t>1714 Main St</t>
  </si>
  <si>
    <t>2NLyAZne2fH5zTHSBin92A</t>
  </si>
  <si>
    <t>Restaurants, Food, Grocery, Mediterranean</t>
  </si>
  <si>
    <t>Salonika Imports</t>
  </si>
  <si>
    <t>3509 Smallman St</t>
  </si>
  <si>
    <t>QrbS4LF0Iu5vApGAJLNzCA</t>
  </si>
  <si>
    <t>Prairie</t>
  </si>
  <si>
    <t>tIjoGxi2r6QvREucvQwZpA</t>
  </si>
  <si>
    <t>Soul Food, Chicken Wings, Restaurants, Barbeque</t>
  </si>
  <si>
    <t>The Dream BBQ</t>
  </si>
  <si>
    <t>7600 N Braddock Ave</t>
  </si>
  <si>
    <t>czJKX4DmZR_1JeRmPcnmbQ</t>
  </si>
  <si>
    <t>Restaurants, Shopping, Food, Mexican</t>
  </si>
  <si>
    <t>Las Palmas Carniceria</t>
  </si>
  <si>
    <t>700 Brookline Blvd</t>
  </si>
  <si>
    <t>qTwlLOpdGo9pQBbPJY2iRw</t>
  </si>
  <si>
    <t>Fadz Sandwich Shop</t>
  </si>
  <si>
    <t>633 Smithfield St</t>
  </si>
  <si>
    <t>5p38fkiNeNeCmunt6HlX-A</t>
  </si>
  <si>
    <t>Magoos Bar &amp; Bistro</t>
  </si>
  <si>
    <t>gfIVwp0RkM5yMa1u3mbB4Q</t>
  </si>
  <si>
    <t>Tea Rooms, Desserts, Coffee &amp; Tea, Sandwiches, Restaurants, Food</t>
  </si>
  <si>
    <t>Arnold's Tea</t>
  </si>
  <si>
    <t>502 E Ohio St</t>
  </si>
  <si>
    <t>5U6eSspKyHyaT7jAYpgWTw</t>
  </si>
  <si>
    <t>Pizza, Restaurants, Italian, Sandwiches</t>
  </si>
  <si>
    <t>Monte Cello's Downtown</t>
  </si>
  <si>
    <t>305 7th Ave</t>
  </si>
  <si>
    <t>_Tn9xzE06-7kDH2CzRg9YA</t>
  </si>
  <si>
    <t>City of Bridges Cafe</t>
  </si>
  <si>
    <t>LGlgphMiiSDNlwJAyl1QCw</t>
  </si>
  <si>
    <t>Restaurants, Sushi Bars</t>
  </si>
  <si>
    <t>Sushi House</t>
  </si>
  <si>
    <t>2130 Murray Ave</t>
  </si>
  <si>
    <t>YhHi-4bZfhjbS505OYi6iw</t>
  </si>
  <si>
    <t>Local Services, Soul Food, Caterers, Comfort Food, American (Traditional), Food, Community Service/Non-Profit, Restaurants, Grocery, Food Banks, Event Planning &amp; Services</t>
  </si>
  <si>
    <t>7 Senses</t>
  </si>
  <si>
    <t>531 N Homewood Ave</t>
  </si>
  <si>
    <t>b4Atbd4V8UKEoXzhbL-o5g</t>
  </si>
  <si>
    <t>Restaurants, Tobacco Shops, Coffee &amp; Tea, Shopping, Food</t>
  </si>
  <si>
    <t>Leaf &amp; Bean</t>
  </si>
  <si>
    <t>2200 Penn Ave</t>
  </si>
  <si>
    <t>keOzwoc28Iac5mA8FD93uA</t>
  </si>
  <si>
    <t>Restaurants, Barbeque, Soul Food</t>
  </si>
  <si>
    <t>Bama's Southern Kitchen</t>
  </si>
  <si>
    <t>600 Brookline Blvd</t>
  </si>
  <si>
    <t>mJ24zWo_FdE3_9v24sqFiw</t>
  </si>
  <si>
    <t>Sandwiches, Italian, Salad, Pizza, Restaurants</t>
  </si>
  <si>
    <t>Vento's Pizza</t>
  </si>
  <si>
    <t>420 N Highland Ave</t>
  </si>
  <si>
    <t>bITJXsOT4hCqahJc1dHMDQ</t>
  </si>
  <si>
    <t>My Big Fat Greek Gyro</t>
  </si>
  <si>
    <t>v3BLVPLRo2Egeak29B9lug</t>
  </si>
  <si>
    <t>Coriander India Grill</t>
  </si>
  <si>
    <t>2201 Murray Ave</t>
  </si>
  <si>
    <t>rzByiKaj-bLeLz-zKNBQdg</t>
  </si>
  <si>
    <t>Ice Cream &amp; Frozen Yogurt, Restaurants, Fast Food, Food</t>
  </si>
  <si>
    <t>Dairy Queen</t>
  </si>
  <si>
    <t>2795 Saw Mill Run Blvd</t>
  </si>
  <si>
    <t>Z9FR2A7RzBf1nxwRdlccJQ</t>
  </si>
  <si>
    <t>Walnut Grill</t>
  </si>
  <si>
    <t>JacuuWTDI4EU5-t7G6OIFw</t>
  </si>
  <si>
    <t>Emilia Romagna</t>
  </si>
  <si>
    <t>gypeQSuD8-09CtzkZSWfxw</t>
  </si>
  <si>
    <t>Ice Cream &amp; Frozen Yogurt, Restaurants, Food, American (New)</t>
  </si>
  <si>
    <t>Sincerely Yogurt</t>
  </si>
  <si>
    <t>Iam7tYWhssw_rscSBkeRIQ</t>
  </si>
  <si>
    <t>Fiori's Pizzaria</t>
  </si>
  <si>
    <t>103 Capital Ave</t>
  </si>
  <si>
    <t>eFos_qY9NM_zRdtKmN8fKA</t>
  </si>
  <si>
    <t>Restaurants, Breakfast &amp; Brunch, Sandwiches, Food, Bagels</t>
  </si>
  <si>
    <t>806 S Aiken Ave</t>
  </si>
  <si>
    <t>oeW0vIYd3rUnAPgmD4fEFg</t>
  </si>
  <si>
    <t>Breakfast &amp; Brunch, Diners, American (Traditional), Restaurants</t>
  </si>
  <si>
    <t>Deluca's Diner</t>
  </si>
  <si>
    <t>2015 Penn Ave</t>
  </si>
  <si>
    <t>7U73RqIg6JA0WThxWUV3uA</t>
  </si>
  <si>
    <t>Szechuan, Nightlife, Restaurants, Sushi Bars, Bars, Asian Fusion, Chinese, American (Traditional)</t>
  </si>
  <si>
    <t>Jade Grille</t>
  </si>
  <si>
    <t>670 Washington Rd</t>
  </si>
  <si>
    <t>M6MiFQqy9f2a1EI3x05pmg</t>
  </si>
  <si>
    <t>Bakeries, Food, Restaurants</t>
  </si>
  <si>
    <t>Potomac Bakery</t>
  </si>
  <si>
    <t>689 Washington Rd</t>
  </si>
  <si>
    <t>4hJHSMKyKJRl50k9EM6jkA</t>
  </si>
  <si>
    <t>Steakhouses, Restaurants</t>
  </si>
  <si>
    <t>Mantini's Woodfired</t>
  </si>
  <si>
    <t>1209 E Carson St</t>
  </si>
  <si>
    <t>VhEWjWUrcHFFNAyZN-TzyQ</t>
  </si>
  <si>
    <t>Vegan, Bakeries, Food, Gluten-Free, Restaurants, Desserts</t>
  </si>
  <si>
    <t>Gluuteny Bakery</t>
  </si>
  <si>
    <t>1923 Murray Ave</t>
  </si>
  <si>
    <t>F1vdFYr7P4Xb3uAQ2AYgzQ</t>
  </si>
  <si>
    <t>Japanese, Szechuan, Asian Fusion, Sushi Bars, Chinese, Dim Sum, Restaurants</t>
  </si>
  <si>
    <t>Empire Palace Asian Restaurant and Bar</t>
  </si>
  <si>
    <t>5100 Corporate Dr</t>
  </si>
  <si>
    <t>kKFUNcLklJ54zZNUk-7yjQ</t>
  </si>
  <si>
    <t>American (New), Food, Desserts, Restaurants</t>
  </si>
  <si>
    <t>Gullifty's Restaurant</t>
  </si>
  <si>
    <t>1922 Murray Ave</t>
  </si>
  <si>
    <t>8B1Hi9253IICz8-5Aw5qrw</t>
  </si>
  <si>
    <t>Gelato, Cocktail Bars, Italian, Pasta Shops, Specialty Food, Food, Nightlife, Tapas/Small Plates, Restaurants, Bars, Beer, Wine &amp; Spirits</t>
  </si>
  <si>
    <t>Spork</t>
  </si>
  <si>
    <t>vx5CbYuuIq_CHxjov5kj1w</t>
  </si>
  <si>
    <t>Cambodian, Seafood, Asian Fusion, Restaurants</t>
  </si>
  <si>
    <t>Cambod-Ican Kitchen</t>
  </si>
  <si>
    <t>1701 E Carson St</t>
  </si>
  <si>
    <t>Nx5RAT-7gDz2C5Kh2WwJPQ</t>
  </si>
  <si>
    <t>Seafood, Restaurants, American (Traditional)</t>
  </si>
  <si>
    <t>259 Clairton Blvd</t>
  </si>
  <si>
    <t>bhVReN50h-lLfgIWA5Ovgg</t>
  </si>
  <si>
    <t>Food, Italian, Restaurants, Sandwiches, Cheesesteaks</t>
  </si>
  <si>
    <t>4815 Centre Ave, Ste 102</t>
  </si>
  <si>
    <t>S_VoH2qPxjm5l3MeuCgunw</t>
  </si>
  <si>
    <t>Fast Food, Tex-Mex, Restaurants, Mexican</t>
  </si>
  <si>
    <t>1603 S Braddock Ave</t>
  </si>
  <si>
    <t>QaFhHwtJf64AZIzqAujFxw</t>
  </si>
  <si>
    <t>Burgers, Pizza, Breakfast &amp; Brunch, Restaurants, Italian</t>
  </si>
  <si>
    <t>Joe &amp; Pie Cafe Pizzeria</t>
  </si>
  <si>
    <t>5474 Campbells Run Rd</t>
  </si>
  <si>
    <t>ZpymIplQK7xrgb9VTa6O2w</t>
  </si>
  <si>
    <t>Sandwiches, Bagels, Restaurants, Breakfast &amp; Brunch, Food</t>
  </si>
  <si>
    <t>1801 East Carson St</t>
  </si>
  <si>
    <t>7waMQSqPcbSSAInazaQPxg</t>
  </si>
  <si>
    <t>Sandwiches, Food Trucks, Restaurants, Breakfast &amp; Brunch, Food Stands, Food</t>
  </si>
  <si>
    <t>Wise County Biscuits</t>
  </si>
  <si>
    <t>4mYS-4UOjTKgsf0tX1_IkQ</t>
  </si>
  <si>
    <t>Restaurants, Cafes, Vietnamese, Bubble Tea, Food</t>
  </si>
  <si>
    <t>Banh Mi &amp; Ti</t>
  </si>
  <si>
    <t>4502 Butler St</t>
  </si>
  <si>
    <t>30ibZa6RLsrdhmCUeoS7tQ</t>
  </si>
  <si>
    <t>Burgers, Barbeque, American (Traditional), Sandwiches, Restaurants, Steakhouses</t>
  </si>
  <si>
    <t>Texas Roadhouse</t>
  </si>
  <si>
    <t>8650 Duncan Ave</t>
  </si>
  <si>
    <t>lnd23oqCb7v8lt9zd4K8sg</t>
  </si>
  <si>
    <t>Breakfast &amp; Brunch, Coffee &amp; Tea, Bakeries, Food, Cafes, Restaurants, Juice Bars &amp; Smoothies, Bagels</t>
  </si>
  <si>
    <t>Gasoline Street Coffee</t>
  </si>
  <si>
    <t>643 1st Ave</t>
  </si>
  <si>
    <t>0fkjHTNaMCT4FjZqaa4euA</t>
  </si>
  <si>
    <t>Original Milano's Pizza</t>
  </si>
  <si>
    <t>3606 5th Ave</t>
  </si>
  <si>
    <t>E8duZ9YKVLn_n75lYY3Hyw</t>
  </si>
  <si>
    <t>Venues &amp; Event Spaces, Food, Hotels &amp; Travel, Active Life, Restaurants, Wine Tours, Tours, Event Planning &amp; Services, Beer, Wine &amp; Spirits</t>
  </si>
  <si>
    <t>Engine House 25</t>
  </si>
  <si>
    <t>3339 Penn Ave</t>
  </si>
  <si>
    <t>8MSzI-4KJHpGBLiILkrtVg</t>
  </si>
  <si>
    <t>Restaurants, Japanese</t>
  </si>
  <si>
    <t>Ichiban</t>
  </si>
  <si>
    <t>1160 Park Manor Blvd</t>
  </si>
  <si>
    <t>QiZCMGZEwVtg1ybOKybLhQ</t>
  </si>
  <si>
    <t>Japanese, Restaurants, Vietnamese, Chinese</t>
  </si>
  <si>
    <t>Kanda House</t>
  </si>
  <si>
    <t>258 N Craig St</t>
  </si>
  <si>
    <t>7odNqxZDSR6ZVgxjp2r39A</t>
  </si>
  <si>
    <t>Pizza, Italian, Bars, Nightlife, Restaurants, Wine Bars</t>
  </si>
  <si>
    <t>Mezzo</t>
  </si>
  <si>
    <t>942 Penn Ave, Fl 2</t>
  </si>
  <si>
    <t>GE4ayzlAHlTJEYnRAojZyA</t>
  </si>
  <si>
    <t>Restaurants, Delis, Cafes</t>
  </si>
  <si>
    <t>Keystone Cafe &amp; Deli</t>
  </si>
  <si>
    <t>339 Sixth Ave, Ste 1</t>
  </si>
  <si>
    <t>85iB_0J9lCRI7jRtmsAlQA</t>
  </si>
  <si>
    <t>Restaurants, American (Traditional), Nightlife, Lounges, Bars</t>
  </si>
  <si>
    <t>Bobby's Lounge</t>
  </si>
  <si>
    <t>3304 Saw Mill Run Blvd</t>
  </si>
  <si>
    <t>qLy2F9EzCsFYIKd40OJvZA</t>
  </si>
  <si>
    <t>Restaurants, Seafood, Steakhouses, American (New)</t>
  </si>
  <si>
    <t>Red The Steakhouse</t>
  </si>
  <si>
    <t>600 Grant St, US Steel Tower</t>
  </si>
  <si>
    <t>pmePpiiObQzWZfgWV2POoQ</t>
  </si>
  <si>
    <t>Dunning's Grill</t>
  </si>
  <si>
    <t>1100 S Braddock Ave</t>
  </si>
  <si>
    <t>DQmEQkOhR4AwifvRPKqz_g</t>
  </si>
  <si>
    <t>Sushi &amp; Rolls</t>
  </si>
  <si>
    <t>301 Grant St, Ste 3</t>
  </si>
  <si>
    <t>jDZJsIyc3jXjcTtJk_p8ZA</t>
  </si>
  <si>
    <t>Orient Express</t>
  </si>
  <si>
    <t>4609 Forbes Ave</t>
  </si>
  <si>
    <t>ZNdV9ytExuxPTXSN8i2xhw</t>
  </si>
  <si>
    <t>Burgers, British, Restaurants, Tapas/Small Plates, Indian, Breakfast &amp; Brunch, Bars, Cocktail Bars, Nightlife</t>
  </si>
  <si>
    <t>Needle and Pin</t>
  </si>
  <si>
    <t>3271 W Liberty Ave</t>
  </si>
  <si>
    <t>N7Gg7XElIaB45CJbkhDuDA</t>
  </si>
  <si>
    <t>Coffee &amp; Tea, Food, Restaurants</t>
  </si>
  <si>
    <t>Fifth Avenue Beanery</t>
  </si>
  <si>
    <t>5TH Avenue Pl</t>
  </si>
  <si>
    <t>TOx5fU8QDEOVx5HpMjwpcw</t>
  </si>
  <si>
    <t>Greek, Restaurants, Polish</t>
  </si>
  <si>
    <t>Knossos Gyros &amp; Sis-Kabob</t>
  </si>
  <si>
    <t>1439 Potomac Ave</t>
  </si>
  <si>
    <t>v_gCDktW0mMf7pf-jktKzw</t>
  </si>
  <si>
    <t>Food, Restaurants, Coffee &amp; Tea</t>
  </si>
  <si>
    <t>7 Market Square</t>
  </si>
  <si>
    <t>Sh7ok5ymVZhFZ7GJXb6Ybg</t>
  </si>
  <si>
    <t>In-N-Out Pizza Cafe</t>
  </si>
  <si>
    <t>5500 Steubenville Pike</t>
  </si>
  <si>
    <t>x_AmiOc8DPAyHe5VeoDYEw</t>
  </si>
  <si>
    <t>Burgers, Steakhouses, Restaurants, American (Traditional), Sports Bars, Nightlife, Bars</t>
  </si>
  <si>
    <t>1601 S Braddock Ave, Edgewood Towne Centre</t>
  </si>
  <si>
    <t>a6iD1btU3fo6P6UV-YFLsw</t>
  </si>
  <si>
    <t>Nightlife, Tapas/Small Plates, Lounges, Mediterranean, Restaurants, Bars</t>
  </si>
  <si>
    <t>Truth Lounge</t>
  </si>
  <si>
    <t>51 S 12th St</t>
  </si>
  <si>
    <t>9cQ5nhSJJJ9tWDn119QAEA</t>
  </si>
  <si>
    <t>Restaurants, Bars, Nightlife</t>
  </si>
  <si>
    <t>Satalio's Inc</t>
  </si>
  <si>
    <t>27 Bailey Ave</t>
  </si>
  <si>
    <t>KBBXaD0FXDTpFuTuSJ6yHA</t>
  </si>
  <si>
    <t>Sandwiches, Sports Bars, Chicken Wings, Bars, Nightlife, Burgers, Steakhouses, American (Traditional), Restaurants</t>
  </si>
  <si>
    <t>3440 William Penn Hwy</t>
  </si>
  <si>
    <t>z4EIzLJlGd7gyje1Q_hKtw</t>
  </si>
  <si>
    <t>Pizza, Restaurants, American (New), Mexican</t>
  </si>
  <si>
    <t>Federal Galley</t>
  </si>
  <si>
    <t>2YA_V5NMOQ3vBwyMKtQ95Q</t>
  </si>
  <si>
    <t>Dinner Theater, Restaurants, Nightlife, Comedy Clubs, Performing Arts, Arts &amp; Entertainment</t>
  </si>
  <si>
    <t>The Dinner Detective</t>
  </si>
  <si>
    <t>pAqgiVcOY5mPouuEW96R0g</t>
  </si>
  <si>
    <t>Bars, Food, American (Traditional), Arts &amp; Entertainment, Dance Clubs, Nightlife, Cocktail Bars, Music Venues, Gay Bars, Pizza, Restaurants</t>
  </si>
  <si>
    <t>Cattivo</t>
  </si>
  <si>
    <t>146 44th St</t>
  </si>
  <si>
    <t>kJQbc861Qvm_HsNofAahDA</t>
  </si>
  <si>
    <t>Restaurants, Burgers, Fast Food, Food, Hot Dogs</t>
  </si>
  <si>
    <t>Five Guys</t>
  </si>
  <si>
    <t>3 Ppg Pl</t>
  </si>
  <si>
    <t>5RVbdMA1oVz7GCOIwn1Z3Q</t>
  </si>
  <si>
    <t>7619 1/2 Penn Ave</t>
  </si>
  <si>
    <t>B-myMqxqAYvU1G0DA-O7SQ</t>
  </si>
  <si>
    <t>Mediterranean, Food Delivery Services, Restaurants, Italian, Pizza, Food</t>
  </si>
  <si>
    <t>Angelina's Pizzeria</t>
  </si>
  <si>
    <t>3263 W Liberty Ave</t>
  </si>
  <si>
    <t>GwcWB_uDN6ppuk_V8x7iww</t>
  </si>
  <si>
    <t>American (Traditional), Diners, Restaurants, Breakfast &amp; Brunch</t>
  </si>
  <si>
    <t>Nicky's Grant Street</t>
  </si>
  <si>
    <t>310 Grant St, Ste 100</t>
  </si>
  <si>
    <t>fxZOOJtT6Zau7Asmppigkg</t>
  </si>
  <si>
    <t>Event Planning &amp; Services, Caterers, Italian, Food, Greek, Restaurants, Pizza, Food Delivery Services, Sandwiches</t>
  </si>
  <si>
    <t>Potenza Pizza and Pasta</t>
  </si>
  <si>
    <t>lzjnPNA1ALVpWCo_ygRatw</t>
  </si>
  <si>
    <t>Hot Dogs, Restaurants, American (New), Food</t>
  </si>
  <si>
    <t>Nathan's Famous</t>
  </si>
  <si>
    <t>ztbLCSo15CMqt18D6f0x5A</t>
  </si>
  <si>
    <t>Lilly's Gourmet Pasta Express</t>
  </si>
  <si>
    <t>5860 Forbes Ave</t>
  </si>
  <si>
    <t>CS3ykvbERsTrVxL9HPoCOw</t>
  </si>
  <si>
    <t>1720 Washington Rd</t>
  </si>
  <si>
    <t>D2nfOrnJ2OBlX_428sKyMg</t>
  </si>
  <si>
    <t>Italian, Comfort Food, Restaurants, Noodles, American (New), Mediterranean, Asian Fusion</t>
  </si>
  <si>
    <t>Noodles &amp; Company</t>
  </si>
  <si>
    <t>476 McMaster Way</t>
  </si>
  <si>
    <t>vfdoTS7wDNjK0ZV2ngPp0w</t>
  </si>
  <si>
    <t>Greek, Middle Eastern, Mediterranean, Breakfast &amp; Brunch, Restaurants</t>
  </si>
  <si>
    <t>Gypsy Cafe</t>
  </si>
  <si>
    <t>1330 Bingham St</t>
  </si>
  <si>
    <t>H5PdoEWleg9uDU67ZAy6JA</t>
  </si>
  <si>
    <t>Arts &amp; Entertainment, Food, Restaurants, Vegan, Venues &amp; Event Spaces, Music Venues, Cocktail Bars, Event Planning &amp; Services, Lounges, Juice Bars &amp; Smoothies, Cafes, Coffee &amp; Tea, Dance Clubs, Nightlife, Bars</t>
  </si>
  <si>
    <t>Mixtape</t>
  </si>
  <si>
    <t>4907 Penn Ave</t>
  </si>
  <si>
    <t>KSw3FAh5d5Q3PdFO1Gevmw</t>
  </si>
  <si>
    <t>Fast Food, Restaurants, Diners</t>
  </si>
  <si>
    <t>Steel City Diner</t>
  </si>
  <si>
    <t>1M6tA3TqxcpptHW0_hP9Kw</t>
  </si>
  <si>
    <t>Restaurants, Vegetarian, Nightlife, Bars, Arts &amp; Entertainment, Dive Bars, Vegan, Music Venues</t>
  </si>
  <si>
    <t>Brillobox</t>
  </si>
  <si>
    <t>4104 Penn Ave</t>
  </si>
  <si>
    <t>5cWPgytHCuPq0poBz7r5sw</t>
  </si>
  <si>
    <t>Jb's Pizza Place</t>
  </si>
  <si>
    <t>2513 Transport St</t>
  </si>
  <si>
    <t>aAkoJKozYZEyBx58wQ-UrQ</t>
  </si>
  <si>
    <t>Restaurants, Food, Smokehouse, Barbeque, Hair Salons, Beauty &amp; Spas</t>
  </si>
  <si>
    <t>Jabo's Smoke House and Saloon</t>
  </si>
  <si>
    <t>4428 Liberty Ave</t>
  </si>
  <si>
    <t>j5TMmDVFNkoq629hS_78Gw</t>
  </si>
  <si>
    <t>Restaurants, Nightlife, Beer, Wine &amp; Spirits, Food, American (New), Bars</t>
  </si>
  <si>
    <t>PJ's Grille &amp; Bar</t>
  </si>
  <si>
    <t>Ku4iZZ9hvKHd2u2yzoFj0A</t>
  </si>
  <si>
    <t>Food Delivery Services, Food, Local Flavor, American (New), Restaurants</t>
  </si>
  <si>
    <t>Muscle Maker Grill</t>
  </si>
  <si>
    <t>2767 E Carson St</t>
  </si>
  <si>
    <t>tQRcO-C-5gZxxUo9lHbexg</t>
  </si>
  <si>
    <t>Breakfast &amp; Brunch, Restaurants, American (New)</t>
  </si>
  <si>
    <t>Pie For Breakfast</t>
  </si>
  <si>
    <t>200 North Craig St</t>
  </si>
  <si>
    <t>T94qlaU0F25I44GuQsxJew</t>
  </si>
  <si>
    <t>Isabela On Grandview</t>
  </si>
  <si>
    <t>1318 Grandview Ave</t>
  </si>
  <si>
    <t>heYShXdxU_RVoDcGGGkn5Q</t>
  </si>
  <si>
    <t>American (Traditional), Cafes, Restaurants</t>
  </si>
  <si>
    <t>Smithfield Cafe</t>
  </si>
  <si>
    <t>639 Smithfield St</t>
  </si>
  <si>
    <t>9eqZNBLnNycOWQ2wQEwulQ</t>
  </si>
  <si>
    <t>Bars, Restaurants, American (Traditional), Gastropubs, Cocktail Bars, Pizza, Nightlife, Dance Clubs</t>
  </si>
  <si>
    <t>The Flats on Carson</t>
  </si>
  <si>
    <t>1500 E Carson St</t>
  </si>
  <si>
    <t>VveJgvCshJios_o-zwKJIw</t>
  </si>
  <si>
    <t>705 Allegheny Avenue</t>
  </si>
  <si>
    <t>rc9SfYli96cnlPDMyJ7hyA</t>
  </si>
  <si>
    <t>Steakhouses, American (Traditional), Restaurants, American (New), Barbeque</t>
  </si>
  <si>
    <t>9150 Covenant Ave</t>
  </si>
  <si>
    <t>hODnmsq1kK6eA0VLbFQOVw</t>
  </si>
  <si>
    <t>Nightlife, Gluten-Free, Restaurants, Bars, Italian, Cocktail Bars</t>
  </si>
  <si>
    <t>BRAVO! Cucina Italiana</t>
  </si>
  <si>
    <t>4976 McKnight Rd</t>
  </si>
  <si>
    <t>_QkGfsQaQbuyUf-hy_2muw</t>
  </si>
  <si>
    <t>Original Milano's Pizza East Side</t>
  </si>
  <si>
    <t>6004 Centre Ave</t>
  </si>
  <si>
    <t>LkPQmCF3k6iDqBLY7bsE5Q</t>
  </si>
  <si>
    <t>Nightlife, Pubs, Bars, Food, Beer, Wine &amp; Spirits, Restaurants</t>
  </si>
  <si>
    <t>The Blind Pig</t>
  </si>
  <si>
    <t>2210 E Carson St</t>
  </si>
  <si>
    <t>MU8xA_S8gqobnDq8d2nsQg</t>
  </si>
  <si>
    <t>Damon's Grill &amp; Sports Bar</t>
  </si>
  <si>
    <t>5205 Campbells Run Rd</t>
  </si>
  <si>
    <t>fC9g9BIyb0GTQFqnE38beA</t>
  </si>
  <si>
    <t>My Dogz on the Run</t>
  </si>
  <si>
    <t>Four Gateway Ctr</t>
  </si>
  <si>
    <t>Fa2gj48WwaEPuKW_Lj9MwQ</t>
  </si>
  <si>
    <t>Soul Food, Restaurants, Chicken Wings, Seafood</t>
  </si>
  <si>
    <t>11 Ormsby Ave</t>
  </si>
  <si>
    <t>8FuzQ8WN5WKpBbyT2wBlYA</t>
  </si>
  <si>
    <t>Sandwiches, Burgers, Restaurants, American (Traditional)</t>
  </si>
  <si>
    <t>The Elbow Room</t>
  </si>
  <si>
    <t>d6zooCvFxThM1SGye7JJfQ</t>
  </si>
  <si>
    <t>Campus Deli</t>
  </si>
  <si>
    <t>400 Semple St</t>
  </si>
  <si>
    <t>SrzJZMB_WXFAAzBdipKOWw</t>
  </si>
  <si>
    <t>Abruzzi's</t>
  </si>
  <si>
    <t>20 S 10th St</t>
  </si>
  <si>
    <t>9vaCqmQ56EtUyj6PV8_D8A</t>
  </si>
  <si>
    <t>Restaurants, Mexican, Vegetarian</t>
  </si>
  <si>
    <t>Rey Azteca</t>
  </si>
  <si>
    <t>kiz4xELBxC8tQtr4uBtM3A</t>
  </si>
  <si>
    <t>Burgers, Sandwiches, Restaurants, Greek</t>
  </si>
  <si>
    <t>Tom's Diner</t>
  </si>
  <si>
    <t>wJ4lFz3o1HGJ4wNCCsQTQQ</t>
  </si>
  <si>
    <t>Shopping, Restaurants, Cafes</t>
  </si>
  <si>
    <t>The Zone</t>
  </si>
  <si>
    <t>5217 Butler St</t>
  </si>
  <si>
    <t>HPX1pRtWInt_UVtfld-zsQ</t>
  </si>
  <si>
    <t>Food, Bakeries, Restaurants, Coffee &amp; Tea, Cafes</t>
  </si>
  <si>
    <t>Chateau CafÃƒÂ© &amp; Cakery</t>
  </si>
  <si>
    <t>1501 Preble Ave, Fl 1</t>
  </si>
  <si>
    <t>Zz2AwpjN3HA1-L_XUC5R9g</t>
  </si>
  <si>
    <t>Food, Restaurants, Food Trucks, Pizza</t>
  </si>
  <si>
    <t>Driftwood Oven</t>
  </si>
  <si>
    <t>3615 Butler St</t>
  </si>
  <si>
    <t>kGGsHP9mfcxtofiswy7ItQ</t>
  </si>
  <si>
    <t>Soup, Restaurants, Breakfast &amp; Brunch, Coffee &amp; Tea, Bagels, Food, Bakeries, Salad, Sandwiches</t>
  </si>
  <si>
    <t>1900 Greentree Rd</t>
  </si>
  <si>
    <t>AZ_iSVHQdBiCTnMolLTg3Q</t>
  </si>
  <si>
    <t>Chinese, Asian Fusion, Buffets, Restaurants</t>
  </si>
  <si>
    <t>China Buffet</t>
  </si>
  <si>
    <t>vSXum5CZEgnouVyPo5BTWA</t>
  </si>
  <si>
    <t>Burgers, Gluten-Free, Restaurants, Salad, Sandwiches, Pizza</t>
  </si>
  <si>
    <t>Pizza 412</t>
  </si>
  <si>
    <t>2080 Saw Mill Run Blvd</t>
  </si>
  <si>
    <t>Food Delivery Services, Food, Pizza, Restaurants, Sandwiches</t>
  </si>
  <si>
    <t>Sola Pizza</t>
  </si>
  <si>
    <t>1417 E Carson St</t>
  </si>
  <si>
    <t>MPjwZL8DHKCEbFw8LYiAIA</t>
  </si>
  <si>
    <t>1343 W Liberty Ave</t>
  </si>
  <si>
    <t>5oc3Jva4wWS4O44a-0Jd8Q</t>
  </si>
  <si>
    <t>Bakeries, Restaurants, Food, Pizza</t>
  </si>
  <si>
    <t>Bread and Salt</t>
  </si>
  <si>
    <t>330 Pearl St</t>
  </si>
  <si>
    <t>VvMdpGdwnUCSmWYkNeMDJQ</t>
  </si>
  <si>
    <t>American (Traditional), Restaurants, Event Planning &amp; Services, Venues &amp; Event Spaces, American (New), Lounges, Bars, Nightlife</t>
  </si>
  <si>
    <t>Lexus Club at PNC Park</t>
  </si>
  <si>
    <t>gAe_dOlcAd6tEXDUXNiwOA</t>
  </si>
  <si>
    <t>Chicken Shop, Restaurants</t>
  </si>
  <si>
    <t>Bird On The Run</t>
  </si>
  <si>
    <t>128 S Highland Ave</t>
  </si>
  <si>
    <t>9ScF7Bl_XXKBMjawtuBvNQ</t>
  </si>
  <si>
    <t>Restaurants, Cuban</t>
  </si>
  <si>
    <t>Black Bean Cuban Cuisine</t>
  </si>
  <si>
    <t>239 Atwood St</t>
  </si>
  <si>
    <t>9YhEuxUPnqadrG58ewa2Dg</t>
  </si>
  <si>
    <t>Fish Nor Fowl</t>
  </si>
  <si>
    <t>5523 Penn Ave</t>
  </si>
  <si>
    <t>HmI9nhgOkrXlUr6KZGZZew</t>
  </si>
  <si>
    <t>Sandwiches, Italian, Food, Mexican, Breakfast &amp; Brunch, Restaurants, Diners</t>
  </si>
  <si>
    <t>Rocky's</t>
  </si>
  <si>
    <t>4759 Liberty Ave</t>
  </si>
  <si>
    <t>uqNCIsAUgH0YxIXq5BWYTA</t>
  </si>
  <si>
    <t>Quiznos</t>
  </si>
  <si>
    <t>300 S Craig St</t>
  </si>
  <si>
    <t>0OkfU0vDBprsIEd5hWuhAQ</t>
  </si>
  <si>
    <t>Restaurants, Sandwiches, Food, American (New), Desserts</t>
  </si>
  <si>
    <t>Simple Gourmet</t>
  </si>
  <si>
    <t>2203 1/2 Ardmore Blvd</t>
  </si>
  <si>
    <t>NcNzTKVatkbRkD_G8A891A</t>
  </si>
  <si>
    <t>Thai, Restaurants, Tapas Bars</t>
  </si>
  <si>
    <t>Silk Elephant</t>
  </si>
  <si>
    <t>1712 Murray Ave</t>
  </si>
  <si>
    <t>oi4dg_m1NBpXRDQN3qkN9Q</t>
  </si>
  <si>
    <t>Food, Restaurants, Bakeries</t>
  </si>
  <si>
    <t>535 Smithfield St</t>
  </si>
  <si>
    <t>zG9306XlgO9EyIhSpBBw0Q</t>
  </si>
  <si>
    <t>Restaurants, Burgers, Fast Food</t>
  </si>
  <si>
    <t>909 Butler St</t>
  </si>
  <si>
    <t>hHgSUnDB9yIrxUEMSmsdoQ</t>
  </si>
  <si>
    <t>Salad, Restaurants, Italian, Wraps</t>
  </si>
  <si>
    <t>Piada Italian Street Food</t>
  </si>
  <si>
    <t>3600 Forbes Ave</t>
  </si>
  <si>
    <t>s36Rk0jd78z75LaqifnU3Q</t>
  </si>
  <si>
    <t>3448 William Penn Hwy</t>
  </si>
  <si>
    <t>LdJljAqDu3UcIZldHcvJSQ</t>
  </si>
  <si>
    <t>Emiliano's Restaurante &amp; Cantina</t>
  </si>
  <si>
    <t>8600 McKnight Rd</t>
  </si>
  <si>
    <t>9j3Lcsbng3Zx3f069S3d1A</t>
  </si>
  <si>
    <t>1039 Freeport Rd</t>
  </si>
  <si>
    <t>v84O7YwkMuwIH8xReJ0xYg</t>
  </si>
  <si>
    <t>Papa John's</t>
  </si>
  <si>
    <t>11700 Frankstown Rd</t>
  </si>
  <si>
    <t>mG5gV8OWUTp21vLQqmoFFQ</t>
  </si>
  <si>
    <t>Uncle Sam's Submarines</t>
  </si>
  <si>
    <t>210 Oakland Ave</t>
  </si>
  <si>
    <t>mdKSq2mfp1M8tfbjmbyv4Q</t>
  </si>
  <si>
    <t>Food, Specialty Food, Bakeries, Restaurants, Cafes</t>
  </si>
  <si>
    <t>Loafers Bread Co</t>
  </si>
  <si>
    <t>1153 Freeport Rd</t>
  </si>
  <si>
    <t>xIhvXZPel8MZ4NFzoqGYxg</t>
  </si>
  <si>
    <t>Hot Dogs, Burgers, Restaurants, Food Trucks, Food</t>
  </si>
  <si>
    <t>BullDawg's</t>
  </si>
  <si>
    <t>317 S Evaline</t>
  </si>
  <si>
    <t>M9JpXoyxm_ZFY1zVmHgwTA</t>
  </si>
  <si>
    <t>Au Bon Pain</t>
  </si>
  <si>
    <t>347 6th Ave</t>
  </si>
  <si>
    <t>HuJL373IQ-rrTPKMpa6iww</t>
  </si>
  <si>
    <t>Bruceton Station</t>
  </si>
  <si>
    <t>1152 Cochrans Mill Rd</t>
  </si>
  <si>
    <t>g6OnbXvrky8HTtRFWVL_bQ</t>
  </si>
  <si>
    <t>45 Foster Ave</t>
  </si>
  <si>
    <t>MYyJ9orpiRq0prjVq4ku7w</t>
  </si>
  <si>
    <t>Italian, Pizza, Chicken Wings, Restaurants</t>
  </si>
  <si>
    <t>Pizza Fiesta</t>
  </si>
  <si>
    <t>1YC7AbQMlNb5mLUlwwaa3w</t>
  </si>
  <si>
    <t>Pizza, Chicken Wings, Barbeque, Beer Bar, Nightlife, Restaurants, Bars</t>
  </si>
  <si>
    <t>Bites and Brews</t>
  </si>
  <si>
    <t>Lyn5sYu1rfxdmntbaOoZJg</t>
  </si>
  <si>
    <t>Nightlife, Restaurants, Sports Bars, Casinos, Steakhouses, Bars, Arts &amp; Entertainment</t>
  </si>
  <si>
    <t>Rivers Casino</t>
  </si>
  <si>
    <t>RBiTzpD2em9zKwKTMNFoZQ</t>
  </si>
  <si>
    <t>BRGR</t>
  </si>
  <si>
    <t>_R1jBQQieKpNGMBqmrLRyA</t>
  </si>
  <si>
    <t>Restaurants, Cajun/Creole</t>
  </si>
  <si>
    <t>NOLA</t>
  </si>
  <si>
    <t>24 Market Sq</t>
  </si>
  <si>
    <t>IcrFc5IwCcKyGbVmgWjVjg</t>
  </si>
  <si>
    <t>Red Dragon</t>
  </si>
  <si>
    <t>213 S Highland Ave</t>
  </si>
  <si>
    <t>xCcg7KsIxRpYp0-Hxo0prw</t>
  </si>
  <si>
    <t>La Cucina Flegrea Regional Italian Cuisine</t>
  </si>
  <si>
    <t>2114 Murray Ave</t>
  </si>
  <si>
    <t>PeATTp15Y_ExaN6mR1dmKw</t>
  </si>
  <si>
    <t>Restaurants, Steakhouses, Chicken Wings, Nightlife, Bars, American (Traditional), Sports Bars</t>
  </si>
  <si>
    <t>Quaker Steak &amp; Lube</t>
  </si>
  <si>
    <t>110 Andrew Dr</t>
  </si>
  <si>
    <t>fE9qwymLDKUvTXiF99jNNQ</t>
  </si>
  <si>
    <t>Lounges, Nightlife, Bars, Restaurants, American (Traditional)</t>
  </si>
  <si>
    <t>One 10 Lounge</t>
  </si>
  <si>
    <t>110 Smithfield St</t>
  </si>
  <si>
    <t>8dAmtiVtZjiRTmDq9QAW5w</t>
  </si>
  <si>
    <t>Middle Eastern, Mediterranean, Lebanese, Restaurants</t>
  </si>
  <si>
    <t>Kabob-G Grill</t>
  </si>
  <si>
    <t>3821 Willow Ave</t>
  </si>
  <si>
    <t>toc31C-Qy2smSq0A7Q8FgA</t>
  </si>
  <si>
    <t>Chinese, Soup, Breakfast &amp; Brunch, Restaurants, Noodles</t>
  </si>
  <si>
    <t>China Lin</t>
  </si>
  <si>
    <t>5500 Butler St</t>
  </si>
  <si>
    <t>WBwB_ydYDNHwwd5U2U8UvQ</t>
  </si>
  <si>
    <t>Restaurants, Fast Food, Food, Food Delivery Services, Sandwiches, Delis</t>
  </si>
  <si>
    <t>1027 Penn Ave</t>
  </si>
  <si>
    <t>T-4MZRvKlF3VLDcjCqqFEg</t>
  </si>
  <si>
    <t>Pan Asian</t>
  </si>
  <si>
    <t>yGwEJqqI9oLsRuliqDRAlg</t>
  </si>
  <si>
    <t>Delis, Convenience Stores, Breakfast &amp; Brunch, Restaurants, Food, Diners, Pizza, Burgers</t>
  </si>
  <si>
    <t>Shop-n-Go Deli</t>
  </si>
  <si>
    <t>6001 Buttermilk Hollow Rd</t>
  </si>
  <si>
    <t>yo6Ewp9hobvoHbIPXlpRzg</t>
  </si>
  <si>
    <t>Food, Sandwiches, Restaurants, Specialty Food, Bagels, Delis</t>
  </si>
  <si>
    <t>Bagel Factory</t>
  </si>
  <si>
    <t>5885 Forbes Ave</t>
  </si>
  <si>
    <t>eC-duRpbiVsCD14oGYiDOA</t>
  </si>
  <si>
    <t>Asian Fusion, Restaurants, Chinese, Sushi Bars, Japanese, Thai</t>
  </si>
  <si>
    <t>Restaurant Hana</t>
  </si>
  <si>
    <t>GGEeGKUez_pGqYXtk-sKvQ</t>
  </si>
  <si>
    <t>Breakfast &amp; Brunch, Restaurants, Diners, American (Traditional)</t>
  </si>
  <si>
    <t>2400 Smallman St</t>
  </si>
  <si>
    <t>D60IfSLfKA32Et3cvR-t3A</t>
  </si>
  <si>
    <t>Bob's Diner</t>
  </si>
  <si>
    <t>1870 Painters Run Rd</t>
  </si>
  <si>
    <t>FsDogwXYckKUgs5VUoPbJw</t>
  </si>
  <si>
    <t>Sandwiches, Restaurants, Chicken Wings, Pizza</t>
  </si>
  <si>
    <t>Frisch's</t>
  </si>
  <si>
    <t>ym7uH6ZpCfKQ1Of7eaYGCA</t>
  </si>
  <si>
    <t>Donte's Pizzeria</t>
  </si>
  <si>
    <t>6409 Brownsville Rd</t>
  </si>
  <si>
    <t>gu_yLQWygwzkwBOCpSj-Kg</t>
  </si>
  <si>
    <t>Wraps, Burgers, Pizza, Restaurants</t>
  </si>
  <si>
    <t>Azimers Pizza Place</t>
  </si>
  <si>
    <t>EDyR9OIMV6reKmqdPTRJvw</t>
  </si>
  <si>
    <t>Hotels &amp; Travel, Event Planning &amp; Services, Restaurants, Hotels, Venues &amp; Event Spaces</t>
  </si>
  <si>
    <t>Holiday Inn</t>
  </si>
  <si>
    <t>100 Lytton Ave</t>
  </si>
  <si>
    <t>FZpyIiCAsr7Twkw4tQeqPA</t>
  </si>
  <si>
    <t>Nightlife, Salad, Restaurants, Italian, Bars, Wine Bars</t>
  </si>
  <si>
    <t>40 McIntyre Square Dr</t>
  </si>
  <si>
    <t>sz6_gKcHjtcpWKIZLXV85w</t>
  </si>
  <si>
    <t>Nightlife, Restaurants, Seafood, Bars, American (Traditional), Breakfast &amp; Brunch</t>
  </si>
  <si>
    <t>Or, The Whale</t>
  </si>
  <si>
    <t>463 Blvd of the Allies</t>
  </si>
  <si>
    <t>pKC_Nxvc2gk_ovj9MJ8cSQ</t>
  </si>
  <si>
    <t>kVODXr00qMBklPZTP3X-lQ</t>
  </si>
  <si>
    <t>Adult Entertainment, Bars, Social Clubs, Arts &amp; Entertainment, Nightlife, Community Service/Non-Profit, Restaurants, Local Services</t>
  </si>
  <si>
    <t>Cheerleaders Gentlemen's Club</t>
  </si>
  <si>
    <t>3100 Liberty Ave</t>
  </si>
  <si>
    <t>QmNrHxN7UahtdliH_kAuUg</t>
  </si>
  <si>
    <t>Chinese, Cantonese, Restaurants</t>
  </si>
  <si>
    <t>Ka Mei</t>
  </si>
  <si>
    <t>2209 Murray Ave</t>
  </si>
  <si>
    <t>UPjwhZ3ywrkkhcZH1gbwHA</t>
  </si>
  <si>
    <t>Bars, Food Court, Nightlife, Restaurants</t>
  </si>
  <si>
    <t>Oxford Market</t>
  </si>
  <si>
    <t>301 Grant St, Plaza Level</t>
  </si>
  <si>
    <t>MsFj3NTvmhYNYS8Ef8HwFA</t>
  </si>
  <si>
    <t>Bars, Restaurants, Nightlife, Dive Bars</t>
  </si>
  <si>
    <t>Shamrock Inn</t>
  </si>
  <si>
    <t>917 Western Ave</t>
  </si>
  <si>
    <t>lpxj6LFir23Ds6swW8a6fg</t>
  </si>
  <si>
    <t>Steakhouses, Seafood, Nightlife, American (Traditional), Lounges, Restaurants, Wine Bars, Event Planning &amp; Services, Caterers, Bars</t>
  </si>
  <si>
    <t>Grandview Saloon</t>
  </si>
  <si>
    <t>1212 Grandview Ave</t>
  </si>
  <si>
    <t>JLbgvGM4FXh9zNP4O5ZWjQ</t>
  </si>
  <si>
    <t>Meat Shops, Food, Specialty Food, Steakhouses, American (New), Restaurants, Gastropubs</t>
  </si>
  <si>
    <t>Meat &amp; Potatoes</t>
  </si>
  <si>
    <t>649 Penn Ave</t>
  </si>
  <si>
    <t>f4Fwv8ClqR35p5chZWKSLQ</t>
  </si>
  <si>
    <t>580 Old Clairton Rd</t>
  </si>
  <si>
    <t>RXyBD1euUHNxhU3_LE7z6Q</t>
  </si>
  <si>
    <t>Restaurants, Indian</t>
  </si>
  <si>
    <t>Maharaja Restaurant</t>
  </si>
  <si>
    <t>1150 Banksville Rd</t>
  </si>
  <si>
    <t>nVqOTTfDiu12xsQtFTO7_w</t>
  </si>
  <si>
    <t>Restaurants, Chinese, Convenience Stores, Food</t>
  </si>
  <si>
    <t>Green Bamboo</t>
  </si>
  <si>
    <t>472 44th St</t>
  </si>
  <si>
    <t>dAgImz1R-BKwR3sYhbPqRw</t>
  </si>
  <si>
    <t>Thai Touch Kitchen</t>
  </si>
  <si>
    <t>665 Washington Rd</t>
  </si>
  <si>
    <t>zuUWG7OdMv6awFRYhEYT5Q</t>
  </si>
  <si>
    <t>Bars, American (New), Restaurants, Nightlife, Breakfast &amp; Brunch, Burgers</t>
  </si>
  <si>
    <t>Local Bar + Kitchen</t>
  </si>
  <si>
    <t>1515 E Carson St</t>
  </si>
  <si>
    <t>h6JacIFzb9jxFpKpgsGuuQ</t>
  </si>
  <si>
    <t>American (Traditional), Pizza, Restaurants</t>
  </si>
  <si>
    <t>Pittsburgh Grille</t>
  </si>
  <si>
    <t>5g0owkWApl_rgDl7D98Xow</t>
  </si>
  <si>
    <t>Restaurants, Food, American (Traditional)</t>
  </si>
  <si>
    <t>4 Wood Grille</t>
  </si>
  <si>
    <t>5840 Forward Ave</t>
  </si>
  <si>
    <t>9d2wp4ddmkFSnUWjLv0mTQ</t>
  </si>
  <si>
    <t>Restaurants, Breakfast &amp; Brunch, Diners</t>
  </si>
  <si>
    <t>Folino's Ristorante</t>
  </si>
  <si>
    <t>1719 E Carson St</t>
  </si>
  <si>
    <t>ruD4E_OMlfEXTdMV0lDFIg</t>
  </si>
  <si>
    <t>Carmi Soul Food</t>
  </si>
  <si>
    <t>1825 E Carson St</t>
  </si>
  <si>
    <t>2hOU75OoYSid_aMUEvjhVQ</t>
  </si>
  <si>
    <t>Restaurants, Sandwiches, Seafood</t>
  </si>
  <si>
    <t>Benkovitz Seafoods</t>
  </si>
  <si>
    <t>2300 Smallman St</t>
  </si>
  <si>
    <t>j2kjfjODIZyNPxAu1Dow6A</t>
  </si>
  <si>
    <t>Buffets, Chinese, Restaurants</t>
  </si>
  <si>
    <t>Old Town Buffet</t>
  </si>
  <si>
    <t>g2CMpjM8bBNQOQPIi4DKIw</t>
  </si>
  <si>
    <t>Food, Middle Eastern, Nightlife, Desserts, Vegetarian, Restaurants, Coffee &amp; Tea</t>
  </si>
  <si>
    <t>Your Inner Vagabond</t>
  </si>
  <si>
    <t>4130 Butler Ave</t>
  </si>
  <si>
    <t>38aN0fB_zHtkw1kb3lSj8g</t>
  </si>
  <si>
    <t>Michael's Pizza Bar &amp; Restaurant</t>
  </si>
  <si>
    <t>2612 Sarah St</t>
  </si>
  <si>
    <t>DSyBqO8U8INz9cjduM6DzQ</t>
  </si>
  <si>
    <t>Beer, Wine &amp; Spirits, Nightlife, Food, Restaurants, Seafood, Bars</t>
  </si>
  <si>
    <t>Wintzell's Oyster House</t>
  </si>
  <si>
    <t>530 E Bruceton Rd</t>
  </si>
  <si>
    <t>YAci8e4YFgaVYyI1mDpp7Q</t>
  </si>
  <si>
    <t>Restaurants, American (New), Nightlife, Burgers, Bars</t>
  </si>
  <si>
    <t>The Hop House</t>
  </si>
  <si>
    <t>5510 Babcock Blvd</t>
  </si>
  <si>
    <t>JHZzncoaHhqSn1Y9q6u_Fw</t>
  </si>
  <si>
    <t>Restaurants, Thai, Food</t>
  </si>
  <si>
    <t>Kanok</t>
  </si>
  <si>
    <t>242 S Highland Ave</t>
  </si>
  <si>
    <t>28UWP-8hZ_-6klybRdzqEQ</t>
  </si>
  <si>
    <t>Sandwiches, Restaurants, Fast Food</t>
  </si>
  <si>
    <t>6500 Steubenville Pike</t>
  </si>
  <si>
    <t>t6LKeb5gNSeqri1JqOPZow</t>
  </si>
  <si>
    <t>11667 Penn Hills Dr</t>
  </si>
  <si>
    <t>DwmAsemahJywywhuqv5J1Q</t>
  </si>
  <si>
    <t>Restaurants, Szechuan, Chinese</t>
  </si>
  <si>
    <t>Sichuan Gourmet</t>
  </si>
  <si>
    <t>grx1z5XwkWstfeyXsOPyNw</t>
  </si>
  <si>
    <t>Breakfast &amp; Brunch, Restaurants, Diners</t>
  </si>
  <si>
    <t>Pamela's</t>
  </si>
  <si>
    <t>232 North Ave</t>
  </si>
  <si>
    <t>mRWNt7hxoFzo5XZaoSC7aA</t>
  </si>
  <si>
    <t>American (Traditional), Restaurants, Nightlife, Dive Bars, Bars</t>
  </si>
  <si>
    <t>Cappy's Cafe</t>
  </si>
  <si>
    <t>5431 Walnut St</t>
  </si>
  <si>
    <t>QbwJTaWoQjwABemmtGk9xg</t>
  </si>
  <si>
    <t>Italian, Seafood, Restaurants</t>
  </si>
  <si>
    <t>La Cucina Flegrea</t>
  </si>
  <si>
    <t>100 5th Ave</t>
  </si>
  <si>
    <t>PvtAsnMf-oeNmkvdwRmEpw</t>
  </si>
  <si>
    <t>Restaurants, Desserts, Food, Sandwiches, Pizza</t>
  </si>
  <si>
    <t>Yoli's Pizza</t>
  </si>
  <si>
    <t>1216 Cochrans Mill Rd</t>
  </si>
  <si>
    <t>a5mpYojV1dX7XCkAa1qq1A</t>
  </si>
  <si>
    <t>Salad, Restaurants, Juice Bars &amp; Smoothies, Food, Mediterranean</t>
  </si>
  <si>
    <t>Corelife Eatery</t>
  </si>
  <si>
    <t>8009 McKnight Rd</t>
  </si>
  <si>
    <t>m1IqfCdWw0Yd1euC8cZgSA</t>
  </si>
  <si>
    <t>Restaurants, Diners, American (New)</t>
  </si>
  <si>
    <t>Thee Olde Place Inn</t>
  </si>
  <si>
    <t>1209 Streets Run Rd</t>
  </si>
  <si>
    <t>zkW7OAv8Cnb-3SxEBOubTQ</t>
  </si>
  <si>
    <t>Zhen Choo Chinese Restaurant</t>
  </si>
  <si>
    <t>268 Yost Blvd</t>
  </si>
  <si>
    <t>ugmQx75KCr8nc8E-d69K8g</t>
  </si>
  <si>
    <t>Cafes, American (Traditional), Sandwiches, Restaurants, Diners, American (New)</t>
  </si>
  <si>
    <t>Marketplace Cafe</t>
  </si>
  <si>
    <t>_VYUU5HPLYasd-xdKLimNA</t>
  </si>
  <si>
    <t>Castle Place</t>
  </si>
  <si>
    <t>331 Mount Lebanon Blvd</t>
  </si>
  <si>
    <t>lMx29wnA8FxJMcDoME_VoQ</t>
  </si>
  <si>
    <t>American (Traditional), Restaurants, Seafood</t>
  </si>
  <si>
    <t>Joe's Crab Shack</t>
  </si>
  <si>
    <t>6491 Robinson Center Dr</t>
  </si>
  <si>
    <t>1zl7-8t8jQ4NX29qRp8soA</t>
  </si>
  <si>
    <t>Italian, Restaurants, Specialty Food, Food</t>
  </si>
  <si>
    <t>City Fresh Pasta</t>
  </si>
  <si>
    <t>2108 Murray Ave</t>
  </si>
  <si>
    <t>XQjigVIJSnsXXUP1igIeEw</t>
  </si>
  <si>
    <t>Salad, Pizza, Sandwiches, Restaurants</t>
  </si>
  <si>
    <t>Bomonti Pizza</t>
  </si>
  <si>
    <t>51 Crennell Ave</t>
  </si>
  <si>
    <t>1FDhJNAuPXRGbMi9x0muGA</t>
  </si>
  <si>
    <t>226 W Station Dr</t>
  </si>
  <si>
    <t>gOtY-I9lvbyOUShbBhCChQ</t>
  </si>
  <si>
    <t>5813 Forbes Ave</t>
  </si>
  <si>
    <t>w9IDJZeQhTQuBSTEu4nheA</t>
  </si>
  <si>
    <t>Salad, Bagels, Sandwiches, Food, Breakfast &amp; Brunch, Soup, Bakeries, Restaurants</t>
  </si>
  <si>
    <t>400 Penn Center Blvd</t>
  </si>
  <si>
    <t>ZMx9_sQydPUj5KGvcm73Sw</t>
  </si>
  <si>
    <t>Champagne Bars, Bars, American (New), Lounges, Nightlife, Cocktail Bars, Restaurants</t>
  </si>
  <si>
    <t>Olive or Twist</t>
  </si>
  <si>
    <t>140 6th St</t>
  </si>
  <si>
    <t>5bF1zC3aEqiwYEkkdcWxKQ</t>
  </si>
  <si>
    <t>Burgers, Restaurants, Sandwiches, Hot Dogs</t>
  </si>
  <si>
    <t>Lock &amp; Dam Dog Shop</t>
  </si>
  <si>
    <t>7331 Butler St</t>
  </si>
  <si>
    <t>VNyrLWOqd8o6RdKs0I6Fwg</t>
  </si>
  <si>
    <t>Food, Restaurants, Ice Cream &amp; Frozen Yogurt</t>
  </si>
  <si>
    <t>Handel's Homemade Ice Cream &amp; Yogurt</t>
  </si>
  <si>
    <t>9020 St Simon Way</t>
  </si>
  <si>
    <t>ehtDfDwcOBghAKAjgWlg4Q</t>
  </si>
  <si>
    <t>Sports Bars, American (Traditional), Restaurants, Nightlife, Bars</t>
  </si>
  <si>
    <t>Shenanigans Bar &amp; Grille</t>
  </si>
  <si>
    <t>2310 Babcock Blvd</t>
  </si>
  <si>
    <t>_Sx9XCDistFkOTq4ZHm09A</t>
  </si>
  <si>
    <t>Restaurants, Bars, American (Traditional), American (New), Burgers, Nightlife</t>
  </si>
  <si>
    <t>Wicked Fox</t>
  </si>
  <si>
    <t>OXcnwnZj50WnFkHM1tk9pQ</t>
  </si>
  <si>
    <t>Cellone's Bakery, Inc.</t>
  </si>
  <si>
    <t>193 Chartiers Ave</t>
  </si>
  <si>
    <t>QYlhQ9ivxXFSD7dE_1cy5A</t>
  </si>
  <si>
    <t>Restaurants, Chicken Wings, Sandwiches, Burgers</t>
  </si>
  <si>
    <t>Big Shot Bob's House of Wings - Beechview</t>
  </si>
  <si>
    <t>X2X3n0PutSNonQQj2cjsCw</t>
  </si>
  <si>
    <t>Vegetarian, Vietnamese, Restaurants, Food</t>
  </si>
  <si>
    <t>Tan Lac Vien</t>
  </si>
  <si>
    <t>rbZ4AHL1LV8KGW9NDGbI9w</t>
  </si>
  <si>
    <t>Florists, Shopping, Event Planning &amp; Services, Local Services, American (New), Restaurants, Flowers &amp; Gifts</t>
  </si>
  <si>
    <t>Flowers In the Attic</t>
  </si>
  <si>
    <t>7505 Saltsburg Rd</t>
  </si>
  <si>
    <t>ZMvs7F5pGh-A4X2j9_W6kQ</t>
  </si>
  <si>
    <t>Nightlife, Restaurants, Seafood, Sandwiches, Bars</t>
  </si>
  <si>
    <t>100 W Station Sq Dr</t>
  </si>
  <si>
    <t>7ULRdJfVo2-Og5ZoGOECFg</t>
  </si>
  <si>
    <t>Seafood, Restaurants, Greek, Food, Mediterranean</t>
  </si>
  <si>
    <t>Mediterrano</t>
  </si>
  <si>
    <t>2193 Babcock Blvd</t>
  </si>
  <si>
    <t>5jSwodZ2cLIgD0SLGXYbeg</t>
  </si>
  <si>
    <t>Asian Fusion, Buffets, Chinese, American (Traditional), Restaurants</t>
  </si>
  <si>
    <t>City Buffet &amp; Hibachi Grill</t>
  </si>
  <si>
    <t>3500 William Penn Hwy</t>
  </si>
  <si>
    <t>MjD_bzVtkAIviFsNFGy7Zg</t>
  </si>
  <si>
    <t>Dormont Dogs</t>
  </si>
  <si>
    <t>2911 Glenmore Ave</t>
  </si>
  <si>
    <t>RBiJRcNC7NoDf-XYMFrCBg</t>
  </si>
  <si>
    <t>Jean-Marc Chatellier's French Bakery</t>
  </si>
  <si>
    <t>213 North Ave</t>
  </si>
  <si>
    <t>7QA9AjMvylQLMButvmoqnA</t>
  </si>
  <si>
    <t>Pizza, Restaurants, Sandwiches, American (Traditional)</t>
  </si>
  <si>
    <t>Philly's Pitt Stop</t>
  </si>
  <si>
    <t>1000 Chartiers Ave</t>
  </si>
  <si>
    <t>QGPQp5VsRcP5Ma0ekCgj2Q</t>
  </si>
  <si>
    <t>Delis, American (New), Restaurants, Sandwiches</t>
  </si>
  <si>
    <t>NU Jewish Bistro</t>
  </si>
  <si>
    <t>1711 Murray Ave</t>
  </si>
  <si>
    <t>3eivq15AzsACPuA5AyZUTA</t>
  </si>
  <si>
    <t>Food Trucks, Restaurants, Cajun/Creole, Food</t>
  </si>
  <si>
    <t>The Pittsburgh PO Boy</t>
  </si>
  <si>
    <t>WjkjrsOzMAQ2wgY9tVyS0Q</t>
  </si>
  <si>
    <t>Event Planning &amp; Services, Caterers, Fast Food, Mexican, Restaurants</t>
  </si>
  <si>
    <t>e-ZkvfbMZi628OKVcoFOAw</t>
  </si>
  <si>
    <t>Sushi Bars, Japanese, Restaurants, Poke, Food</t>
  </si>
  <si>
    <t>Sushi Fuku</t>
  </si>
  <si>
    <t>120 Oakland Ave</t>
  </si>
  <si>
    <t>Hb717wjzx1Q7cVXQo1-u2w</t>
  </si>
  <si>
    <t>Salad, American (Traditional), Burgers, Food, Ice Cream &amp; Frozen Yogurt, Restaurants, Food Trucks</t>
  </si>
  <si>
    <t>Restaurants, Bakeries, Italian, Pizza, Food</t>
  </si>
  <si>
    <t>The Enrico Biscotti</t>
  </si>
  <si>
    <t>2022 Penn Ave</t>
  </si>
  <si>
    <t>t5DQeB3dORfNwx9otGUrSA</t>
  </si>
  <si>
    <t>American (Traditional), Sports Bars, Bars, Wine Bars, Burgers, Restaurants, Nightlife, Cocktail Bars</t>
  </si>
  <si>
    <t>Casey's Draft House</t>
  </si>
  <si>
    <t>1811 E Carson St</t>
  </si>
  <si>
    <t>__sXvAzVGUsK6AyzT19v6g</t>
  </si>
  <si>
    <t>Pasta Shops, Italian, Caterers, Specialty Food, Event Planning &amp; Services, Pizza, Food, Restaurants</t>
  </si>
  <si>
    <t>Pizza &amp; Pasta Villa</t>
  </si>
  <si>
    <t>Lb17BCffIA3kLXMjA9UlgQ</t>
  </si>
  <si>
    <t>Poppy's Bistro and Pub</t>
  </si>
  <si>
    <t>4744 Liberty Ave</t>
  </si>
  <si>
    <t>xLy3aWEbtpoUSVdjuHBS0A</t>
  </si>
  <si>
    <t>Restaurants, Vegetarian, Mexican, Seafood</t>
  </si>
  <si>
    <t>Plaza Azteca</t>
  </si>
  <si>
    <t>1000 Sutherland Dr</t>
  </si>
  <si>
    <t>9_1N2SoNoS3DGV9V-4kndw</t>
  </si>
  <si>
    <t>Food Court, Event Planning &amp; Services, Caterers, Restaurants</t>
  </si>
  <si>
    <t>Craftwork Kitchen</t>
  </si>
  <si>
    <t>QbLCALa347d6D09WJ37HXQ</t>
  </si>
  <si>
    <t>Real McCoy Sandwich Shop</t>
  </si>
  <si>
    <t>2010 E Carson St</t>
  </si>
  <si>
    <t>T2jCFJO6DjtWIXkI1lcaOw</t>
  </si>
  <si>
    <t>City Cafe</t>
  </si>
  <si>
    <t>Ypsh993XXes9DZ8Cpyq5Fw</t>
  </si>
  <si>
    <t>Food, Coffee &amp; Tea, Restaurants, Ice Cream &amp; Frozen Yogurt, Sandwiches</t>
  </si>
  <si>
    <t>Everyday's A Sundae</t>
  </si>
  <si>
    <t>6014 Centre Ave</t>
  </si>
  <si>
    <t>GQevJAnl6DWg80PJuOyX4g</t>
  </si>
  <si>
    <t>Aspinwall Grille</t>
  </si>
  <si>
    <t>2KrRu2odf_53L90UQLKVvA</t>
  </si>
  <si>
    <t>Salad, Sandwiches, Restaurants, Soup</t>
  </si>
  <si>
    <t>Zoup!</t>
  </si>
  <si>
    <t>1137 Freeport Rd</t>
  </si>
  <si>
    <t>VRMNW1GXYihRxEnr1UI8hA</t>
  </si>
  <si>
    <t>Event Planning &amp; Services, Restaurants, American (Traditional), Comfort Food, Caterers</t>
  </si>
  <si>
    <t>WdjZK2Zti8mXSXXLYt-aoQ</t>
  </si>
  <si>
    <t>Restaurants, Mediterranean</t>
  </si>
  <si>
    <t>Afamia Mediterranean Grille</t>
  </si>
  <si>
    <t>5Oh4E8lTlAHzs4hrjsLFOA</t>
  </si>
  <si>
    <t>Stockmano's Pizza</t>
  </si>
  <si>
    <t>7678 Saltsburg Rd</t>
  </si>
  <si>
    <t>kbq9QlIprqKpIWXZEXtGSA</t>
  </si>
  <si>
    <t>No 1 Chinese Kitchen</t>
  </si>
  <si>
    <t>11630 Frankstown Rd</t>
  </si>
  <si>
    <t>qJ-V22xGzV6IKNWA8c_Nnw</t>
  </si>
  <si>
    <t>Restaurants, Bakeries, Food</t>
  </si>
  <si>
    <t>Mantsch Blue Bonnet Bakery</t>
  </si>
  <si>
    <t>338 E 8th Ave</t>
  </si>
  <si>
    <t>T8-13dD8mV2qUI53wsUL6g</t>
  </si>
  <si>
    <t>Event Planning &amp; Services, Bars, American (New), Breakfast &amp; Brunch, Burgers, Seafood, Caterers, Restaurants, Nightlife, American (Traditional), Diners</t>
  </si>
  <si>
    <t>ddouZi236BpT15DzXjRHiA</t>
  </si>
  <si>
    <t>Restaurants, Noodles, Ramen, Japanese, Bars, Nightlife</t>
  </si>
  <si>
    <t>Ki Ramen</t>
  </si>
  <si>
    <t>4401 Butler St</t>
  </si>
  <si>
    <t>xcjEnqXQU4a6FfomtQR9tQ</t>
  </si>
  <si>
    <t>Gastropubs, Restaurants, American (New), Pubs, Nightlife, Bars, Chicken Wings</t>
  </si>
  <si>
    <t>Pennsbury Pub &amp; Grill</t>
  </si>
  <si>
    <t>1049 Pennsbury Blvd</t>
  </si>
  <si>
    <t>fzL7sTgCYhoSIUpcQ7mrBA</t>
  </si>
  <si>
    <t>Bars, Restaurants, Nightlife, Food, Steakhouses, Barbeque</t>
  </si>
  <si>
    <t>Elliott's BBQ and Steakhouse</t>
  </si>
  <si>
    <t>611 Old Clairton Rd</t>
  </si>
  <si>
    <t>O1ird5yRyuDFnOmYu90OoA</t>
  </si>
  <si>
    <t>Lounges, Restaurants, Cocktail Bars, Mexican, Nightlife, Bars, Dance Clubs</t>
  </si>
  <si>
    <t>Round Corner Cantina</t>
  </si>
  <si>
    <t>3720 Butler St</t>
  </si>
  <si>
    <t>VkeVbH5zcm0MBKuKtytGKw</t>
  </si>
  <si>
    <t>Restaurants, Food, Modern European</t>
  </si>
  <si>
    <t>Terrace Room</t>
  </si>
  <si>
    <t>3v8vcGGeJRZXTGxpeyq0gA</t>
  </si>
  <si>
    <t>Pizza, Burgers, Sandwiches, Restaurants, Salad, Food, Food Delivery Services, Italian</t>
  </si>
  <si>
    <t>Pizza Pronto</t>
  </si>
  <si>
    <t>4611 Centre Ave</t>
  </si>
  <si>
    <t>NYMUlUYYEb3H0nKsauj-yw</t>
  </si>
  <si>
    <t>Sushi Boat</t>
  </si>
  <si>
    <t>128 Oakland Ave</t>
  </si>
  <si>
    <t>i1QGBziAXxEWlofIe4gv1Q</t>
  </si>
  <si>
    <t>Bea Taco Town</t>
  </si>
  <si>
    <t>wSwkjQXQsWLQHa6AvFr_RQ</t>
  </si>
  <si>
    <t>Sparta Gyros</t>
  </si>
  <si>
    <t>5843 Brownsville Rd</t>
  </si>
  <si>
    <t>wZEK7GmLJ3hmkYBiRCo4Qw</t>
  </si>
  <si>
    <t>517 McNeilly Rd</t>
  </si>
  <si>
    <t>ih_bb1SaYvsMYfdykhYh2g</t>
  </si>
  <si>
    <t>Barbeque, Bars, American (Traditional), Nightlife, American (New), Restaurants</t>
  </si>
  <si>
    <t>Wheelfish</t>
  </si>
  <si>
    <t>635 Sangree Rd</t>
  </si>
  <si>
    <t>LotwXDcHQmt4usltEvw_PQ</t>
  </si>
  <si>
    <t>Cocktail Bars, Nightlife, American (New), Bars, Seafood, Restaurants</t>
  </si>
  <si>
    <t>Bonefish Grill</t>
  </si>
  <si>
    <t>8950 Covenant Ave</t>
  </si>
  <si>
    <t>6393 Penn Ave</t>
  </si>
  <si>
    <t>H9OjeHsGra2utILaHwJfGw</t>
  </si>
  <si>
    <t>Cent Anni's</t>
  </si>
  <si>
    <t>2500 W Liberty Ave</t>
  </si>
  <si>
    <t>XItYW5ul3OW_AqpT2nDbBQ</t>
  </si>
  <si>
    <t>French, Restaurants, Religious Organizations, Belgian</t>
  </si>
  <si>
    <t>Park Bruges</t>
  </si>
  <si>
    <t>5801 Bryant St</t>
  </si>
  <si>
    <t>4HpR1N0-wo61NbRVxvFeXQ</t>
  </si>
  <si>
    <t>Restaurants, Salad, Donuts, Sandwiches, Food</t>
  </si>
  <si>
    <t>Bob's Sub</t>
  </si>
  <si>
    <t>9600 Perry Hwy</t>
  </si>
  <si>
    <t>tQy-LmvLoyOXw8QtUcP5zw</t>
  </si>
  <si>
    <t>Restaurants, Food, Barbeque, Food Trucks</t>
  </si>
  <si>
    <t>Brisketburgh</t>
  </si>
  <si>
    <t>5fmhGouEy_7WLloRyXRyUg</t>
  </si>
  <si>
    <t>Pizza Milano</t>
  </si>
  <si>
    <t>6532 Steubenville Pike</t>
  </si>
  <si>
    <t>_VHU9KZUHRLp2Hc2JOKlYg</t>
  </si>
  <si>
    <t>Italian, Steakhouses, Restaurants, Nightlife, Bars, Whiskey Bars, Seafood</t>
  </si>
  <si>
    <t>Cioppino Restaurant &amp; Cigar Bar</t>
  </si>
  <si>
    <t>7jAkIb39KKKvbAo5dc6ZgA</t>
  </si>
  <si>
    <t>San Lorenzo Ristorante</t>
  </si>
  <si>
    <t>E4U8RCe42CpT3rtof7hEwQ</t>
  </si>
  <si>
    <t>Burgers, Restaurants, Fast Food</t>
  </si>
  <si>
    <t>2691 Freeport Rd</t>
  </si>
  <si>
    <t>M-qtsg3fVoG6sWBrDz4-6w</t>
  </si>
  <si>
    <t>Food Delivery Services, Pizza, Event Planning &amp; Services, Food, Caterers, Restaurants</t>
  </si>
  <si>
    <t>823 Penn Ave</t>
  </si>
  <si>
    <t>3R28YY7Jw_EJs0-X8qDArw</t>
  </si>
  <si>
    <t>Ardolino's Pizza</t>
  </si>
  <si>
    <t>1141 Boyce Rd</t>
  </si>
  <si>
    <t>rXKzE4Iraz7vGWovWW-aBA</t>
  </si>
  <si>
    <t>Japanese, Bars, Korean, Cocktail Bars, Venues &amp; Event Spaces, Izakaya, Ramen, Nightlife, Event Planning &amp; Services, Restaurants, Chinese</t>
  </si>
  <si>
    <t>Yuzu Kitchen</t>
  </si>
  <si>
    <t>409 Wood St</t>
  </si>
  <si>
    <t>6EzE_0QykzrUHHSMcCL7vQ</t>
  </si>
  <si>
    <t>Restaurants, American (Traditional), Burgers, Food, Breakfast &amp; Brunch, Sandwiches, Desserts</t>
  </si>
  <si>
    <t>950 Presque Isle Drive</t>
  </si>
  <si>
    <t>AIbCGVTv_oPE3S957E47Lg</t>
  </si>
  <si>
    <t>Bars, Nightlife, Restaurants, American (New), Food, Local Flavor, Sandwiches, Sports Bars</t>
  </si>
  <si>
    <t>4501 Steubenville Pike</t>
  </si>
  <si>
    <t>6ObhHav156dwof2qHvUj3g</t>
  </si>
  <si>
    <t>Pizza, Restaurants, Sandwiches, Fast Food</t>
  </si>
  <si>
    <t>7700 Penn Ave</t>
  </si>
  <si>
    <t>wA2xaBsT8d2opW_jYe1XLA</t>
  </si>
  <si>
    <t>Danny's Pizza</t>
  </si>
  <si>
    <t>4851 Clairton Blvd</t>
  </si>
  <si>
    <t>cGTex3CbWSS70YiDT97bVA</t>
  </si>
  <si>
    <t>American (Traditional), Breakfast &amp; Brunch, Restaurants</t>
  </si>
  <si>
    <t>Mullin's Diner</t>
  </si>
  <si>
    <t>876 Progress St</t>
  </si>
  <si>
    <t>8LUM4M_OzTDg_XWn5fiR8A</t>
  </si>
  <si>
    <t>Ethnic Food, Food, Imported Food, Restaurants, Specialty Food, Food Stands, Food Trucks</t>
  </si>
  <si>
    <t>Moonlite Express</t>
  </si>
  <si>
    <t>x2wfT_y8TgCfEHD7DSyL5A</t>
  </si>
  <si>
    <t>Fox's Pizza Den</t>
  </si>
  <si>
    <t>12244 Frankstown Rd</t>
  </si>
  <si>
    <t>9R5HJYxWadtirp3Lv9Di9g</t>
  </si>
  <si>
    <t>Burgers, Restaurants, Sandwiches, Pizza</t>
  </si>
  <si>
    <t>Carhops Sub Shop</t>
  </si>
  <si>
    <t>1806 Smallman St</t>
  </si>
  <si>
    <t>z15C-dJodOlPO8bMBl6F8g</t>
  </si>
  <si>
    <t>Beer, Wine &amp; Spirits, American (New), Wine Bars, Bars, Restaurants, Nightlife, Tapas/Small Plates, Cafes, Food</t>
  </si>
  <si>
    <t>Bar Marco</t>
  </si>
  <si>
    <t>2216 Penn Ave</t>
  </si>
  <si>
    <t>PyTHy9VPOhBCiGLsi-PA2Q</t>
  </si>
  <si>
    <t>Restaurants, Pakistani, Indian</t>
  </si>
  <si>
    <t>India Garden</t>
  </si>
  <si>
    <t>NW4mtw2cS1PeJQDK2J_wfQ</t>
  </si>
  <si>
    <t>Sports Bars, Restaurants, American (Traditional), Bars, Nightlife</t>
  </si>
  <si>
    <t>Tailgaters Bar &amp; Grill</t>
  </si>
  <si>
    <t>1420 Centre Ave</t>
  </si>
  <si>
    <t>68s6PZRs6bQ9Nqtppdzpuw</t>
  </si>
  <si>
    <t>Sandwiches, Cheesesteaks, Restaurants, Delis</t>
  </si>
  <si>
    <t>Charley's Phily Steaks</t>
  </si>
  <si>
    <t>qWnEshFu8L6TkERGKhm0qw</t>
  </si>
  <si>
    <t>3460 William Penn Hwy</t>
  </si>
  <si>
    <t>JIJz1wcUbFETJUrvm8HrlA</t>
  </si>
  <si>
    <t>Restaurants, Event Planning &amp; Services, Sandwiches, Delis, Salad, Caterers</t>
  </si>
  <si>
    <t>Jason's Deli</t>
  </si>
  <si>
    <t>6300 Northway Mall Dr</t>
  </si>
  <si>
    <t>AY3Cxky3L3aNbRo_o4YRgg</t>
  </si>
  <si>
    <t>Bars, Restaurants, Desserts, Nightlife, Cafes, Coffee Roasteries, Patisserie/Cake Shop, Food, Cocktail Bars, Coffee &amp; Tea</t>
  </si>
  <si>
    <t>De Fer Coffee &amp; Tea</t>
  </si>
  <si>
    <t>2002 Smallman St</t>
  </si>
  <si>
    <t>MrlNl43mM8Y259tKzMj4Mw</t>
  </si>
  <si>
    <t>Restaurants, Burgers</t>
  </si>
  <si>
    <t>920 Ohio River Blvd</t>
  </si>
  <si>
    <t>dQo2dPQyJE4avsILYYDCTA</t>
  </si>
  <si>
    <t>1230 Grove Rd</t>
  </si>
  <si>
    <t>wZkNF2LevB8lB-NvdNPYlg</t>
  </si>
  <si>
    <t>Restaurants, Noodles</t>
  </si>
  <si>
    <t>Rice N Noodle</t>
  </si>
  <si>
    <t>wbKGU8Epr2jKX74jWpd4Aw</t>
  </si>
  <si>
    <t>Gluten-Free, Restaurants, Salad, Sandwiches, Vegetarian, Soup</t>
  </si>
  <si>
    <t>Earth Inspired Salads</t>
  </si>
  <si>
    <t>611 William Penn Pl</t>
  </si>
  <si>
    <t>Z5DCk0Mg4eIUsKO9F8DdVg</t>
  </si>
  <si>
    <t>Krazy Dogz</t>
  </si>
  <si>
    <t>1220 E Carson St</t>
  </si>
  <si>
    <t>TvL29lvPQU5GtPEN-J0wIA</t>
  </si>
  <si>
    <t>Cafes, American (New), Restaurants</t>
  </si>
  <si>
    <t>Kaleidoscope CafÃƒÂ©</t>
  </si>
  <si>
    <t>108 43rd St</t>
  </si>
  <si>
    <t>mjDsDnoSghhIiht5cSjF4g</t>
  </si>
  <si>
    <t>Vegan, Convenience Stores, Coffee &amp; Tea, Sandwiches, Restaurants, Food</t>
  </si>
  <si>
    <t>Java House</t>
  </si>
  <si>
    <t>3619 California Ave</t>
  </si>
  <si>
    <t>wjwtW0zepI-8JISDSYP9Gw</t>
  </si>
  <si>
    <t>B0JdEQoQjr9oka-_YyGZ8g</t>
  </si>
  <si>
    <t>Outback Steakhouse</t>
  </si>
  <si>
    <t>9395 McKnight Rd</t>
  </si>
  <si>
    <t>p9aNuvYCBS6ieqAQyufD0Q</t>
  </si>
  <si>
    <t>Street Vendors, Latin American, Food, Mexican, Restaurants</t>
  </si>
  <si>
    <t>Sabroso Mexican Delights</t>
  </si>
  <si>
    <t>1933 Penn Ave</t>
  </si>
  <si>
    <t>3H1I31BQeHO017Sg92Cbow</t>
  </si>
  <si>
    <t>Beer Bar, Food, Restaurants, Bars, Specialty Food, Nightlife, Tapas/Small Plates, American (New), Pubs, Fruits &amp; Veggies, Beer, Wine &amp; Spirits</t>
  </si>
  <si>
    <t>Independent Brewing Company</t>
  </si>
  <si>
    <t>p_2Q6ebOtBOHCpBrvb78lg</t>
  </si>
  <si>
    <t>Tea Rooms, Restaurants, Food, Coffee &amp; Tea</t>
  </si>
  <si>
    <t>The CafÃƒÂ© at the Frick</t>
  </si>
  <si>
    <t>7227 Reynolds St</t>
  </si>
  <si>
    <t>hG-DApl-ua15fbIqav7-IA</t>
  </si>
  <si>
    <t>Restaurants, Sandwiches, Breakfast &amp; Brunch, Coffee &amp; Tea, Food</t>
  </si>
  <si>
    <t>Kaffeehaus</t>
  </si>
  <si>
    <t>1022 Chestnut St</t>
  </si>
  <si>
    <t>Quh8Fjutyw15B6ZGZEf2gA</t>
  </si>
  <si>
    <t>L_1xRIo-knpK9AdZ3GwSIw</t>
  </si>
  <si>
    <t>Caterers, Restaurants, Event Planning &amp; Services, Soul Food</t>
  </si>
  <si>
    <t>Gibson's Take-Out</t>
  </si>
  <si>
    <t>10731 Frankstown Rd</t>
  </si>
  <si>
    <t>LQFmktF43j2NPncKdNd9mg</t>
  </si>
  <si>
    <t>Fat Heads Saloon</t>
  </si>
  <si>
    <t>1805 E Carson St</t>
  </si>
  <si>
    <t>Y-vxPbvPKcaLiYa9ZBXoDg</t>
  </si>
  <si>
    <t>Burgers, Fast Food, Coffee &amp; Tea, Restaurants, Hot Dogs, Food</t>
  </si>
  <si>
    <t>505 Smithfield St</t>
  </si>
  <si>
    <t>oopfFjmzxgkDB0tt160nkg</t>
  </si>
  <si>
    <t>Three Amigos</t>
  </si>
  <si>
    <t>2501 Freeport Rd</t>
  </si>
  <si>
    <t>mdpETdI-PdPbMtiAnf8m8g</t>
  </si>
  <si>
    <t>Fast Food, Restaurants, Chinese</t>
  </si>
  <si>
    <t>Panda Express</t>
  </si>
  <si>
    <t>j37Z4LIXTH9j6KOq9aX8DQ</t>
  </si>
  <si>
    <t>Beer, Wine &amp; Spirits, Restaurants, Pubs, Food, American (New), Salad, Belgian, Sandwiches, Bars, Nightlife, Chicken Wings</t>
  </si>
  <si>
    <t>Beer Emporium</t>
  </si>
  <si>
    <t>302 S Saint Clair St</t>
  </si>
  <si>
    <t>z52UIMVsYhfttfOP2H9VYg</t>
  </si>
  <si>
    <t>Seafood Markets, Food, Nightlife, Restaurants, Specialty Food, Cocktail Bars, Bars, Sandwiches, Seafood</t>
  </si>
  <si>
    <t>Merchant Oyster Company</t>
  </si>
  <si>
    <t>4129 Butler St</t>
  </si>
  <si>
    <t>e2zO5THDYoDOcyXcWnQv5w</t>
  </si>
  <si>
    <t>Restaurants, American (New), American (Traditional)</t>
  </si>
  <si>
    <t>Salt of the Earth</t>
  </si>
  <si>
    <t>o7tBcNfv-zMXSTePBLIrvw</t>
  </si>
  <si>
    <t>401 Wood St</t>
  </si>
  <si>
    <t>Rp8D7pO3iTcd7zYV8G93yQ</t>
  </si>
  <si>
    <t>Tisha's Sunny Farms</t>
  </si>
  <si>
    <t>ECXHwaJW7Lc7qDlH89Syaw</t>
  </si>
  <si>
    <t>1378 Banksville Rd</t>
  </si>
  <si>
    <t>GUriQoD_GHo6DNJlR1_CrA</t>
  </si>
  <si>
    <t>Nightlife, American (Traditional), Restaurants, Bars</t>
  </si>
  <si>
    <t>Nox's Tavern and Grille</t>
  </si>
  <si>
    <t>720 Blaw Ave</t>
  </si>
  <si>
    <t>UDqYqhDaW96-y7l79VMODw</t>
  </si>
  <si>
    <t>Restaurants, Sandwiches, Nightlife, American (New), Chicken Wings, Sports Bars, Steakhouses, Bars, American (Traditional), Burgers</t>
  </si>
  <si>
    <t>2101 Greentree Rd, The Bourse Shops</t>
  </si>
  <si>
    <t>oxb73l504iA68bWdHqymHQ</t>
  </si>
  <si>
    <t>Restaurants, Breakfast &amp; Brunch, American (Traditional), Diners</t>
  </si>
  <si>
    <t>Denny's</t>
  </si>
  <si>
    <t>2180 Greentree Rd</t>
  </si>
  <si>
    <t>8zK23kKaEjM2NgGmAcmMsA</t>
  </si>
  <si>
    <t>Restaurants, American (New), French, Shopping</t>
  </si>
  <si>
    <t>Cassis</t>
  </si>
  <si>
    <t>900 Western Ave</t>
  </si>
  <si>
    <t>P034NqfS_1sf-pC51170Kg</t>
  </si>
  <si>
    <t>Gluten-Free, Nightlife, Restaurants, Bars, Italian, Wine Bars, Cocktail Bars</t>
  </si>
  <si>
    <t>Bravo! Cucina Italiana</t>
  </si>
  <si>
    <t>1500 Washingston Rd</t>
  </si>
  <si>
    <t>EDg6FM7MYcNMoqrSoWXUUw</t>
  </si>
  <si>
    <t>Tacos, Restaurants, Mexican, Pop-Up Restaurants</t>
  </si>
  <si>
    <t>Baby Loves Tacos</t>
  </si>
  <si>
    <t>4508 Liberty Ave</t>
  </si>
  <si>
    <t>0aC1_rN0scdHkAy_dDSMWA</t>
  </si>
  <si>
    <t>Pizza, Restaurants, Sandwiches, Salad</t>
  </si>
  <si>
    <t>Captian's Pizza &amp; Subs</t>
  </si>
  <si>
    <t>SY7ZyPxidnToTEFbJBleOg</t>
  </si>
  <si>
    <t>4765 Liberty Avenue</t>
  </si>
  <si>
    <t>5G-ulG_g_MpcIYlNzaCMmA</t>
  </si>
  <si>
    <t>Davio</t>
  </si>
  <si>
    <t>2100 Broadway Ave</t>
  </si>
  <si>
    <t>10NSeX03xC2th8-HGFq3sw</t>
  </si>
  <si>
    <t>Soup, Japanese, Restaurants, Sushi Bars</t>
  </si>
  <si>
    <t>Chaya Japanese Cuisine</t>
  </si>
  <si>
    <t>2032 Murray Ave</t>
  </si>
  <si>
    <t>NBeX33C2lB6KMqpbSueHjw</t>
  </si>
  <si>
    <t>Bakeries, Breakfast &amp; Brunch, Restaurants, Salad, Sandwiches, Bagels, Soup, Delis, Coffee &amp; Tea, Food</t>
  </si>
  <si>
    <t>3800 Forbes Ave</t>
  </si>
  <si>
    <t>1XdWZTPXPRRaE0SsEbHcQQ</t>
  </si>
  <si>
    <t>The CafÃƒÂ© Carnegie</t>
  </si>
  <si>
    <t>4400 Forbes Ave</t>
  </si>
  <si>
    <t>rfxlZSBllLwnhFsDBzpPMQ</t>
  </si>
  <si>
    <t>George Aiken</t>
  </si>
  <si>
    <t>218 Forbes Ave</t>
  </si>
  <si>
    <t>IBGrQ6YUywBp1Hqu9c1LZQ</t>
  </si>
  <si>
    <t>Bocktown Beer and Grill</t>
  </si>
  <si>
    <t>690 Chauvet Dr</t>
  </si>
  <si>
    <t>X__mjN8mTACUdp0Sy806hQ</t>
  </si>
  <si>
    <t>Italian Oven Restaurant</t>
  </si>
  <si>
    <t>cxVp-a28Cp7lavjaPMvK5w</t>
  </si>
  <si>
    <t>Restaurants, Asian Fusion, Chinese, Japanese, Sushi Bars</t>
  </si>
  <si>
    <t>Social House Seven</t>
  </si>
  <si>
    <t>Mexican, Restaurants, Latin American</t>
  </si>
  <si>
    <t>El Milagro</t>
  </si>
  <si>
    <t>1542 Beechview Ave</t>
  </si>
  <si>
    <t>khSsfe3MUunPsJowDEuFvg</t>
  </si>
  <si>
    <t>Pizza Giano</t>
  </si>
  <si>
    <t>461 Perry Hwy</t>
  </si>
  <si>
    <t>EgW-kEqxP83MlVl06Qn21g</t>
  </si>
  <si>
    <t>Rochester Inn &amp; Hardwood Grille</t>
  </si>
  <si>
    <t>505 Rochester Rd</t>
  </si>
  <si>
    <t>zjOfUAyqyH_BPe7EkFBrEQ</t>
  </si>
  <si>
    <t>Hot Dogs, Restaurants, American (Traditional)</t>
  </si>
  <si>
    <t>The New York Hot Dog Shop</t>
  </si>
  <si>
    <t>9022 Old Perry Hwy</t>
  </si>
  <si>
    <t>nkDSE-yhvLX4ij5fSzvb5Q</t>
  </si>
  <si>
    <t>Bars, Restaurants, Cocktail Bars, American (Traditional), Nightlife</t>
  </si>
  <si>
    <t>Tonic Bar &amp; Grill</t>
  </si>
  <si>
    <t>971 Liberty Ave</t>
  </si>
  <si>
    <t>z2qV_1QoIoHaieMPs5wbXA</t>
  </si>
  <si>
    <t>American (Traditional), Restaurants, Lounges, Bars, Nightlife</t>
  </si>
  <si>
    <t>Three Rivers Lounge</t>
  </si>
  <si>
    <t>600 Commonwealth Pl</t>
  </si>
  <si>
    <t>nXlKHnArL3_vugmnytsEYQ</t>
  </si>
  <si>
    <t>Delis, Butcher, Meat Shops, Specialty Food, French, American (New), Restaurants, Food, Local Flavor, Sandwiches</t>
  </si>
  <si>
    <t>Crested Duck Charcuterie</t>
  </si>
  <si>
    <t>1603 Broadway Ave</t>
  </si>
  <si>
    <t>aDHD7nASfqiQBB6YXy2aGA</t>
  </si>
  <si>
    <t>Restaurants, Sandwiches, Food, American (Traditional), Pretzels</t>
  </si>
  <si>
    <t>The Pretzel Shop</t>
  </si>
  <si>
    <t>2316 E Carson St</t>
  </si>
  <si>
    <t>C2uQIDpzEJu39JmGd_Cw3Q</t>
  </si>
  <si>
    <t>Delis, American (Traditional), Restaurants, Sandwiches</t>
  </si>
  <si>
    <t>Pittsburgh Deli Company</t>
  </si>
  <si>
    <t>ehX704h8SSm8hFaYVyBuAA</t>
  </si>
  <si>
    <t>Japanese, Restaurants, Thai, Noodles</t>
  </si>
  <si>
    <t>Pad Thai Noodle</t>
  </si>
  <si>
    <t>4770 Liberty Ave</t>
  </si>
  <si>
    <t>7lzVV1MgcDb_gIndt0Oryg</t>
  </si>
  <si>
    <t>Nightlife, Lounges, Restaurants, Bars</t>
  </si>
  <si>
    <t>Rocky's II</t>
  </si>
  <si>
    <t>1562 Island Ave</t>
  </si>
  <si>
    <t>yAWSOUNFcfobOT_FRg_7Gg</t>
  </si>
  <si>
    <t>Fondue, Restaurants</t>
  </si>
  <si>
    <t>The Melting Pot - Pittsburgh</t>
  </si>
  <si>
    <t>242 W Station Square Dr</t>
  </si>
  <si>
    <t>bjI3a8pqjEgz6AUfI3JHLA</t>
  </si>
  <si>
    <t>Middle Eastern, Mediterranean, Restaurants</t>
  </si>
  <si>
    <t>Tyma'z Mediteranean &amp; Middle Eastern House</t>
  </si>
  <si>
    <t>96 Rochester Rd</t>
  </si>
  <si>
    <t>T6qjr_kZSH8GECSoMbx8sQ</t>
  </si>
  <si>
    <t>Food, Cafes, Restaurants, Coffee Roasteries, Coffee &amp; Tea</t>
  </si>
  <si>
    <t>The Coffee Tree Roasters</t>
  </si>
  <si>
    <t>5840 Forbes Ave</t>
  </si>
  <si>
    <t>TZpTyyGvQkKPnt59PVUGhg</t>
  </si>
  <si>
    <t>Nightlife, American (New), Bars, Restaurants</t>
  </si>
  <si>
    <t>Butterjoint</t>
  </si>
  <si>
    <t>214 N Craig St</t>
  </si>
  <si>
    <t>ckbDWYPT8TP7etP0WHU2Yg</t>
  </si>
  <si>
    <t>Pizza, Gluten-Free, Salad, Fast Food, Restaurants</t>
  </si>
  <si>
    <t>Blaze Fast Fire'd Pizza</t>
  </si>
  <si>
    <t>290 Settlers Ridge Center Dr</t>
  </si>
  <si>
    <t>BsLyCu_lkEdkG42qmvZlnQ</t>
  </si>
  <si>
    <t>Sushi Bars, Chinese, Restaurants, Pan Asian, Asian Fusion</t>
  </si>
  <si>
    <t>Plum Pan Asian Kitchen</t>
  </si>
  <si>
    <t>5996 Centre Ave</t>
  </si>
  <si>
    <t>3mbexLtpZcopAsgWmrJjVg</t>
  </si>
  <si>
    <t>Grocery, Restaurants, Food, Diners, Delis</t>
  </si>
  <si>
    <t>Michelle's Diner</t>
  </si>
  <si>
    <t>Fr5R5w74Xg7sKMlt4PPtHg</t>
  </si>
  <si>
    <t>Nightlife, Restaurants, Bars, American (Traditional), American (New)</t>
  </si>
  <si>
    <t>Diamond Market Bar &amp; Grill</t>
  </si>
  <si>
    <t>430 Market St</t>
  </si>
  <si>
    <t>mw7sClb-8JOHCuM2s6yspw</t>
  </si>
  <si>
    <t>Cafes, Coffee &amp; Tea, Food, Internet Cafes, Restaurants</t>
  </si>
  <si>
    <t>Commonplace Coffee</t>
  </si>
  <si>
    <t>O3BVb5A0djGMi8jAfr0-Lg</t>
  </si>
  <si>
    <t>Bars, Restaurants, Sports Bars, Pizza, Nightlife</t>
  </si>
  <si>
    <t>S Aiken Bar &amp; Grille</t>
  </si>
  <si>
    <t>815 S Aiken Ave</t>
  </si>
  <si>
    <t>rwDJu_c584TV4CqPAwu3ZQ</t>
  </si>
  <si>
    <t>Nightlife, Restaurants, Breakfast &amp; Brunch, Burgers, Cocktail Bars, American (New), Bars</t>
  </si>
  <si>
    <t>Carmella's Plates &amp; Pints</t>
  </si>
  <si>
    <t>1908 E Carson St</t>
  </si>
  <si>
    <t>NN0d_nZ7dX9pS67q4pHbFg</t>
  </si>
  <si>
    <t>Restaurants, Vegetarian, Coffee &amp; Tea, Breakfast &amp; Brunch, Food</t>
  </si>
  <si>
    <t>8iAazveHq14cpQBZQPZGwQ</t>
  </si>
  <si>
    <t>Restaurants, American (Traditional), Cocktail Bars, Desserts, Dinner Theater, Food, Nightlife, Barbeque, Bars</t>
  </si>
  <si>
    <t>Spork Pit</t>
  </si>
  <si>
    <t>5349 Penn Ave</t>
  </si>
  <si>
    <t>YzqV61exMv__mjobBV2g7g</t>
  </si>
  <si>
    <t>Thai Cuisine</t>
  </si>
  <si>
    <t>4627 Liberty Ave</t>
  </si>
  <si>
    <t>ruEXmCPwoZBTVOv6RCEZCg</t>
  </si>
  <si>
    <t>Burgers, Restaurants, Pizza, Sandwiches</t>
  </si>
  <si>
    <t>2928 W Liberty Ave</t>
  </si>
  <si>
    <t>QzDYO-lJhX-wh74z6ajI4g</t>
  </si>
  <si>
    <t>Pizza, Salad, Restaurants, Nightlife, Bars</t>
  </si>
  <si>
    <t>Sanremos Pizza Restaurant &amp; Bar</t>
  </si>
  <si>
    <t>10 Market St</t>
  </si>
  <si>
    <t>WthUXmfVevQPMZ_LB2-q-A</t>
  </si>
  <si>
    <t>Restaurants, Food, Coffee &amp; Tea</t>
  </si>
  <si>
    <t>La Prima Espresso Co</t>
  </si>
  <si>
    <t>205 21st St</t>
  </si>
  <si>
    <t>wvDT67R5duF_hYx5iOXLaQ</t>
  </si>
  <si>
    <t>Diners, Breakfast &amp; Brunch, Restaurants</t>
  </si>
  <si>
    <t>DeLuca's Diner</t>
  </si>
  <si>
    <t>1110 Park Manor Blvd</t>
  </si>
  <si>
    <t>LTF14u6dfIyJQ41P-FooiA</t>
  </si>
  <si>
    <t>China Cafe</t>
  </si>
  <si>
    <t>5239 Brownsville Rd</t>
  </si>
  <si>
    <t>Pccg1shSg7RQAXedGHft1Q</t>
  </si>
  <si>
    <t>Pizza Forever</t>
  </si>
  <si>
    <t>g7OwoWQ_haDYnfmhCYMvSg</t>
  </si>
  <si>
    <t>Delis, Restaurants</t>
  </si>
  <si>
    <t>Deli on Butler Street</t>
  </si>
  <si>
    <t>4110 Butler St</t>
  </si>
  <si>
    <t>1MQQZ2kTiBbN3_hpmGdavw</t>
  </si>
  <si>
    <t>Food, Delis, Restaurants, Grocery</t>
  </si>
  <si>
    <t>Donatelli's Italian Food Center</t>
  </si>
  <si>
    <t>4711 Liberty Ave</t>
  </si>
  <si>
    <t>DNKb7_EJPGBULaUwL0mq8g</t>
  </si>
  <si>
    <t>2925 Freeport Rd</t>
  </si>
  <si>
    <t>0bjFYstj8USMzEV4ZQldjA</t>
  </si>
  <si>
    <t>Restaurants, Breakfast &amp; Brunch, Food Trucks, Coffee &amp; Tea, Desserts, Food</t>
  </si>
  <si>
    <t>Redhawk Coffee</t>
  </si>
  <si>
    <t>120 Meyran Ave</t>
  </si>
  <si>
    <t>kBd3_wYt0BX-RfS8ymUTfQ</t>
  </si>
  <si>
    <t>Brugge On North</t>
  </si>
  <si>
    <t>40 W North Ave</t>
  </si>
  <si>
    <t>yqFG1ANsAV6NBn_BC2LU4Q</t>
  </si>
  <si>
    <t>Fast Food, Delis, Restaurants, Sandwiches</t>
  </si>
  <si>
    <t>Firehouse Subs</t>
  </si>
  <si>
    <t>320 McHolme Dr</t>
  </si>
  <si>
    <t>90DT5MO2X-C2F_5c66DNag</t>
  </si>
  <si>
    <t>American (New), Italian, Nightlife, Restaurants, Bars, Wine Bars, Cocktail Bars</t>
  </si>
  <si>
    <t>Piccolina's</t>
  </si>
  <si>
    <t>1580 McLaughlin Run Rd, Ste 102</t>
  </si>
  <si>
    <t>RwVfX993kWTTZ3XPC9Fi2g</t>
  </si>
  <si>
    <t>Nightlife, Pubs, Restaurants, Bars</t>
  </si>
  <si>
    <t>Gorman's Pub</t>
  </si>
  <si>
    <t>3301 Saw Mill Run Blvd</t>
  </si>
  <si>
    <t>S7FgGl3c4hkRFQKMjLt-Og</t>
  </si>
  <si>
    <t>Mamma Lucia's Pizza</t>
  </si>
  <si>
    <t>8000 Mcknight Rd, Ste 555</t>
  </si>
  <si>
    <t>UzCZyYj511zKERJEpEk7-w</t>
  </si>
  <si>
    <t>4050 Brownsville Rd</t>
  </si>
  <si>
    <t>gb0rMm9AxTz0aiERkj2VEg</t>
  </si>
  <si>
    <t>301 S Hills Village, South Hill Village Mall</t>
  </si>
  <si>
    <t>qV193bfO-X4ysTviA2iUAA</t>
  </si>
  <si>
    <t>Pizza, Italian, Restaurants, Chicken Wings</t>
  </si>
  <si>
    <t>4911 Penn Ave</t>
  </si>
  <si>
    <t>eCBHpk_jwbaxf1Q6uH3moA</t>
  </si>
  <si>
    <t>Restaurants, Ethnic Food, Specialty Food, Imported Food, Greek, Food</t>
  </si>
  <si>
    <t>The Greek Gourmet</t>
  </si>
  <si>
    <t>U3_446QN2gdF87stGCfu1Q</t>
  </si>
  <si>
    <t>Sushi Bars, Restaurants, Teppanyaki, Japanese, Steakhouses</t>
  </si>
  <si>
    <t>Feng Japanese Steak Hibachi &amp; Sushi House</t>
  </si>
  <si>
    <t>4305 Main St</t>
  </si>
  <si>
    <t>5-wiVRTpKwhz2wKxNS-JzA</t>
  </si>
  <si>
    <t>Chicken Wings, Hot Dogs, Burgers, Cheesesteaks, Food, Restaurants</t>
  </si>
  <si>
    <t>51 Wings and Things</t>
  </si>
  <si>
    <t>4022 Saw Mill Run Blvd</t>
  </si>
  <si>
    <t>pCLcxHIpJpTGONOJlQnI3A</t>
  </si>
  <si>
    <t>Yimmy's Deli</t>
  </si>
  <si>
    <t>650 Smithfield St</t>
  </si>
  <si>
    <t>1cGyzWtfOoDiE8V0OR85yA</t>
  </si>
  <si>
    <t>Food, Restaurants, French, Desserts, Creperies</t>
  </si>
  <si>
    <t>Crepes Parisiennes</t>
  </si>
  <si>
    <t>207 S Craig St</t>
  </si>
  <si>
    <t>YhSQVIUT0vwmVsd08BwVsQ</t>
  </si>
  <si>
    <t>Salad, Vegetarian, Soup, Restaurants, Food, Juice Bars &amp; Smoothies</t>
  </si>
  <si>
    <t>Simple Ingredients</t>
  </si>
  <si>
    <t>oRKyGtUsN5IcRReN7ScUwQ</t>
  </si>
  <si>
    <t>Italian, Pizza, Food, Burgers, Restaurants, Food Delivery Services</t>
  </si>
  <si>
    <t>Riviera Pizza &amp; Pasta</t>
  </si>
  <si>
    <t>1213 Spring Garden Ave</t>
  </si>
  <si>
    <t>P3Dy7GF1Sw8RrW1Dd9ZVjA</t>
  </si>
  <si>
    <t>Sandwiches, Restaurants, Pizza</t>
  </si>
  <si>
    <t>Center Avenue Slice</t>
  </si>
  <si>
    <t>332 Center Ave</t>
  </si>
  <si>
    <t>5fCrdm9cVd8AphdRQcZLeg</t>
  </si>
  <si>
    <t>Tic Toc Restaurant</t>
  </si>
  <si>
    <t>Macy's, 400 Fifth Ave</t>
  </si>
  <si>
    <t>Yf74t_bR1mhRXY03IU6OhA</t>
  </si>
  <si>
    <t>American (New), Restaurants, American (Traditional), Barbeque, Nightlife, Bars</t>
  </si>
  <si>
    <t>The Getaway Cafe</t>
  </si>
  <si>
    <t>3049 Sussex Ave</t>
  </si>
  <si>
    <t>ZPVhjltJcQ-YnaoV-h-FeA</t>
  </si>
  <si>
    <t>Italian, Seafood, Restaurants, Salad</t>
  </si>
  <si>
    <t>Arpino Trattoria</t>
  </si>
  <si>
    <t>x5G0GUkGnlWtM49Qe4nHog</t>
  </si>
  <si>
    <t>Mediterranean, Restaurants</t>
  </si>
  <si>
    <t>Palmyra Mediterrean Cuisine</t>
  </si>
  <si>
    <t>10 Smithfield St</t>
  </si>
  <si>
    <t>fjE-jiwnTQysz-rLl6YMQg</t>
  </si>
  <si>
    <t>Amazing Wok</t>
  </si>
  <si>
    <t>2910 W Liberty Ave, Ste 1</t>
  </si>
  <si>
    <t>k6zl_3rFNH5OVare5n9Qgg</t>
  </si>
  <si>
    <t>Smallman Street Deli</t>
  </si>
  <si>
    <t>2840 Smallman St</t>
  </si>
  <si>
    <t>YfKZh6Op-PmuKyzZu_DMGQ</t>
  </si>
  <si>
    <t>Bars, Restaurants, Nightlife, Pubs</t>
  </si>
  <si>
    <t>Peter's Pub</t>
  </si>
  <si>
    <t>116 Oakland Ave</t>
  </si>
  <si>
    <t>QWA-sRNX-9npPFCkTIkxng</t>
  </si>
  <si>
    <t>Restaurants, Shaved Ice, Hot Dogs, Food, Juice Bars &amp; Smoothies</t>
  </si>
  <si>
    <t>New York Original</t>
  </si>
  <si>
    <t>125 W Station Sq Dr</t>
  </si>
  <si>
    <t>S1mm3JFYmuewmKfUK8M8iw</t>
  </si>
  <si>
    <t>Sushi Bars, Restaurants, Chinese</t>
  </si>
  <si>
    <t>Chai's Pittsburgh Fusion</t>
  </si>
  <si>
    <t>1000 Airport Blvd, Fl 3</t>
  </si>
  <si>
    <t>w-qFEyBuVKyQ_b81jRig2w</t>
  </si>
  <si>
    <t>Bars, Cocktail Bars, Sports Bars, Food, Beer, Wine &amp; Spirits, Beer Bar, Nightlife, American (Traditional), Restaurants</t>
  </si>
  <si>
    <t>Thirsty Scholar Bar &amp; Grille</t>
  </si>
  <si>
    <t>3610 Fifth Ave</t>
  </si>
  <si>
    <t>ndE42tcNzqjSEW_Ciz2BOw</t>
  </si>
  <si>
    <t>Seafood, Sushi Bars, Restaurants</t>
  </si>
  <si>
    <t>Penn Avenue Fish Company</t>
  </si>
  <si>
    <t>308 Forbes Ave</t>
  </si>
  <si>
    <t>mqiHZYNXnMLaEK87JZOzmA</t>
  </si>
  <si>
    <t>Tasty Chinese Restaurant</t>
  </si>
  <si>
    <t>vNlJsfKKp968CZWr8J5xDA</t>
  </si>
  <si>
    <t>Restaurants, Sandwiches, Caterers, Event Planning &amp; Services</t>
  </si>
  <si>
    <t>WG Grinders</t>
  </si>
  <si>
    <t>4765 Liberty Ave</t>
  </si>
  <si>
    <t>703 Liberty Ave</t>
  </si>
  <si>
    <t>pVx6DHah5GgEPNOioUZlKQ</t>
  </si>
  <si>
    <t>9805 McKnight Rd</t>
  </si>
  <si>
    <t>7xHbnGo4MXFkBm6gYSu_xg</t>
  </si>
  <si>
    <t>Anthony's Coal Fired Pizza</t>
  </si>
  <si>
    <t>1810 Settler's Ridge Center Dr</t>
  </si>
  <si>
    <t>tpunY93tKQQs7f-PljcPSg</t>
  </si>
  <si>
    <t>Fast Food, Chicken Wings, Restaurants, Chicken Shop</t>
  </si>
  <si>
    <t>5130 Clairton Blvd</t>
  </si>
  <si>
    <t>tBecXDdDmboDVwUu4kmOiA</t>
  </si>
  <si>
    <t>Nick's Place</t>
  </si>
  <si>
    <t>1276 Benton Ave</t>
  </si>
  <si>
    <t>l1JDX-o0wCLykuh78R8Kng</t>
  </si>
  <si>
    <t>Whitfield</t>
  </si>
  <si>
    <t>I5z8NAbY-fajI7YWvGU8jQ</t>
  </si>
  <si>
    <t>Soup, Salad, Breakfast &amp; Brunch, Bagels, Sandwiches, Food, Restaurants, Bakeries</t>
  </si>
  <si>
    <t>942 Freeport Rd</t>
  </si>
  <si>
    <t>CaMwTEn92eJ1T2Zfr1xcnA</t>
  </si>
  <si>
    <t>Mamma Lucia Pizza</t>
  </si>
  <si>
    <t>433 Wood St</t>
  </si>
  <si>
    <t>stD-LTFFwlmBdzU-0aBntw</t>
  </si>
  <si>
    <t>Little Nipper's Pizza II</t>
  </si>
  <si>
    <t>216 N Craig St</t>
  </si>
  <si>
    <t>zuCu5ff06l4Pe33qYe58MA</t>
  </si>
  <si>
    <t>Food, Bakeries, Restaurants</t>
  </si>
  <si>
    <t>Sanchioli Bakery</t>
  </si>
  <si>
    <t>4731 Juniper St</t>
  </si>
  <si>
    <t>Q1WoqmmvoyWC3b6esLNyCQ</t>
  </si>
  <si>
    <t>2251 Noblestown Rd</t>
  </si>
  <si>
    <t>TByvxX_5DZlLmf9Zs_j3xg</t>
  </si>
  <si>
    <t>American (Traditional), Pizza, Restaurants, Italian</t>
  </si>
  <si>
    <t>Circolo Woodfired</t>
  </si>
  <si>
    <t>EIh7YScoQ9oFT4aekeCS3A</t>
  </si>
  <si>
    <t>Restaurants, Cafeteria</t>
  </si>
  <si>
    <t>UPMC Presbyterian Cafeteria</t>
  </si>
  <si>
    <t>200 Lothrop St, Fl 11</t>
  </si>
  <si>
    <t>Bp2pM6YLjcKjiKbVecwIMQ</t>
  </si>
  <si>
    <t>Music Venues, American (Traditional), Nightlife, Arts &amp; Entertainment, Bars, Restaurants</t>
  </si>
  <si>
    <t>Thunderbird Cafe</t>
  </si>
  <si>
    <t>4023 Butler St</t>
  </si>
  <si>
    <t>hNCKIrMJSacjMiWVwRb_YQ</t>
  </si>
  <si>
    <t>Barbeque, Salad, Gluten-Free, Pizza, Hawaiian, Vegan, Restaurants</t>
  </si>
  <si>
    <t>Lotsa Stone Fired Pizza</t>
  </si>
  <si>
    <t>3621 Forbes Ave</t>
  </si>
  <si>
    <t>EHGKrUgGpxYpfs4N3paJ1w</t>
  </si>
  <si>
    <t>Penn City Grill</t>
  </si>
  <si>
    <t>1000 Penn Ave</t>
  </si>
  <si>
    <t>u9tuI33E_9gU7guwbOdJVg</t>
  </si>
  <si>
    <t>ysJo5Jdo29XOBCnKrbUKWg</t>
  </si>
  <si>
    <t>Creperies, Gluten-Free, Restaurants, French, Food, Breakfast &amp; Brunch, Brasseries, American (New)</t>
  </si>
  <si>
    <t>Paris 66</t>
  </si>
  <si>
    <t>6018 Centre Ave</t>
  </si>
  <si>
    <t>Yf0rRaOWWGrqvTQ2B3dE0Q</t>
  </si>
  <si>
    <t>E Town Bar and Grille</t>
  </si>
  <si>
    <t>304 Butler St</t>
  </si>
  <si>
    <t>jFs8pmCWB6n0LWzddOwI1g</t>
  </si>
  <si>
    <t>American (Traditional), Sandwiches, Bars, Restaurants, Seafood, Nightlife, American (New)</t>
  </si>
  <si>
    <t>911 Freeport Rd</t>
  </si>
  <si>
    <t>P2uPCEBP2VZsApnvEHCgag</t>
  </si>
  <si>
    <t>All India</t>
  </si>
  <si>
    <t>5VLwQAIheQwmpusFa-tC6w</t>
  </si>
  <si>
    <t>1614 Cochran Rd</t>
  </si>
  <si>
    <t>Jl-lJisnmsy8BCV0Pif4xg</t>
  </si>
  <si>
    <t>Restaurants, Greek, Mediterranean, Middle Eastern</t>
  </si>
  <si>
    <t>Christos Mediterranean Grille</t>
  </si>
  <si>
    <t>130 6th St</t>
  </si>
  <si>
    <t>r3aaLFas48VMm2FbYgzwqA</t>
  </si>
  <si>
    <t>Pittsburgh Pretzel Sandwich Shop</t>
  </si>
  <si>
    <t>6Uv15dNmIxtPMB_1O2O1vA</t>
  </si>
  <si>
    <t>Food, Ice Cream &amp; Frozen Yogurt, Restaurants, Sandwiches</t>
  </si>
  <si>
    <t>The Scoop</t>
  </si>
  <si>
    <t>5384 Mifflin Rd</t>
  </si>
  <si>
    <t>Yf9ehzxrEWiymvUME6pm1A</t>
  </si>
  <si>
    <t>Wraps, Restaurants, Chicken Wings, Barbeque, Southern</t>
  </si>
  <si>
    <t>Meat Here</t>
  </si>
  <si>
    <t>YO0wmR-mgb_2dNCSyZFoaQ</t>
  </si>
  <si>
    <t>Chicken Wings, Pizza, Restaurants, Sandwiches</t>
  </si>
  <si>
    <t>1019 W View Park Dr</t>
  </si>
  <si>
    <t>TsCq0UqOrKJ_ZJx7KKwKkA</t>
  </si>
  <si>
    <t>Pasqualino's Pizza &amp; Pasta</t>
  </si>
  <si>
    <t>13032 Frankstown Rd</t>
  </si>
  <si>
    <t>L_ibZRB6OAQCnQuA3jluyQ</t>
  </si>
  <si>
    <t>Moroccan, Restaurants</t>
  </si>
  <si>
    <t>Kous Kous Cafe</t>
  </si>
  <si>
    <t>ABiwctEu-OZ8YsVc5lnLZQ</t>
  </si>
  <si>
    <t>Nightlife, Restaurants, Sports Bars, Sandwiches, Bars, American (Traditional)</t>
  </si>
  <si>
    <t>Champions Club</t>
  </si>
  <si>
    <t>500 Mansfield Ave</t>
  </si>
  <si>
    <t>aHVhlCvmlNnnPf-LgclNNA</t>
  </si>
  <si>
    <t>Sesame Inn Chinese Restaurant</t>
  </si>
  <si>
    <t>Station Square, 125 W Station Square Dr</t>
  </si>
  <si>
    <t>ffKC05KiJWMB1ppjOYs9Hg</t>
  </si>
  <si>
    <t>Asiatique Thai Bistro</t>
  </si>
  <si>
    <t>6525 Penn Ave</t>
  </si>
  <si>
    <t>dJhfW7ZqZ5_klqA_8ypHVw</t>
  </si>
  <si>
    <t>Poke, Restaurants, Food, Sushi Bars, Japanese</t>
  </si>
  <si>
    <t>417 S Craig St</t>
  </si>
  <si>
    <t>0pi1DQ3N8gC6jhdHfDWEMA</t>
  </si>
  <si>
    <t>Asian Fusion, Food Trucks, Barbeque, Korean, Street Vendors, Food, Restaurants</t>
  </si>
  <si>
    <t>MR Bulgogi</t>
  </si>
  <si>
    <t>z2RiCl_iU-8bM4Lj1zNL8g</t>
  </si>
  <si>
    <t>Lounges, Bars, Nightlife, Brazilian, Steakhouses, Latin American, Restaurants, Cocktail Bars</t>
  </si>
  <si>
    <t>Green Forest Churrascaria</t>
  </si>
  <si>
    <t>655 Rodi Rd, Ste 1</t>
  </si>
  <si>
    <t>Q4WmBfRD6rcTSXVZqjKC5Q</t>
  </si>
  <si>
    <t>Sushi Bars, Restaurants, Japanese, Hawaiian, Food, Poke, Asian Fusion</t>
  </si>
  <si>
    <t>Mount Everest Sushi</t>
  </si>
  <si>
    <t>1yjkuM180FSUxo__fR8WAw</t>
  </si>
  <si>
    <t>Melange</t>
  </si>
  <si>
    <t>136 6th St</t>
  </si>
  <si>
    <t>yHplknOLkiM3vb3ozwZtwQ</t>
  </si>
  <si>
    <t>Curry Leaf Indian Bistro</t>
  </si>
  <si>
    <t>111 Smithfield St</t>
  </si>
  <si>
    <t>Lxffru6JZP-jbpkOV8x5pA</t>
  </si>
  <si>
    <t>Sandwiches, Restaurants, Bars, American (Traditional), Nightlife, Sports Bars, American (New)</t>
  </si>
  <si>
    <t>1001 Fifth Ave</t>
  </si>
  <si>
    <t>goar7zF4G0LdsQ1Y4KS3Iw</t>
  </si>
  <si>
    <t>Event Planning &amp; Services, Barbeque, Caterers, Restaurants</t>
  </si>
  <si>
    <t>Pittsburgh Barbecue Company</t>
  </si>
  <si>
    <t>1000 Banksville Rd</t>
  </si>
  <si>
    <t>Beer Bar, American (Traditional), Nightlife, Bars, Restaurants</t>
  </si>
  <si>
    <t>Grant Bar</t>
  </si>
  <si>
    <t>114 Grant Ave</t>
  </si>
  <si>
    <t>IkDhIjEIzE0a_eP4xWNiZw</t>
  </si>
  <si>
    <t>Tex-Mex, Restaurants, Fast Food, Mexican</t>
  </si>
  <si>
    <t>4801 Mcknight Rd</t>
  </si>
  <si>
    <t>bAWQmZgMggH4HTJnVcpLPw</t>
  </si>
  <si>
    <t>Restaurants, Mexican, Tex-Mex</t>
  </si>
  <si>
    <t>Moe's Southwest Grill</t>
  </si>
  <si>
    <t>5432 Campbell's Run Rd</t>
  </si>
  <si>
    <t>ZWbJlxV7sdxBBgyw_-4vVg</t>
  </si>
  <si>
    <t>Bai Ling Chinese Restaurant</t>
  </si>
  <si>
    <t>P8nY22PirIp-d1GpDn7qnA</t>
  </si>
  <si>
    <t>Fast Food, Burgers, American (New), Restaurants</t>
  </si>
  <si>
    <t>117 S Bouquet St</t>
  </si>
  <si>
    <t>Uaa7D8zrRUQRhMZjhGXM5g</t>
  </si>
  <si>
    <t>Amazon Cafe</t>
  </si>
  <si>
    <t>555 Grant Street</t>
  </si>
  <si>
    <t>lqHk6vmnSoTaZwMLSfq1MA</t>
  </si>
  <si>
    <t>American (Traditional), Restaurants, Cocktail Bars, Beer Bar, Nightlife, Bars, Beer Gardens, Caterers, Event Planning &amp; Services, Food, Sandwiches, Barbeque, Smokehouse</t>
  </si>
  <si>
    <t>Pork &amp; Beans</t>
  </si>
  <si>
    <t>UdE2E77qVQRLNxwSy9SJ3Q</t>
  </si>
  <si>
    <t>Robbie's Super-Stuff Super-Licious Bbq Restaurant</t>
  </si>
  <si>
    <t>1000 Ardmore Blvd</t>
  </si>
  <si>
    <t>RBwAfKwvWcZ8NY7zKbzYHg</t>
  </si>
  <si>
    <t>Hot Dogs, Restaurants, Fast Food, Burgers</t>
  </si>
  <si>
    <t>7317 McKnight Rd</t>
  </si>
  <si>
    <t>F54qeTNrCm4gjUur48Dw4Q</t>
  </si>
  <si>
    <t>749lGtWM9PsrWonlVY4W2w</t>
  </si>
  <si>
    <t>Soup, Restaurants, Thai, Salad</t>
  </si>
  <si>
    <t>Bangkok Balcony</t>
  </si>
  <si>
    <t>5846 Forbes Ave</t>
  </si>
  <si>
    <t>GaErjWbIxxMIQzniXwI9dg</t>
  </si>
  <si>
    <t>Restaurants, Bars, American (New), American (Traditional), Nightlife</t>
  </si>
  <si>
    <t>Olive Press Restaurant</t>
  </si>
  <si>
    <t>Hyatt Regency Pittsburgh International Airport, 1111 Airport Blvd</t>
  </si>
  <si>
    <t>7_vGbkiXM_eyVtIxmc0rFQ</t>
  </si>
  <si>
    <t>Cafes, Restaurants, Juice Bars &amp; Smoothies, Food</t>
  </si>
  <si>
    <t>Living Juicy</t>
  </si>
  <si>
    <t>5892 Ellsworth Ave</t>
  </si>
  <si>
    <t>TFdLM8R_7Pf1xVeBNKl0hg</t>
  </si>
  <si>
    <t>Restaurants, Bars, Cocktail Bars, Wine Bars, Diners, Mediterranean, Nightlife, Greek, Breakfast &amp; Brunch</t>
  </si>
  <si>
    <t>Casbah</t>
  </si>
  <si>
    <t>229 S Highland Ave</t>
  </si>
  <si>
    <t>xZfPdAYeimiruXuGR4nSUA</t>
  </si>
  <si>
    <t>Restaurants, Food, Specialty Food, Vegetarian, Health Markets</t>
  </si>
  <si>
    <t>East End Food Co-Op</t>
  </si>
  <si>
    <t>7516 Meade St</t>
  </si>
  <si>
    <t>a5xUI7TvsNhM5gZr6KowDg</t>
  </si>
  <si>
    <t>Sesame Inn</t>
  </si>
  <si>
    <t>711 Browns Ln</t>
  </si>
  <si>
    <t>yZ_wpRr4Svw8YRZ9voCgIw</t>
  </si>
  <si>
    <t>Restaurants, American (New), Wine Bars, Cafes, Bars, Soul Food, Breakfast &amp; Brunch, Coffee &amp; Tea, Modern European, Burgers, Nightlife, Sandwiches, Food</t>
  </si>
  <si>
    <t>The Vandal</t>
  </si>
  <si>
    <t>4306 Butler St</t>
  </si>
  <si>
    <t>jPqrHW9lXfdtQDmm2wzyrw</t>
  </si>
  <si>
    <t>Ethiopian, Vegetarian, Restaurants, Vegan</t>
  </si>
  <si>
    <t>Abay Ethiopian Cuisine</t>
  </si>
  <si>
    <t>130 S Highland Ave</t>
  </si>
  <si>
    <t>S_1VtaSWcMsWHSLN1gIk6Q</t>
  </si>
  <si>
    <t>American (Traditional), Sandwiches, Breakfast &amp; Brunch, Restaurants</t>
  </si>
  <si>
    <t>Eco Bistro</t>
  </si>
  <si>
    <t>116 Allegheny Ctr</t>
  </si>
  <si>
    <t>Fd25lEnclIwyWlSRgkbRfg</t>
  </si>
  <si>
    <t>Bridge Ten Brasserie</t>
  </si>
  <si>
    <t>nbsjdiUunohQX1JAxsqpMw</t>
  </si>
  <si>
    <t>Food, American (Traditional), Restaurants, Bakeries, Breakfast &amp; Brunch</t>
  </si>
  <si>
    <t>Good L'oven</t>
  </si>
  <si>
    <t>318 Sewickley Oakmont Rd</t>
  </si>
  <si>
    <t>Xt6xo-UmJhYtHiscwRnw0A</t>
  </si>
  <si>
    <t>Nightlife, Breweries, Restaurants, Pubs, Bars, Food, Gastropubs</t>
  </si>
  <si>
    <t>Southern Tier Brewery Pittsburgh</t>
  </si>
  <si>
    <t>316 N Shore Dr</t>
  </si>
  <si>
    <t>Voeq7aGDmCGMjE_SQiHwRA</t>
  </si>
  <si>
    <t>Nightlife, Bars, Tacos, Cocktail Bars, American (New), Seafood, Mexican, Restaurants</t>
  </si>
  <si>
    <t>Bakersfield</t>
  </si>
  <si>
    <t>940 Penn Ave</t>
  </si>
  <si>
    <t>RThuRlhMdowhtY8vITEIzQ</t>
  </si>
  <si>
    <t>Ice Cream &amp; Frozen Yogurt, Pizza, Desserts, Restaurants, Italian, Food</t>
  </si>
  <si>
    <t>2128 Murray Ave</t>
  </si>
  <si>
    <t>QJS8r7COJYqVSzMGO8Us5g</t>
  </si>
  <si>
    <t>Nightlife, Restaurants, Bars</t>
  </si>
  <si>
    <t>Carve</t>
  </si>
  <si>
    <t>NbEI-3hWnOcRNRJ6qIktTQ</t>
  </si>
  <si>
    <t>Restaurants, Nightlife, Bars, American (New), Chicken Wings, Sports Bars</t>
  </si>
  <si>
    <t>Shooti's Bar &amp; Grille</t>
  </si>
  <si>
    <t>100 J Boyce Park Dr</t>
  </si>
  <si>
    <t>URpAp76v2SVBbDJr3Obasg</t>
  </si>
  <si>
    <t>Food, Pizza, Italian, Restaurants</t>
  </si>
  <si>
    <t>Pittsburgh Pizza Point</t>
  </si>
  <si>
    <t>7615 Saltsburg Rd</t>
  </si>
  <si>
    <t>x_c-KatYu_utcgl_n0LAbg</t>
  </si>
  <si>
    <t>Arts &amp; Entertainment, German, Food, Beer, Wine &amp; Spirits, Social Clubs, Restaurants</t>
  </si>
  <si>
    <t>Teutonia MÃƒÂ¤nnerchor</t>
  </si>
  <si>
    <t>857 Phineas St</t>
  </si>
  <si>
    <t>S8urdN6ACnRQUm-7o9An8w</t>
  </si>
  <si>
    <t>Event Planning &amp; Services, Food, Restaurants, Bars, Venues &amp; Event Spaces, Nightlife, American (New), Desserts</t>
  </si>
  <si>
    <t>Altius</t>
  </si>
  <si>
    <t>9Lu2VvdAPswV-RRiQFfXXQ</t>
  </si>
  <si>
    <t>Restaurants, Diners, Sandwiches, American (Traditional), Fast Food, American (New), Burgers, Breakfast &amp; Brunch</t>
  </si>
  <si>
    <t>Steak Ã¢â‚¬â„¢n Shake</t>
  </si>
  <si>
    <t>1951 Park Manor Blvd</t>
  </si>
  <si>
    <t>Dw7I9LJgp2tH1QScYCuhbw</t>
  </si>
  <si>
    <t>Taco Loco</t>
  </si>
  <si>
    <t>nc5uuDeM3EA9WJycGDeg1w</t>
  </si>
  <si>
    <t>Food, Restaurants, Farmers Market</t>
  </si>
  <si>
    <t>Pittsburgh Public Market</t>
  </si>
  <si>
    <t>3Kcq4_6RAhltAO6ZVgVygQ</t>
  </si>
  <si>
    <t>Bigelow Grille</t>
  </si>
  <si>
    <t>1 Bigelow Sq</t>
  </si>
  <si>
    <t>eVfiw0hygDAz0wwrD9f_zQ</t>
  </si>
  <si>
    <t>Specialty Food, Restaurants, Mexican, Tacos, Donuts, Food, Sandwiches</t>
  </si>
  <si>
    <t>Porked East Liberty</t>
  </si>
  <si>
    <t>z1nFepEOkn_Bp5aopscf9w</t>
  </si>
  <si>
    <t>Sandwiches, American (Traditional), Restaurants, American (New), Nightlife, Sports Bars, Bars</t>
  </si>
  <si>
    <t>100 Art Rooney Ave</t>
  </si>
  <si>
    <t>BaIRfAJzaqL0VKizwlTciw</t>
  </si>
  <si>
    <t>Event Planning &amp; Services, Sandwiches, Caterers, Restaurants, Hot Dogs, Specialty Food, Fast Food, Meat Shops, Food</t>
  </si>
  <si>
    <t>Feeney's Weenies</t>
  </si>
  <si>
    <t>UqbnR83EtBOWK6unSZkeLg</t>
  </si>
  <si>
    <t>Steakhouses, Restaurants, Brazilian</t>
  </si>
  <si>
    <t>Fogo de ChÃƒÂ£o Brazilian Steakhouse</t>
  </si>
  <si>
    <t>525 Smithfield St</t>
  </si>
  <si>
    <t>43BhNqFWiJmBs8KkPgJ_KQ</t>
  </si>
  <si>
    <t>Kosher, Wine Bars, Bars, Food, Mediterranean, Restaurants, Diners, Nightlife, Cafes, Internet Cafes</t>
  </si>
  <si>
    <t>Eighteen</t>
  </si>
  <si>
    <t>2028 Murray Ave</t>
  </si>
  <si>
    <t>cJREFoHP-dAYmwDzfWOHbA</t>
  </si>
  <si>
    <t>Food, Restaurants, Italian, Pizza, Food Delivery Services</t>
  </si>
  <si>
    <t>979 Freeport Rd</t>
  </si>
  <si>
    <t>PyrUtoxrsVDcIw6HbLQTMw</t>
  </si>
  <si>
    <t>Restaurants, Sandwiches, Diners, American (Traditional), Nightlife, Bars, Salad</t>
  </si>
  <si>
    <t>Grant Street Tavern</t>
  </si>
  <si>
    <t>RhnBoOv61mYYtNKatNYgEQ</t>
  </si>
  <si>
    <t>Katerbean</t>
  </si>
  <si>
    <t>1108 S Braddock Ave</t>
  </si>
  <si>
    <t>BHWIl_wI7P58JrODocBjkg</t>
  </si>
  <si>
    <t>notion</t>
  </si>
  <si>
    <t>zM2tnreDSBx__LMPwkst3A</t>
  </si>
  <si>
    <t>American (Traditional), Restaurants, Comfort Food</t>
  </si>
  <si>
    <t>Home Restaurant</t>
  </si>
  <si>
    <t>uS5BHjGpMDQMTzLfuMVmHw</t>
  </si>
  <si>
    <t>Restaurants, Ramen, Japanese, Sushi Bars, Izakaya</t>
  </si>
  <si>
    <t>Fujiya Ramen</t>
  </si>
  <si>
    <t>buzXlOCvxtohdMD8g3EWsw</t>
  </si>
  <si>
    <t>Basque, Nightlife, Restaurants, Bars, Tapas Bars, Spanish, Wine Bars</t>
  </si>
  <si>
    <t>La Casa</t>
  </si>
  <si>
    <t>5884 Ellsworth Ave</t>
  </si>
  <si>
    <t>-1xCh7Cocn6IwFzhELyohA</t>
  </si>
  <si>
    <t>Nightlife, Bars, Restaurants, Sports Bars, Mexican</t>
  </si>
  <si>
    <t>Jose' and Tony's Mexican Restaurant</t>
  </si>
  <si>
    <t>1573 McFarland Rd</t>
  </si>
  <si>
    <t>-ZaQKvtRGQA-4FoUE_1s4w</t>
  </si>
  <si>
    <t>That's Amore</t>
  </si>
  <si>
    <t>5123 Butler St</t>
  </si>
  <si>
    <t>BNeS_hZfmdQWsqewj-LuDA</t>
  </si>
  <si>
    <t>Chinese, Restaurants, Szechuan, Taiwanese</t>
  </si>
  <si>
    <t>Ting's Kitchen</t>
  </si>
  <si>
    <t>3200 Mcintyre Square Dr</t>
  </si>
  <si>
    <t>oxig-TT9V2QttAvRqa5WNA</t>
  </si>
  <si>
    <t>Restaurants, Nightlife, Tapas/Small Plates, Bars, Pizza, Event Planning &amp; Services, Sports Bars, American (Traditional), Party &amp; Event Planning</t>
  </si>
  <si>
    <t>Buckhead Saloon</t>
  </si>
  <si>
    <t>225 W Station Sq Dr</t>
  </si>
  <si>
    <t>x4tKwQK09akHC7qONjVKcQ</t>
  </si>
  <si>
    <t>Burgers, American (New), Pubs, Nightlife, Bars, Restaurants</t>
  </si>
  <si>
    <t>Hambone's Neighborhood Bar and Grill</t>
  </si>
  <si>
    <t>4207 Butler St</t>
  </si>
  <si>
    <t>k9pQa-48qARibpa-Yf0xYQ</t>
  </si>
  <si>
    <t>Pizza Vesuvio</t>
  </si>
  <si>
    <t>Prd8JRVvPvL2d32GgtNCwQ</t>
  </si>
  <si>
    <t>Restaurants, Seafood, Fast Food</t>
  </si>
  <si>
    <t>Long John Silver's</t>
  </si>
  <si>
    <t>2417 Brownsville Rd</t>
  </si>
  <si>
    <t>qddBAMIQ40y-RqgP2XFd2g</t>
  </si>
  <si>
    <t>5189 Baum Blvd</t>
  </si>
  <si>
    <t>d6Skwa65ZxoO0NCBbzKlhA</t>
  </si>
  <si>
    <t>Graham's Bakery</t>
  </si>
  <si>
    <t>300 Mount Lebanon Blvd</t>
  </si>
  <si>
    <t>FFsG1lhnKz3_xyB2LyCXpg</t>
  </si>
  <si>
    <t>American (Traditional), Restaurants, Chicken Wings, Bars, Nightlife</t>
  </si>
  <si>
    <t>Mugshots Cafe</t>
  </si>
  <si>
    <t>25 Walsh Rd</t>
  </si>
  <si>
    <t>Sandwiches, American (New), Gastropubs, Restaurants, Seafood</t>
  </si>
  <si>
    <t>The Map Room Grill &amp; Bar</t>
  </si>
  <si>
    <t>1126 S Braddock Ave</t>
  </si>
  <si>
    <t>nMUSAPBxlvR8PBPDEsV52g</t>
  </si>
  <si>
    <t>Lebo Subs</t>
  </si>
  <si>
    <t>632 Washington Rd</t>
  </si>
  <si>
    <t>d2ZQRjuizstCTnicysmpMQ</t>
  </si>
  <si>
    <t>Eleven</t>
  </si>
  <si>
    <t>1150 Smallman St</t>
  </si>
  <si>
    <t>njmcKc7_7evWjUcrutdRkg</t>
  </si>
  <si>
    <t>DeMino's Pizza</t>
  </si>
  <si>
    <t>1164 Brookline Blvd</t>
  </si>
  <si>
    <t>u2Wvpa2pj2jfYcYSs_LETg</t>
  </si>
  <si>
    <t>Soul Food, Moroccan, Restaurants, Fish &amp; Chips</t>
  </si>
  <si>
    <t>K &amp; T's Fish and Chicken</t>
  </si>
  <si>
    <t>4521 Centre Ave</t>
  </si>
  <si>
    <t>gz87Wa7QUZ3gNlgE9NVPAA</t>
  </si>
  <si>
    <t>Chan An Restaurant</t>
  </si>
  <si>
    <t>2013 Wharton St</t>
  </si>
  <si>
    <t>jVaDrytDdOmkQX9moPWHTA</t>
  </si>
  <si>
    <t>Restaurants, Event Planning &amp; Services, Food Trucks, Street Vendors, Food, Cafes, Caterers</t>
  </si>
  <si>
    <t>The Burgh Bites Truck</t>
  </si>
  <si>
    <t>zi6cB_bkswWPLD2k3IVtyg</t>
  </si>
  <si>
    <t>Asian Fusion, Comfort Food, Fast Food, American (Traditional), Restaurants</t>
  </si>
  <si>
    <t>Chicken Grille</t>
  </si>
  <si>
    <t>5ggluCpQ25P0Ma_w2cBDEA</t>
  </si>
  <si>
    <t>Burgers, Salad, Restaurants, Cafes</t>
  </si>
  <si>
    <t>1922 E Carson St</t>
  </si>
  <si>
    <t>jNL2MoJI0Ps8hYVktQ4lkQ</t>
  </si>
  <si>
    <t>Minutello's Restaurant &amp; Lounge</t>
  </si>
  <si>
    <t>226 Shady Ave</t>
  </si>
  <si>
    <t>gFAM3DwY0snYGujBmR-xHQ</t>
  </si>
  <si>
    <t>American (Traditional), Bars, Restaurants, Nightlife, Burgers</t>
  </si>
  <si>
    <t>TGI Fridays</t>
  </si>
  <si>
    <t>1000 Airport Blvd, Concourse D, Gate D-76</t>
  </si>
  <si>
    <t>xwqsbc0rvThKGVEMjPFmVw</t>
  </si>
  <si>
    <t>Nightlife, Bars, Restaurants, Sports Bars, American (Traditional)</t>
  </si>
  <si>
    <t>Silky's Crows Nest</t>
  </si>
  <si>
    <t>19 River Rd</t>
  </si>
  <si>
    <t>edksZ0oSamGu9_TRhdgerw</t>
  </si>
  <si>
    <t>Nightlife, Restaurants, Bars, Cafes</t>
  </si>
  <si>
    <t>Murrays Cafe</t>
  </si>
  <si>
    <t>2040 Noble St</t>
  </si>
  <si>
    <t>cHEwqPrYvYGuES-dBwt3Kw</t>
  </si>
  <si>
    <t>Pizza, Nightlife, Food, Restaurants, Bars</t>
  </si>
  <si>
    <t>Freeport Pizza Kitchen and Bar</t>
  </si>
  <si>
    <t>Fox Chapel Plz, 1141 Freeport Rd</t>
  </si>
  <si>
    <t>FdAFfmeqaaY-1463SyTwGQ</t>
  </si>
  <si>
    <t>Breakfast &amp; Brunch, Diners, Restaurants</t>
  </si>
  <si>
    <t>Cherries Diner</t>
  </si>
  <si>
    <t>u1Ipln5AKQPMZu2FO7e0iA</t>
  </si>
  <si>
    <t>Nightlife, Bars, Cocktail Bars, Brasseries, French, Restaurants, Wine Bars</t>
  </si>
  <si>
    <t>La Riviera Bistro</t>
  </si>
  <si>
    <t>5925 Baum Blvd</t>
  </si>
  <si>
    <t>MLO4wBnTU0UoOZufxZfERQ</t>
  </si>
  <si>
    <t>Nightlife, Restaurants, Barbeque, American (Traditional), Bars</t>
  </si>
  <si>
    <t>The Smokehouse Bar &amp; Grill</t>
  </si>
  <si>
    <t>YgO2v1VNtbPA7zgp0szJXA</t>
  </si>
  <si>
    <t>American (New), Pizza, Salad, Sandwiches, Desserts, Restaurants, Italian, Food, Breakfast &amp; Brunch</t>
  </si>
  <si>
    <t>Joe &amp; Pie</t>
  </si>
  <si>
    <t>955 Liberty Ave</t>
  </si>
  <si>
    <t>American (Traditional), Pubs, Nightlife, Restaurants, Bars</t>
  </si>
  <si>
    <t>The Korner Pub</t>
  </si>
  <si>
    <t>4 Bower Hill Rd</t>
  </si>
  <si>
    <t>165GRJEJ-Jfrzesw7l5oFA</t>
  </si>
  <si>
    <t>American (New), Hotels &amp; Travel, Restaurants</t>
  </si>
  <si>
    <t>The Great American Grill</t>
  </si>
  <si>
    <t>3454 Forbes Ave</t>
  </si>
  <si>
    <t>96puuUqlMC8INO36uLi0ag</t>
  </si>
  <si>
    <t>DeBlasio's Restaurant</t>
  </si>
  <si>
    <t>1717 Cochran Rd</t>
  </si>
  <si>
    <t>W_0UsXpT_cES-_hAp_63BA</t>
  </si>
  <si>
    <t>Italian, Restaurants, American (New), Seafood</t>
  </si>
  <si>
    <t>Aracri's Greentree Inn</t>
  </si>
  <si>
    <t>1006 Greentree Rd</t>
  </si>
  <si>
    <t>4Oqq6x7TA5TDvwwnckvCGg</t>
  </si>
  <si>
    <t>Bars, Nightlife, Restaurants, Breakfast &amp; Brunch, American (New)</t>
  </si>
  <si>
    <t>Floor 2</t>
  </si>
  <si>
    <t>510 Market St</t>
  </si>
  <si>
    <t>bHO7WE9WgMT9USSr7ZI9JQ</t>
  </si>
  <si>
    <t>Tomato Pie Cafe</t>
  </si>
  <si>
    <t>885 E Ingomar Rd</t>
  </si>
  <si>
    <t>M-uo9HTEJEx7cS0eCsQyUg</t>
  </si>
  <si>
    <t>Hotels, Event Planning &amp; Services, Hotels &amp; Travel, Breakfast &amp; Brunch, Tea Rooms, Bed &amp; Breakfast, Food, Restaurants</t>
  </si>
  <si>
    <t>The Inn on Negley</t>
  </si>
  <si>
    <t>703 S Negley Ave</t>
  </si>
  <si>
    <t>RoSo1r-ATvtgxd6sNJvzpg</t>
  </si>
  <si>
    <t>Food, Bakeries, Patisserie/Cake Shop, Restaurants, Breakfast &amp; Brunch, Cafes</t>
  </si>
  <si>
    <t>La Gourmandine Bakery</t>
  </si>
  <si>
    <t>qIPQBPurlqbi07MmJ1kXTg</t>
  </si>
  <si>
    <t>Chicken Wings, Restaurants, American (Traditional), Burgers, Sandwiches</t>
  </si>
  <si>
    <t>August Henry's Burger Bar</t>
  </si>
  <si>
    <t>946 Penn Ave</t>
  </si>
  <si>
    <t>CaETzvd1cA5mYaCReGAHjA</t>
  </si>
  <si>
    <t>Nightlife, Bars, Pubs, Food, Restaurants, Irish</t>
  </si>
  <si>
    <t>Claddagh Irish Pub</t>
  </si>
  <si>
    <t>407 Cinema Dr</t>
  </si>
  <si>
    <t>New Lucky</t>
  </si>
  <si>
    <t>S7ECG2HNltSWFo1FcFTwFQ</t>
  </si>
  <si>
    <t>25 McMurray Rd</t>
  </si>
  <si>
    <t>j3IEZP4nQAt7fkxmerLMbA</t>
  </si>
  <si>
    <t>Whiskey Bars, Pizza, Burgers, Restaurants, Food, Bars, Nightlife</t>
  </si>
  <si>
    <t>Winghart's Burger &amp; Whiskey Bar</t>
  </si>
  <si>
    <t>5 Market Sq</t>
  </si>
  <si>
    <t>anMopnoKLimdtD4miKInBw</t>
  </si>
  <si>
    <t>North Shore Deli</t>
  </si>
  <si>
    <t>539 E Ohio St</t>
  </si>
  <si>
    <t>2GDZzcl2Jdn8186EEOTrCg</t>
  </si>
  <si>
    <t>The Lemon Grass Cafe</t>
  </si>
  <si>
    <t>124 6th St</t>
  </si>
  <si>
    <t>B-eT-dKm_CkXD3BuMBGFrA</t>
  </si>
  <si>
    <t>Fast Food, Restaurants, Chicken Wings, Chicken Shop</t>
  </si>
  <si>
    <t>278 Yost Blvd</t>
  </si>
  <si>
    <t>7pgmsGEqV7yawGM4b4fRrw</t>
  </si>
  <si>
    <t>Restaurants, Nightlife, American (Traditional), Bars, Gay Bars</t>
  </si>
  <si>
    <t>5801 Video Lounge and CafÃƒÂ©</t>
  </si>
  <si>
    <t>5801 Ellsworth Ave</t>
  </si>
  <si>
    <t>01I5pFCvJrrGuY3A-KoNIA</t>
  </si>
  <si>
    <t>Namaste India</t>
  </si>
  <si>
    <t>vG8Dx3_Vh_WlsZlUZiAa5A</t>
  </si>
  <si>
    <t>1717 Cochran Road</t>
  </si>
  <si>
    <t>GdB7us2H1YKmLwThnHl7jg</t>
  </si>
  <si>
    <t>Michael's Restaurant &amp; Lounge</t>
  </si>
  <si>
    <t>3052 Churchview Ave</t>
  </si>
  <si>
    <t>iDuwJjTE5Sw_bb3aFSTBCg</t>
  </si>
  <si>
    <t>526 Penn Ave</t>
  </si>
  <si>
    <t>x8-MzrVwJCwzqoACL21AJw</t>
  </si>
  <si>
    <t>Pizza Di Roma</t>
  </si>
  <si>
    <t>2809 Brownsville Rd</t>
  </si>
  <si>
    <t>otYQC14mx2XGcPKyVuvyMA</t>
  </si>
  <si>
    <t>Restaurants, Breakfast &amp; Brunch, American (New), American (Traditional), Diners</t>
  </si>
  <si>
    <t>1002 Ohio River Blvd</t>
  </si>
  <si>
    <t>6zm33qiJAMtjMSXGlfIFKA</t>
  </si>
  <si>
    <t>Bella Donne Pizza</t>
  </si>
  <si>
    <t>CipRVpM7YzsE-9U9wf2YNQ</t>
  </si>
  <si>
    <t>Bars, Restaurants, Pizza, Seafood, Nightlife</t>
  </si>
  <si>
    <t>Redfin Blues</t>
  </si>
  <si>
    <t>100 Waterfront Dr</t>
  </si>
  <si>
    <t>xICll6c7ztmXoJwy1n6NwQ</t>
  </si>
  <si>
    <t>Gluten-Free, Fast Food, Vegetarian, Restaurants</t>
  </si>
  <si>
    <t>Terrene</t>
  </si>
  <si>
    <t>224 West Station Square Dr</t>
  </si>
  <si>
    <t>AMWMEXmwrODR1X2G3V9Q0A</t>
  </si>
  <si>
    <t>Delgreco's Pizzeria</t>
  </si>
  <si>
    <t>OpNrObgtHgYijZYOU0yF-Q</t>
  </si>
  <si>
    <t>Joe Mama's Italian Deluxe</t>
  </si>
  <si>
    <t>eV2T4KE_sOxNhtyor3t7Bw</t>
  </si>
  <si>
    <t>American (Traditional), Bars, Restaurants, Nightlife</t>
  </si>
  <si>
    <t>The Ave</t>
  </si>
  <si>
    <t>5741 Ellsworth Ave</t>
  </si>
  <si>
    <t>wUr4HeEhhPeiFb7UmiYRzg</t>
  </si>
  <si>
    <t>Bubble Tea, Food, Coffee &amp; Tea, Korean, Restaurants, Chicken Wings</t>
  </si>
  <si>
    <t>Chick'n Bubbly</t>
  </si>
  <si>
    <t>117 Oakland Ave</t>
  </si>
  <si>
    <t>OY1G_vhUYJJ3HdHfOZ2wrQ</t>
  </si>
  <si>
    <t>American (Traditional), Restaurants, Breakfast &amp; Brunch</t>
  </si>
  <si>
    <t>The 509 Cafe</t>
  </si>
  <si>
    <t>509 Greenfield Ave</t>
  </si>
  <si>
    <t>On54MnSknSLMDSNnvUV4Ag</t>
  </si>
  <si>
    <t>Taverna 19</t>
  </si>
  <si>
    <t>49 18th St</t>
  </si>
  <si>
    <t>kzbH1_l7VTSfFFcwTqY6vA</t>
  </si>
  <si>
    <t>Caterers, Restaurants, Event Planning &amp; Services, Pizza, Italian</t>
  </si>
  <si>
    <t>Sarafino's Pasta and Pizza</t>
  </si>
  <si>
    <t>40 E Crafton Ave</t>
  </si>
  <si>
    <t>vmR1bRA2liNwwxsUKS1k3w</t>
  </si>
  <si>
    <t>Japanese, Restaurants, Creperies</t>
  </si>
  <si>
    <t>T-Swirl Crepe</t>
  </si>
  <si>
    <t>1714 Murray Ave</t>
  </si>
  <si>
    <t>nbKdzlGl5Rl6lB8F5g97ag</t>
  </si>
  <si>
    <t>American (New), Restaurants, Breakfast &amp; Brunch</t>
  </si>
  <si>
    <t>Gary's Restaurant</t>
  </si>
  <si>
    <t>2605 Brownsville Rd</t>
  </si>
  <si>
    <t>X-ITPkx_mvK1Tu6Eq_hfZQ</t>
  </si>
  <si>
    <t>Mateo's Cucina Italiana</t>
  </si>
  <si>
    <t>Gm2JaFiMaNDP3RsYociz9w</t>
  </si>
  <si>
    <t>Food Trucks, Burgers, Food, Restaurants</t>
  </si>
  <si>
    <t>BRGR Truck</t>
  </si>
  <si>
    <t>451-499 4th Ave</t>
  </si>
  <si>
    <t>o5yYfL5EPfyCMeKWnKPk3A</t>
  </si>
  <si>
    <t>Restaurants, Bakeries, Cafes, Food</t>
  </si>
  <si>
    <t>625 Liberty Ave</t>
  </si>
  <si>
    <t>Au4pX3CnaWDbwrAyYOukig</t>
  </si>
  <si>
    <t>Recipes Remembered</t>
  </si>
  <si>
    <t>1026 Mount Nebo Rd</t>
  </si>
  <si>
    <t>wXw4gfKADpCrZ7etddmsTA</t>
  </si>
  <si>
    <t>Restaurants, Pizza, Delis</t>
  </si>
  <si>
    <t>Chicken Derby</t>
  </si>
  <si>
    <t>10 Old Clairton Rd</t>
  </si>
  <si>
    <t>HGBmtJ-eiLok7sVZUBbIYg</t>
  </si>
  <si>
    <t>Fast Food, Food, Chicken Wings, Restaurants</t>
  </si>
  <si>
    <t>Popeyes</t>
  </si>
  <si>
    <t>o75ipeJO4E0Pfvq39jwcQg</t>
  </si>
  <si>
    <t>Restaurants, Salad, Pizza, Italian</t>
  </si>
  <si>
    <t>Il Burloni La Pizza E Cucina</t>
  </si>
  <si>
    <t>vGbzUluZ-vEPaIPPcUR8oQ</t>
  </si>
  <si>
    <t>Caterers, Southern, Sandwiches, Restaurants, Event Planning &amp; Services, Salad, American (New)</t>
  </si>
  <si>
    <t>Bistro To Go</t>
  </si>
  <si>
    <t>415 E Ohio St, Ste A</t>
  </si>
  <si>
    <t>qX9dJb-xCLZBCS-IlXv8Ng</t>
  </si>
  <si>
    <t>Tiki Bars, Nightlife, Bars, Restaurants, Lounges, Dance Clubs</t>
  </si>
  <si>
    <t>Tiki Lounge</t>
  </si>
  <si>
    <t>2003 E Carson St</t>
  </si>
  <si>
    <t>RvjO2u53pbFv7uCufPvNDg</t>
  </si>
  <si>
    <t>Grecian Isles</t>
  </si>
  <si>
    <t>2 Ppg Pl, Ste 12</t>
  </si>
  <si>
    <t>UDF-ISFu8lIZDyWvoR7nLg</t>
  </si>
  <si>
    <t>American (Traditional), Restaurants, Diners, Coffee &amp; Tea, Food, Breakfast &amp; Brunch, Burgers, Fast Food</t>
  </si>
  <si>
    <t>7319 Mcknight Rd</t>
  </si>
  <si>
    <t>kYXnTyi3ucyxoswK9bvzCQ</t>
  </si>
  <si>
    <t>Food, Food Delivery Services, Fast Food, Restaurants, Sandwiches, Delis</t>
  </si>
  <si>
    <t>3444 Forbes Ave</t>
  </si>
  <si>
    <t>tcnu9ivUsuQUNiz944bpOA</t>
  </si>
  <si>
    <t>Restaurants, Fast Food, Moroccan</t>
  </si>
  <si>
    <t>Kouskous Express</t>
  </si>
  <si>
    <t>HjrwseYzjupnpMdV4SaPWg</t>
  </si>
  <si>
    <t>Restaurants, Wine Tasting Room, Wineries, Food, Pizza, Nightlife, Bars, Italian, Arts &amp; Entertainment, Wine Bars</t>
  </si>
  <si>
    <t>Piazza Talarico and Papa Joe's Wine Cellar</t>
  </si>
  <si>
    <t>CG6L_c3xsN4L7JzKhgCdiQ</t>
  </si>
  <si>
    <t>1609 S Braddock Ave</t>
  </si>
  <si>
    <t>r35uf3EWEfpMo2ET98SPnA</t>
  </si>
  <si>
    <t>Asian Fusion, Food Stands, Food Trucks, Food, Restaurants</t>
  </si>
  <si>
    <t>Tartan Express</t>
  </si>
  <si>
    <t>Carnegie Mellon's</t>
  </si>
  <si>
    <t>yGfmwUKrZG4O2eNXP2JS1g</t>
  </si>
  <si>
    <t>Restaurants, American (Traditional), Bars, Pubs, Nightlife</t>
  </si>
  <si>
    <t>Park Place Pub</t>
  </si>
  <si>
    <t>5719 Bryant St</t>
  </si>
  <si>
    <t>FXSmA6oWEvylen1QnVZlAA</t>
  </si>
  <si>
    <t>Pamela's Upstreet Diner</t>
  </si>
  <si>
    <t>zaDZo74bWzds9MunE6XVxA</t>
  </si>
  <si>
    <t>Vincenzos Pizza &amp; Pasta</t>
  </si>
  <si>
    <t>1689 McFarland Rd</t>
  </si>
  <si>
    <t>L5wNKBuK6-tj7cfFMmgv1A</t>
  </si>
  <si>
    <t>Caterers, American (Traditional), Restaurants, Sandwiches, Comfort Food, Event Planning &amp; Services</t>
  </si>
  <si>
    <t>5200 Baum Blvd</t>
  </si>
  <si>
    <t>VNOosvcE6HN_dqSTqRicXQ</t>
  </si>
  <si>
    <t>JT's Restaurant</t>
  </si>
  <si>
    <t>4143 Brownsville Rd</t>
  </si>
  <si>
    <t>inRKr1zy12CoZmnK-0IRBQ</t>
  </si>
  <si>
    <t>Food, Restaurants, Sandwiches, Breakfast &amp; Brunch, Coffee &amp; Tea, Bagels</t>
  </si>
  <si>
    <t>Parker's PGH</t>
  </si>
  <si>
    <t>sw0nkPQvtxLtTyRnr-dt7A</t>
  </si>
  <si>
    <t>Mexican, Tex-Mex, Bars, Restaurants, Nightlife, American (Traditional)</t>
  </si>
  <si>
    <t>Chili's</t>
  </si>
  <si>
    <t>7404 McKnight Rd</t>
  </si>
  <si>
    <t>Beer Bar, Barbeque, Bars, Nightlife, Sandwiches, Restaurants</t>
  </si>
  <si>
    <t>B&amp;B Fired Up Goodness</t>
  </si>
  <si>
    <t>v2R_QhaLPvxKbdpJp8lPdA</t>
  </si>
  <si>
    <t>Bars, Sports Bars, Restaurants, American (New), Nightlife, American (Traditional)</t>
  </si>
  <si>
    <t>Fox and Hound</t>
  </si>
  <si>
    <t>Northway Mall, McKnight Rd, 2002 N Way Mall</t>
  </si>
  <si>
    <t>AKQbrvRBZvU5kB9Ut4gVkg</t>
  </si>
  <si>
    <t>Nightlife, Italian, Wine Bars, Restaurants, Bars, Pizza</t>
  </si>
  <si>
    <t>Pizzaiolo Primo</t>
  </si>
  <si>
    <t>8 Market Square</t>
  </si>
  <si>
    <t>jo-KUnLZs0M2RYIvi8-DPQ</t>
  </si>
  <si>
    <t>Cafes, Sandwiches, Breakfast &amp; Brunch, Restaurants</t>
  </si>
  <si>
    <t>DJ's Sandwich Shoppe</t>
  </si>
  <si>
    <t>4613 Liberty Ave</t>
  </si>
  <si>
    <t>7Nz_04fXn8L-u5L6hyLGvQ</t>
  </si>
  <si>
    <t>4260 Ohio River Blvd</t>
  </si>
  <si>
    <t>SGapZBbSgSYY3fziaskULQ</t>
  </si>
  <si>
    <t>India Palace Cuisine</t>
  </si>
  <si>
    <t>137 6th St</t>
  </si>
  <si>
    <t>rUy2MtHyFv8pI7FOW1DE8w</t>
  </si>
  <si>
    <t>Pizza, Italian, Tapas/Small Plates, Restaurants</t>
  </si>
  <si>
    <t>Pino's Contemporary Italian Restaurant &amp; Wine Bar</t>
  </si>
  <si>
    <t>6738 Reynolds St</t>
  </si>
  <si>
    <t>6a4-SPP4QJbJuHoMhPKnVQ</t>
  </si>
  <si>
    <t>Veracruz Mexican Restaurant</t>
  </si>
  <si>
    <t>2wU2cdWiKegJujTliMJx0w</t>
  </si>
  <si>
    <t>Restaurants, Burgers, Sandwiches, Halal, Pizza</t>
  </si>
  <si>
    <t>La Felice Pizza and Pasta</t>
  </si>
  <si>
    <t>3324 Babcock Blvd</t>
  </si>
  <si>
    <t>9xweM3L_Wva9wOctUeABeA</t>
  </si>
  <si>
    <t>807 W View Park Dr</t>
  </si>
  <si>
    <t>KEaCHdsY7w7CBsZ6h2dLeQ</t>
  </si>
  <si>
    <t>The Green Mango Noodle Hut</t>
  </si>
  <si>
    <t>ykwGLizkYXRsYy79kDFAKg</t>
  </si>
  <si>
    <t>4613 Centre Ave</t>
  </si>
  <si>
    <t>gZCpY4tmSctmHkvPipp3wg</t>
  </si>
  <si>
    <t>Restaurants, Comfort Food, Seafood, Caribbean</t>
  </si>
  <si>
    <t>Leon's Caribbean Restaurant</t>
  </si>
  <si>
    <t>uEzodpjckhsVQFfsXpFR0w</t>
  </si>
  <si>
    <t>Restaurants, American (Traditional), Diners, Breakfast &amp; Brunch, Food, Desserts</t>
  </si>
  <si>
    <t>Micro Diner</t>
  </si>
  <si>
    <t>221 Shiloh St</t>
  </si>
  <si>
    <t>dyaSQBKagPYylOJxsU8CMA</t>
  </si>
  <si>
    <t>Jimmy Tsang's Chinese Restaurant</t>
  </si>
  <si>
    <t>5700 Centre Ave</t>
  </si>
  <si>
    <t>EP05pjuysVWn49yezbbusw</t>
  </si>
  <si>
    <t>American (Traditional), Sandwiches, Burgers, Restaurants</t>
  </si>
  <si>
    <t>Bruceton Grille</t>
  </si>
  <si>
    <t>American (New), Breakfast &amp; Brunch, Vegetarian, Seafood, Event Planning &amp; Services, Venues &amp; Event Spaces, Restaurants</t>
  </si>
  <si>
    <t>Bistro 9101</t>
  </si>
  <si>
    <t>69RyJsThRTlyuyVbMexYDw</t>
  </si>
  <si>
    <t>Southern, Restaurants, Barbeque, Soul Food</t>
  </si>
  <si>
    <t>Big Mama's House of Southern Cuisine</t>
  </si>
  <si>
    <t>OR5zHbM31BGqxbZhIT1oYw</t>
  </si>
  <si>
    <t>American (New), Restaurants, Sandwiches</t>
  </si>
  <si>
    <t>Porked</t>
  </si>
  <si>
    <t>5203 Interboro Ave</t>
  </si>
  <si>
    <t>_I-z8EJ8rpXMmjTuCr5oqQ</t>
  </si>
  <si>
    <t>Food, Restaurants, Middle Eastern, Ethnic Food, Specialty Food</t>
  </si>
  <si>
    <t>Sunset Restaurant and Grill</t>
  </si>
  <si>
    <t>3eexaenBq8HvkTiYjVl3Pg</t>
  </si>
  <si>
    <t>Sushi Bars, Thai, Asian Fusion, Restaurants</t>
  </si>
  <si>
    <t>McKnight Kitchen</t>
  </si>
  <si>
    <t>4860 McKnight Rd</t>
  </si>
  <si>
    <t>gfoz8396be8brUupIPEHvw</t>
  </si>
  <si>
    <t>Bars, American (Traditional), Nightlife, Restaurants, Salad</t>
  </si>
  <si>
    <t>Johnny O's Bar &amp; Grille</t>
  </si>
  <si>
    <t>7Ny6x4wX1JJLqdVeKQ1JYg</t>
  </si>
  <si>
    <t>Mama C's</t>
  </si>
  <si>
    <t>Ritzland Shopping Ct</t>
  </si>
  <si>
    <t>Kayla's Cafe</t>
  </si>
  <si>
    <t>307 N Ave</t>
  </si>
  <si>
    <t>GH_GGx54q-U_NZ_A3znakg</t>
  </si>
  <si>
    <t>Pizza, Restaurants, Sandwiches</t>
  </si>
  <si>
    <t>Vincent's Pizza Park</t>
  </si>
  <si>
    <t>998 Ardmore Blvd</t>
  </si>
  <si>
    <t>T-OuUSSzWgrMCv9TUX3epg</t>
  </si>
  <si>
    <t>Restaurants, Bars, Chicken Wings, Pubs, Nightlife, Sports Bars</t>
  </si>
  <si>
    <t>McCoy's Pub &amp; Grille</t>
  </si>
  <si>
    <t>Fpm3WvqtrAg2ueh_4pz7iA</t>
  </si>
  <si>
    <t>Food, Thai, Specialty Food, Asian Fusion, Tea Rooms, Restaurants</t>
  </si>
  <si>
    <t>Spice Island Tea House</t>
  </si>
  <si>
    <t>253 Atwood St</t>
  </si>
  <si>
    <t>AYr2URtjoQ8Toh8_Jr4G6A</t>
  </si>
  <si>
    <t>Food, Bubble Tea, Chinese, Taiwanese, Restaurants</t>
  </si>
  <si>
    <t>Rose Tea Cafe</t>
  </si>
  <si>
    <t>414 S Craig St</t>
  </si>
  <si>
    <t>OohsWZ3A0bo8y6N6vi6ePA</t>
  </si>
  <si>
    <t>1820 Brownsville Rd</t>
  </si>
  <si>
    <t>zE7pCmT1P9-tFLHcoJ7jQw</t>
  </si>
  <si>
    <t>Nightlife, Restaurants, American (Traditional), Pubs, American (New), Bars</t>
  </si>
  <si>
    <t>Pints On Penn</t>
  </si>
  <si>
    <t>3523 Penn Ave</t>
  </si>
  <si>
    <t>rBko32y5vK13SD_sW3AG_g</t>
  </si>
  <si>
    <t>Pets, Animal Shelters, Food, Wine Bars, Cafes, Coffee &amp; Tea, Restaurants, Nightlife, Bars</t>
  </si>
  <si>
    <t>Colony CafÃƒÂ©</t>
  </si>
  <si>
    <t>YBddInm3xP6k9iOowm1EHw</t>
  </si>
  <si>
    <t>Dinette</t>
  </si>
  <si>
    <t>S6dARuOrrOXd4xSiTHti8g</t>
  </si>
  <si>
    <t>Restaurants, Seafood, Soup, Chinese</t>
  </si>
  <si>
    <t>Chengdu Gourmet</t>
  </si>
  <si>
    <t>D_pwairtGGR0V_w2xx5XeA</t>
  </si>
  <si>
    <t>Breakfast &amp; Brunch, Restaurants, Turkish, Mediterranean, Middle Eastern, Salad, Caterers, Event Planning &amp; Services</t>
  </si>
  <si>
    <t>Alihan's Mediterranean Cuisine</t>
  </si>
  <si>
    <t>XjAb0mxgCtq96pWWJjUBAg</t>
  </si>
  <si>
    <t>Italian, Restaurants, Bars, Food, Caterers, Event Planning &amp; Services, Wine Bars, Pizza, Nightlife</t>
  </si>
  <si>
    <t>6600 Robinson Centre Dr</t>
  </si>
  <si>
    <t>P6N8qIUlu2IEKr1_pdg00Q</t>
  </si>
  <si>
    <t>1021 Brownsville Rd</t>
  </si>
  <si>
    <t>Tz4fdGixKO3_HvOh8i81Iw</t>
  </si>
  <si>
    <t>Vinny's Pizza</t>
  </si>
  <si>
    <t>618 Brookline Blvd</t>
  </si>
  <si>
    <t>wpJcD0Qv-q4ShVJYH0hMLw</t>
  </si>
  <si>
    <t>Pesaro's Pizza</t>
  </si>
  <si>
    <t>4324 Butler St</t>
  </si>
  <si>
    <t>oP0GoJcjFmxNAmf2y6VilQ</t>
  </si>
  <si>
    <t>Soup, Restaurants</t>
  </si>
  <si>
    <t>Soup Nancys</t>
  </si>
  <si>
    <t>Pittsburgh Public Market, 2401 Penn Ave</t>
  </si>
  <si>
    <t>H-B_JoResY4PyXND1_DQfg</t>
  </si>
  <si>
    <t>Mexican, Restaurants, Tex-Mex</t>
  </si>
  <si>
    <t>Mad Mex - North Hills</t>
  </si>
  <si>
    <t>7905 McKnight Rd</t>
  </si>
  <si>
    <t>yREHrM0k3MlDxc0ZjwRoNQ</t>
  </si>
  <si>
    <t>Restaurants, Nightlife, Greek, American (Traditional), Bars</t>
  </si>
  <si>
    <t>Nico's Recovery Room</t>
  </si>
  <si>
    <t>178 Pearl St</t>
  </si>
  <si>
    <t>L95ppCbcWAt4LUWrCiEvPg</t>
  </si>
  <si>
    <t>Steakhouses, American (Traditional), Bars, Wine Bars, Seafood, Restaurants, Nightlife</t>
  </si>
  <si>
    <t>The Capital Grille</t>
  </si>
  <si>
    <t>301 5th Ave</t>
  </si>
  <si>
    <t>wY3dlpLa0BHfDENYAPYuZA</t>
  </si>
  <si>
    <t>Ten Penny</t>
  </si>
  <si>
    <t>960 Penn Ave</t>
  </si>
  <si>
    <t>rEuSmPPblKIcOzazlBwTcw</t>
  </si>
  <si>
    <t>210 Sixth Avenue</t>
  </si>
  <si>
    <t>8FD2hj952ehzFskvnQ9AJw</t>
  </si>
  <si>
    <t>Molinaro Ristorante &amp; Bar</t>
  </si>
  <si>
    <t>_zFva1D3lgJPvT-8vGQQJQ</t>
  </si>
  <si>
    <t>Bars, Pubs, Nightlife, American (Traditional), Restaurants</t>
  </si>
  <si>
    <t>Brookline Pub</t>
  </si>
  <si>
    <t>734 Brookline Blvd</t>
  </si>
  <si>
    <t>ZoFnfG7yrQWpvGR-etdGTw</t>
  </si>
  <si>
    <t>Dive Bars, Restaurants, Bars, American (Traditional), Nightlife</t>
  </si>
  <si>
    <t>Hemingway's Cafe</t>
  </si>
  <si>
    <t>3911 Forbes Ave</t>
  </si>
  <si>
    <t>Z-6QSR2lC-opp9l6HLYG_w</t>
  </si>
  <si>
    <t>Lucky Chinese Express</t>
  </si>
  <si>
    <t>1687 Washington Rd Ste 3</t>
  </si>
  <si>
    <t>wMCKPvpwktDF8mTlwcr23g</t>
  </si>
  <si>
    <t>Penny's Diner</t>
  </si>
  <si>
    <t>1715 E Carson St</t>
  </si>
  <si>
    <t>9xjAQ9VlK6e46xy_iLzXqg</t>
  </si>
  <si>
    <t>Mediterranean, Burgers, Salad, Uzbek, Halal, Pizza, Russian, Restaurants</t>
  </si>
  <si>
    <t>Kavsar Restaurant</t>
  </si>
  <si>
    <t>16 Southern Ave</t>
  </si>
  <si>
    <t>iT9KMTR8NqYwSCW-zMUOxw</t>
  </si>
  <si>
    <t>Taiwanese, Sushi Bars, Restaurants, Chinese</t>
  </si>
  <si>
    <t>Tai Pei</t>
  </si>
  <si>
    <t>1124 Freeport Rd</t>
  </si>
  <si>
    <t>qpa8Y4VAMQKh8P5zqC5Y4g</t>
  </si>
  <si>
    <t>Restaurants, Fast Food, Caterers, Event Planning &amp; Services</t>
  </si>
  <si>
    <t>1620 Washington Rd</t>
  </si>
  <si>
    <t>UTtXuA_bPa0w24G89SKM6g</t>
  </si>
  <si>
    <t>Restaurants, Pizza, Gluten-Free, Sandwiches</t>
  </si>
  <si>
    <t>King Crust</t>
  </si>
  <si>
    <t>1105 Bower Hill Rd</t>
  </si>
  <si>
    <t>wp5FAtCGMyU2RnQ-7kxKHQ</t>
  </si>
  <si>
    <t>Italian, Restaurants, Wine Bars, Nightlife, Bars</t>
  </si>
  <si>
    <t>Roman Bistro</t>
  </si>
  <si>
    <t>2104 Ardmore Blvd</t>
  </si>
  <si>
    <t>09E4gjiUN_nSqaTprCLD9A</t>
  </si>
  <si>
    <t>Restaurants, Mediterranean, Italian, Pizza</t>
  </si>
  <si>
    <t>Pizzutti's Restaurant</t>
  </si>
  <si>
    <t>YKOKwx7RgJ9SwDC5MdI2gw</t>
  </si>
  <si>
    <t>Restaurants, Chicken Wings, Seafood</t>
  </si>
  <si>
    <t>1221 Federal St</t>
  </si>
  <si>
    <t>dU2a2KtObGhcqzEqBL0Mig</t>
  </si>
  <si>
    <t>Curry on Murray</t>
  </si>
  <si>
    <t>2121 Murray Ave, Fl 1</t>
  </si>
  <si>
    <t>szlIcLQE7K-1JuKeJIRKsQ</t>
  </si>
  <si>
    <t>Cuzamil Restaurante Mexicano</t>
  </si>
  <si>
    <t>2109 Murray Ave</t>
  </si>
  <si>
    <t>1qmDaCGJTam1--pEIuvkbg</t>
  </si>
  <si>
    <t>Lillen's Restaurant</t>
  </si>
  <si>
    <t>535 E Ohio St</t>
  </si>
  <si>
    <t>0ajTatYvxoFd7-C22r6L4w</t>
  </si>
  <si>
    <t>Italian, American (Traditional), Restaurants, Pizza, Sandwiches</t>
  </si>
  <si>
    <t>Pizza Factory</t>
  </si>
  <si>
    <t>s4M4QcJvxJ5IY0DQJo-sCA</t>
  </si>
  <si>
    <t>Sandwiches, Soup, Restaurants, Mongolian, Food, Chinese, Salad, Tea Rooms</t>
  </si>
  <si>
    <t>Leaf and Plate</t>
  </si>
  <si>
    <t>5884 Ellsworth Ave, 1st Fl</t>
  </si>
  <si>
    <t>t6OSEZiX-w68k2f3gR47qw</t>
  </si>
  <si>
    <t>Pasta Shops, Restaurants, Food, Chicken Wings, Pizza, Specialty Food</t>
  </si>
  <si>
    <t>Big Guy's Pizza &amp; Pasta</t>
  </si>
  <si>
    <t>du3ByDOljqO31wgRkvX5Nw</t>
  </si>
  <si>
    <t>Burgers, Restaurants</t>
  </si>
  <si>
    <t>Courthouse Tavern</t>
  </si>
  <si>
    <t>b6DAp8hLHpSHMi2fGOB7Lw</t>
  </si>
  <si>
    <t>Bars, Burgers, Nightlife, American (New), Juice Bars &amp; Smoothies, Beer Bar, Cocktail Bars, Food, Restaurants</t>
  </si>
  <si>
    <t>Burgatory</t>
  </si>
  <si>
    <t>700 Providence Blvd</t>
  </si>
  <si>
    <t>I-D4qEtJJ4okSLrLKxMMRw</t>
  </si>
  <si>
    <t>2799 Freeport Rd</t>
  </si>
  <si>
    <t>qFJ_kdfLdNODKFUY4t0qVg</t>
  </si>
  <si>
    <t>Coffee &amp; Tea, Sandwiches, Food, Local Flavor, Restaurants</t>
  </si>
  <si>
    <t>Make Your Mark</t>
  </si>
  <si>
    <t>6736 Reynolds St</t>
  </si>
  <si>
    <t>rDSw_6HEAsF6wmcUF6ZZkA</t>
  </si>
  <si>
    <t>Breakfast &amp; Brunch, Restaurants, American (Traditional), Diners</t>
  </si>
  <si>
    <t>271 Clairton Blvd</t>
  </si>
  <si>
    <t>i17-RGooGWIad0y5YtaBtQ</t>
  </si>
  <si>
    <t>China House</t>
  </si>
  <si>
    <t>4506 Liberty Ave</t>
  </si>
  <si>
    <t>azE1DNVQFBU8boVbaJhj7w</t>
  </si>
  <si>
    <t>Food, Restaurants, Nightlife, Italian, Desserts, Bars</t>
  </si>
  <si>
    <t>Lidia's</t>
  </si>
  <si>
    <t>ZfARN3QejrWsDJu3OtRdkg</t>
  </si>
  <si>
    <t>Bars, Nightlife, American (Traditional), Restaurants</t>
  </si>
  <si>
    <t>Blinky's Noble Grill &amp; Bar</t>
  </si>
  <si>
    <t>ijNQXC2cBhbkf6iB6D8OJw</t>
  </si>
  <si>
    <t>Bars, Restaurants, Food Delivery Services, Nightlife, Food, Italian, Pizza</t>
  </si>
  <si>
    <t>Genoa Pizza &amp; Bar</t>
  </si>
  <si>
    <t>111 Market St</t>
  </si>
  <si>
    <t>YF3MsPifKWOMZ75TBFE13A</t>
  </si>
  <si>
    <t>Tex-Mex, Mexican, Restaurants</t>
  </si>
  <si>
    <t>Don Pablo's</t>
  </si>
  <si>
    <t>140 Andrew Dr</t>
  </si>
  <si>
    <t>N8FdrKl0y_E_mUOj8VSFuA</t>
  </si>
  <si>
    <t>Diners, Restaurants, American (Traditional), Breakfast &amp; Brunch</t>
  </si>
  <si>
    <t>Barb's Corner Kitchen</t>
  </si>
  <si>
    <t>4711 Butler St</t>
  </si>
  <si>
    <t>MBirSnTW4pt2k7Ny6KC72w</t>
  </si>
  <si>
    <t>Chinese, Cantonese, Szechuan, Restaurants</t>
  </si>
  <si>
    <t>Szechuan Express</t>
  </si>
  <si>
    <t>125 Oakland Ave</t>
  </si>
  <si>
    <t>a7xD9CEepfivEZAKrCEPbw</t>
  </si>
  <si>
    <t>4001 Butler St</t>
  </si>
  <si>
    <t>wtDLILBaj5BGEbYvWGfNUw</t>
  </si>
  <si>
    <t>Donuts, Coffee &amp; Tea, Food, Restaurants, Breakfast &amp; Brunch</t>
  </si>
  <si>
    <t>Duck Donuts</t>
  </si>
  <si>
    <t>100 Siena Dr, Ste 220</t>
  </si>
  <si>
    <t>Qi2vOSs7AIeen_zrWt6WDA</t>
  </si>
  <si>
    <t>Diners, Restaurants, Breakfast &amp; Brunch, American (Traditional)</t>
  </si>
  <si>
    <t>King's Family Restaurant</t>
  </si>
  <si>
    <t>4900 Steubenville Pike</t>
  </si>
  <si>
    <t>odfX0wO7fOyqa8oobxh96w</t>
  </si>
  <si>
    <t>Fu Lai Chinese Restaurant</t>
  </si>
  <si>
    <t>525 Penn Ave</t>
  </si>
  <si>
    <t>SDjbz2bE_5QosSaEIlmScA</t>
  </si>
  <si>
    <t>Food, Grocery, Restaurants, Soup</t>
  </si>
  <si>
    <t>52nd Street Market</t>
  </si>
  <si>
    <t>601 52nd St</t>
  </si>
  <si>
    <t>rVqw2DVJwZnZ1FV-ZYa-Mw</t>
  </si>
  <si>
    <t>Pop-Up Restaurants, Brazilian, Restaurants</t>
  </si>
  <si>
    <t>Casa Brasil</t>
  </si>
  <si>
    <t>H4YK4AK3TimOFmv9GtqPGQ</t>
  </si>
  <si>
    <t>Mezbaan Indian Cuisine</t>
  </si>
  <si>
    <t>wHlLjTBWPEbxHw6ZysSKIg</t>
  </si>
  <si>
    <t>Food, Coffee &amp; Tea, Restaurants</t>
  </si>
  <si>
    <t>Nicholas Coffee</t>
  </si>
  <si>
    <t>23 Market Sq</t>
  </si>
  <si>
    <t>ivugOYd-QcXVEfnm1OyqZA</t>
  </si>
  <si>
    <t>Pizza, Restaurants, Salad, Sandwiches, Italian</t>
  </si>
  <si>
    <t>Beto's Pizza</t>
  </si>
  <si>
    <t>1473 Banksville Rd</t>
  </si>
  <si>
    <t>MxXo4qc5lXAbis-umS_2pw</t>
  </si>
  <si>
    <t>4232 Murray Ave</t>
  </si>
  <si>
    <t>jItwkDeMBFquEb7mAvW-Dw</t>
  </si>
  <si>
    <t>Little Caesars Pizza</t>
  </si>
  <si>
    <t>2953 West Liberty Ave</t>
  </si>
  <si>
    <t>w67o_AhcSU_fjVOTlbquXg</t>
  </si>
  <si>
    <t>Restaurants, Sandwiches, Food, Greek, Pizza, Italian, Desserts</t>
  </si>
  <si>
    <t>Gennaro's Pizza &amp; Pub</t>
  </si>
  <si>
    <t>1728 E Carson St</t>
  </si>
  <si>
    <t>oaTbZh8B-IVFEwbzJcIOBg</t>
  </si>
  <si>
    <t>Azan Wok</t>
  </si>
  <si>
    <t>2352A Golden Mile Hwy</t>
  </si>
  <si>
    <t>DiSARzaWBeNyB4oU047TcA</t>
  </si>
  <si>
    <t>Brewpubs, Gastropubs, Breweries, Restaurants, Bars, Burgers, Food, Pubs, Nightlife, Cocktail Bars</t>
  </si>
  <si>
    <t>Bier's Pub</t>
  </si>
  <si>
    <t>N_k0rBm3OcJlAexLlhGRiw</t>
  </si>
  <si>
    <t>Food, Coffee &amp; Tea, Bagels, Restaurants, Bakeries</t>
  </si>
  <si>
    <t>979 Greentree Rd</t>
  </si>
  <si>
    <t>QzJRy39dMq844mPzj9Mlfw</t>
  </si>
  <si>
    <t>D'Amico's</t>
  </si>
  <si>
    <t>VT8vUd-2s5IdvSNwhNHkpg</t>
  </si>
  <si>
    <t>Restaurants, Sandwiches, Juice Bars &amp; Smoothies, Coffee &amp; Tea, Breakfast &amp; Brunch, Food</t>
  </si>
  <si>
    <t>California Coffee Bar</t>
  </si>
  <si>
    <t>heTUR_TGWJ9iYiiEWnikXg</t>
  </si>
  <si>
    <t>Eat Unique</t>
  </si>
  <si>
    <t>305 S Craig St</t>
  </si>
  <si>
    <t>3RWJGTSIRvGmIbwvMqAOuw</t>
  </si>
  <si>
    <t>Restaurants, Bistros, American (New)</t>
  </si>
  <si>
    <t>Slate Bistro</t>
  </si>
  <si>
    <t>28 Donati Rd</t>
  </si>
  <si>
    <t>dHgbL5EAEawIcqk6aXe2Ow</t>
  </si>
  <si>
    <t>Diners, Italian, Seafood, Restaurants</t>
  </si>
  <si>
    <t>Peter Allen's</t>
  </si>
  <si>
    <t>DNOXngMi7USPPY5-6BY2ZQ</t>
  </si>
  <si>
    <t>Restaurants, Juice Bars &amp; Smoothies, Food, Vegan, Vegetarian</t>
  </si>
  <si>
    <t>Zen Juice</t>
  </si>
  <si>
    <t>209 Commercial Ave</t>
  </si>
  <si>
    <t>UCJpL9VFk3g1B2gjRlLy_g</t>
  </si>
  <si>
    <t>American (New), Steakhouses, Seafood, Restaurants</t>
  </si>
  <si>
    <t>Ditka's</t>
  </si>
  <si>
    <t>1 Robinson Plz</t>
  </si>
  <si>
    <t>-8F04F54iDT6VgWPCgybug</t>
  </si>
  <si>
    <t>Coffee &amp; Tea, Vietnamese, Food, Restaurants, Breakfast &amp; Brunch</t>
  </si>
  <si>
    <t>Ineffable Ca Phe</t>
  </si>
  <si>
    <t>3920 Penn Ave</t>
  </si>
  <si>
    <t>l8IqBeFXK3dqFEs7YL3ukg</t>
  </si>
  <si>
    <t>1790 N Highland Rd</t>
  </si>
  <si>
    <t>QXR-YnHgV0qDyuUTckYeGw</t>
  </si>
  <si>
    <t>Nightlife, Pizza, Italian, Bars, Restaurants, Pubs</t>
  </si>
  <si>
    <t>Bakd Pizza</t>
  </si>
  <si>
    <t>6520 Steubenville Pike</t>
  </si>
  <si>
    <t>VGxJbglGlx-a7Gdc55Q6jQ</t>
  </si>
  <si>
    <t>Japanese, Restaurants, Sushi Bars, Steakhouses, Chinese</t>
  </si>
  <si>
    <t>Katana</t>
  </si>
  <si>
    <t>3229 W Liberty Ave</t>
  </si>
  <si>
    <t>JBrwWVhNm8PFhTOVkuXk4Q</t>
  </si>
  <si>
    <t>Breakfast &amp; Brunch, Restaurants, American (Traditional), Diners, Buffets</t>
  </si>
  <si>
    <t>1816 Murray Ave</t>
  </si>
  <si>
    <t>e9KXojla4OuVP7qcC5LNsg</t>
  </si>
  <si>
    <t>Union Grill</t>
  </si>
  <si>
    <t>413 S Craig St</t>
  </si>
  <si>
    <t>MKYcOZSpMwJK7uwacK13EA</t>
  </si>
  <si>
    <t>Bars, American (Traditional), American (New), Coffee &amp; Tea, Restaurants, Nightlife, Food</t>
  </si>
  <si>
    <t>Smallman Galley</t>
  </si>
  <si>
    <t>1_Dg-GguWatioW4mvFQKQA</t>
  </si>
  <si>
    <t>Sushi Bars, Korean, Restaurants, Japanese</t>
  </si>
  <si>
    <t>Little Tokyo Bistro</t>
  </si>
  <si>
    <t>2122 E Carson St</t>
  </si>
  <si>
    <t>Ha9J5J_IVc_LQabC3tPLQQ</t>
  </si>
  <si>
    <t>Bite Bistro</t>
  </si>
  <si>
    <t>565 Lincoln Ave</t>
  </si>
  <si>
    <t>fCkvpPqOziXHHu-f8tbeZw</t>
  </si>
  <si>
    <t>Wiseguys Pizza</t>
  </si>
  <si>
    <t>1223 Woods Run Ave</t>
  </si>
  <si>
    <t>liLtjZzKc0sv9ZJDMHQesA</t>
  </si>
  <si>
    <t>Restaurants, Burgers, Fast Food, Sandwiches</t>
  </si>
  <si>
    <t>3700 Library Rd</t>
  </si>
  <si>
    <t>9coZa838egYONxSdTe-wUg</t>
  </si>
  <si>
    <t>Indian, Himalayan/Nepalese, Restaurants, Noodles</t>
  </si>
  <si>
    <t>Everest Ethnic Restaurant</t>
  </si>
  <si>
    <t>4042 Saw Mill Run Blvd, Unit B</t>
  </si>
  <si>
    <t>FmBKx7mv-jdh6KJ7Vq2v5w</t>
  </si>
  <si>
    <t>Filipino, Thai, Restaurants</t>
  </si>
  <si>
    <t>Sweet Basil La Filipiniana</t>
  </si>
  <si>
    <t>SLjVCw1XCU9mLgD7yNeHqA</t>
  </si>
  <si>
    <t>Restaurants, Burgers, American (Traditional)</t>
  </si>
  <si>
    <t>Red Robin Gourmet Burgers</t>
  </si>
  <si>
    <t>1230 Settlers Ridge Center Drive</t>
  </si>
  <si>
    <t>FI1JaVkuiZdb23Ds-mpBeg</t>
  </si>
  <si>
    <t>Fortunes Coffee Roastery</t>
  </si>
  <si>
    <t>2005 Penn Ave</t>
  </si>
  <si>
    <t>9sUIgzBxFuGEAObwEEwlHw</t>
  </si>
  <si>
    <t>Restaurants, Barbeque</t>
  </si>
  <si>
    <t>Wilson's Bar-B-Q</t>
  </si>
  <si>
    <t>700 N Taylor Ave</t>
  </si>
  <si>
    <t>vXpB8lRDXaWwwbmT3CAQwQ</t>
  </si>
  <si>
    <t>Gyms, Restaurants, Jazz &amp; Blues, Nightlife, Venues &amp; Event Spaces, Sports Clubs, Arts &amp; Entertainment, Fitness &amp; Instruction, Event Planning &amp; Services, Music Venues, Active Life, Social Clubs, American (Traditional)</t>
  </si>
  <si>
    <t>Rivers Club</t>
  </si>
  <si>
    <t>301 Grant St, Ste 411, One Oxford Centre</t>
  </si>
  <si>
    <t>PaU0Z2Zho5dK6BlSz4XjiA</t>
  </si>
  <si>
    <t>Desserts, American (New), Coffee &amp; Tea, Caterers, Food, Delis, Event Planning &amp; Services, Restaurants</t>
  </si>
  <si>
    <t>Erin's Fine Foods Deli</t>
  </si>
  <si>
    <t>210 6th Ave</t>
  </si>
  <si>
    <t>uBrszqceiTByo55osdyXwg</t>
  </si>
  <si>
    <t>Uncle Sam's Sandwich Bar</t>
  </si>
  <si>
    <t>225 Summit Park Dr</t>
  </si>
  <si>
    <t>klls1rEfABAUtO8J0YXSGQ</t>
  </si>
  <si>
    <t>Vegan, Juice Bars &amp; Smoothies, Food, Mediterranean, Nightlife, Bars, Soup, Restaurants, Vegetarian, Middle Eastern</t>
  </si>
  <si>
    <t>5878 Forbes Ave</t>
  </si>
  <si>
    <t>50UjA4nDdqypN-hBUOAPmQ</t>
  </si>
  <si>
    <t>Nightlife, Wine Bars, Restaurants, American (New), Bars</t>
  </si>
  <si>
    <t>Toast! Kitchen &amp; Wine Bar</t>
  </si>
  <si>
    <t>5102 Baum Blvd</t>
  </si>
  <si>
    <t>vLxpEHKZFzv8LYY5eeGjTg</t>
  </si>
  <si>
    <t>Village Pizza Bar &amp; Grill</t>
  </si>
  <si>
    <t>s9D5aHnOTebfzcBLIPr-Zw</t>
  </si>
  <si>
    <t>Italian, Restaurants, Chicken Wings, Pizza</t>
  </si>
  <si>
    <t>7 Poplar St</t>
  </si>
  <si>
    <t>4jNjYtxZ9tPOx6cl9SUIOA</t>
  </si>
  <si>
    <t>Brass Rail</t>
  </si>
  <si>
    <t>XNWXyFgCGaAwvg9QML2Ypw</t>
  </si>
  <si>
    <t>Tex-Mex, Restaurants, Mexican</t>
  </si>
  <si>
    <t>Mad Mex - Shadyside</t>
  </si>
  <si>
    <t>220 S Highland Ave</t>
  </si>
  <si>
    <t>HFr3uQI9h8sTTvGn3xk5Zg</t>
  </si>
  <si>
    <t>936 Freeport Rd</t>
  </si>
  <si>
    <t>yVInYuyaqIFqD5VyX7Vn0w</t>
  </si>
  <si>
    <t>4142 Saw Mill Run Blvd</t>
  </si>
  <si>
    <t>ziJsGjXvidzZWC1I0-SOSg</t>
  </si>
  <si>
    <t>Restaurants, American (New), Asian Fusion</t>
  </si>
  <si>
    <t>Habitat Restaurant</t>
  </si>
  <si>
    <t>L4v7-i9PIOXr7hSyNIAzcg</t>
  </si>
  <si>
    <t>Restaurants, Hotels, Caterers, Event Planning &amp; Services, Hotels &amp; Travel</t>
  </si>
  <si>
    <t>Wyndham Garden Hotel - University Place</t>
  </si>
  <si>
    <t>AyamCmzsGAVluH8MDQsJbA</t>
  </si>
  <si>
    <t>Burgers, Chicken Wings, Sandwiches, Restaurants</t>
  </si>
  <si>
    <t>Big Shot Bob's House of Wings - South Side</t>
  </si>
  <si>
    <t>1324 E Carson St</t>
  </si>
  <si>
    <t>gbDZhohLAOL1ufdVWHMTxQ</t>
  </si>
  <si>
    <t>Italian, Chicken Wings, Restaurants, Pizza</t>
  </si>
  <si>
    <t>4710 Baum Blvd</t>
  </si>
  <si>
    <t>CwfeDdtVKcUEg_thGOlWAg</t>
  </si>
  <si>
    <t>American (New), Soup, Salad, Gastropubs, Restaurants, American (Traditional), Sandwiches</t>
  </si>
  <si>
    <t>The Urban Tap</t>
  </si>
  <si>
    <t>216 S Highland Ave</t>
  </si>
  <si>
    <t>evWjIBX1XbGHVfs6x3dr0Q</t>
  </si>
  <si>
    <t>Fast Food, Food, Restaurants, Grocery</t>
  </si>
  <si>
    <t>Pirollo's Delicatessen &amp; Take-Out</t>
  </si>
  <si>
    <t>307 Hulton Rd</t>
  </si>
  <si>
    <t>_jdEeATPzBYYBM0Y9W31Bg</t>
  </si>
  <si>
    <t>Sammy's Famous Corned Beef</t>
  </si>
  <si>
    <t>217 9th St</t>
  </si>
  <si>
    <t>OFdMlXxtkU_nUh8jJ4W6GA</t>
  </si>
  <si>
    <t>Juice Bars &amp; Smoothies, Mediterranean, Coffee &amp; Tea, Restaurants, Food</t>
  </si>
  <si>
    <t>Delanie's Coffee</t>
  </si>
  <si>
    <t>1737 E Carson St</t>
  </si>
  <si>
    <t>6CjVFTO7F-q8BP7oQKB_9g</t>
  </si>
  <si>
    <t>Ali Baba</t>
  </si>
  <si>
    <t>404 S Craig St</t>
  </si>
  <si>
    <t>Fast Food, Coffee &amp; Tea, Burgers, Restaurants, Food</t>
  </si>
  <si>
    <t>907 Freeport Rd</t>
  </si>
  <si>
    <t>9mYjIQ-9DKMuR8kM5M2gtw</t>
  </si>
  <si>
    <t>Fast Food, Chicken Wings, Event Planning &amp; Services, Restaurants, Caterers</t>
  </si>
  <si>
    <t>y5TdoIb0kddMn99Ahp206A</t>
  </si>
  <si>
    <t>2900 Brownsville Rd</t>
  </si>
  <si>
    <t>QIahrchu9mUW8DGZla8c7w</t>
  </si>
  <si>
    <t>Schorr Bakery</t>
  </si>
  <si>
    <t>433 Perry Hwy</t>
  </si>
  <si>
    <t>WB1albu5FvNP16BAtTIIVg</t>
  </si>
  <si>
    <t>1015 Ohio River Blvd</t>
  </si>
  <si>
    <t>CjCVFZurydHXPAM2Zu8NzA</t>
  </si>
  <si>
    <t>Restaurants, Pizza, Chicken Wings, Sandwiches</t>
  </si>
  <si>
    <t>21 Foster Ave</t>
  </si>
  <si>
    <t>Ef9crW61OYp2UJ0ysi3nEw</t>
  </si>
  <si>
    <t>Hunan Wok Chinese Takeout</t>
  </si>
  <si>
    <t>2158 Brownsville Rd</t>
  </si>
  <si>
    <t>v0KawuAO7clhXCDKobFs0g</t>
  </si>
  <si>
    <t>Restaurants, Juice Bars &amp; Smoothies, Food, Mexican</t>
  </si>
  <si>
    <t>Currito - Burritos Without Borders</t>
  </si>
  <si>
    <t>Pittsburgh International Airport</t>
  </si>
  <si>
    <t>9GA2gmLV4NX2oJkuz6fdcA</t>
  </si>
  <si>
    <t>Restaurants, Pizza, Cocktail Bars, Sports Bars, Dive Bars, Nightlife, Bars</t>
  </si>
  <si>
    <t>Garage Door Saloon</t>
  </si>
  <si>
    <t>223 Atwood St</t>
  </si>
  <si>
    <t>8j_EeEC9dJgiG_2odE2zUA</t>
  </si>
  <si>
    <t>Kazansky's Delicatessen</t>
  </si>
  <si>
    <t>0PVxodALQu-soL5J8bjerQ</t>
  </si>
  <si>
    <t>Restaurants, Breakfast &amp; Brunch, Diners, American (Traditional)</t>
  </si>
  <si>
    <t>Ritters Diner</t>
  </si>
  <si>
    <t>5221 Baum Blvd</t>
  </si>
  <si>
    <t>QqbZA4r5g1vCbOxOAKJgWg</t>
  </si>
  <si>
    <t>American (Traditional), Steakhouses, Burgers, Restaurants</t>
  </si>
  <si>
    <t>Tessaro's</t>
  </si>
  <si>
    <t>4601 Liberty Ave</t>
  </si>
  <si>
    <t>MKmxhIHTdJduU0FFMRdfqA</t>
  </si>
  <si>
    <t>Bars, Breakfast &amp; Brunch, Cafes, Nightlife, Pubs, Restaurants, Diners</t>
  </si>
  <si>
    <t>Bishop's Corner CafÃƒÂ©</t>
  </si>
  <si>
    <t>e6abKOxJ2CyEwXLq2tI-yQ</t>
  </si>
  <si>
    <t>American (New), Nightlife, Bars, Sports Bars, Restaurants</t>
  </si>
  <si>
    <t>Hough's</t>
  </si>
  <si>
    <t>563 Greenfield Ave</t>
  </si>
  <si>
    <t>f_3iYyGZCd8BMznQ4O8_2Q</t>
  </si>
  <si>
    <t>My Ngoc Restaurant</t>
  </si>
  <si>
    <t>JJi7c7uiTzCqeWNTsldgXQ</t>
  </si>
  <si>
    <t>Red Tea House</t>
  </si>
  <si>
    <t>2VRVAhzefxIqjzbQ21LdHg</t>
  </si>
  <si>
    <t>Tapas/Small Plates, Nightlife, Cocktail Bars, American (New), Sandwiches, Gastropubs, Beer, Wine &amp; Spirits, Beer Bar, Restaurants, Food, Salad, Bars</t>
  </si>
  <si>
    <t>The Foundry Table &amp; Tap</t>
  </si>
  <si>
    <t>2A9gJkmWbBVoh6kK0jDlxA</t>
  </si>
  <si>
    <t>La Pizza Bella</t>
  </si>
  <si>
    <t>268 Freeport Rd, Ste 1</t>
  </si>
  <si>
    <t>Artisan Pizza Company</t>
  </si>
  <si>
    <t>Norman Center, 1775 H Highland Rd</t>
  </si>
  <si>
    <t>7mOWMhlibS62hedb1m5A3Q</t>
  </si>
  <si>
    <t>Bars, Restaurants, American (New), Lounges, Cocktail Bars, Wine Bars, Nightlife, Pubs</t>
  </si>
  <si>
    <t>The Summit</t>
  </si>
  <si>
    <t>200 Shiloh St</t>
  </si>
  <si>
    <t>ZPAnqqAKLjg9uCN6Rk1lfg</t>
  </si>
  <si>
    <t>Pizzuvio</t>
  </si>
  <si>
    <t>268 Forbes Ave</t>
  </si>
  <si>
    <t>K04Pbn_5-xNidh0-xkI9vw</t>
  </si>
  <si>
    <t>Burgers, Fast Food, Restaurants, American (New)</t>
  </si>
  <si>
    <t>324 McHolme Dr</t>
  </si>
  <si>
    <t>LZY382ncwmmYLVKUjB1SFg</t>
  </si>
  <si>
    <t>Coffee &amp; Tea, Bakeries, Food, Restaurants, Sandwiches</t>
  </si>
  <si>
    <t>The Pop Stop Snack Shop</t>
  </si>
  <si>
    <t>4401 Penn Ave, Fl 3</t>
  </si>
  <si>
    <t>hUCujBvgttk5jNh_uQwi2Q</t>
  </si>
  <si>
    <t>Vegan, Sandwiches, Vegetarian, Restaurants, Pizza, Salad</t>
  </si>
  <si>
    <t>Spak Brothers Pizza and More</t>
  </si>
  <si>
    <t>5107 Penn Ave</t>
  </si>
  <si>
    <t>SvCjBtbN1cKElDKPTw9dOA</t>
  </si>
  <si>
    <t>Cocktail Bars, Wine Bars, Nightlife, Seafood, Bars, Restaurants</t>
  </si>
  <si>
    <t>Monterey Bay Fish Grotto</t>
  </si>
  <si>
    <t>1411 Grandview Ave</t>
  </si>
  <si>
    <t>CK-Gv3vqIlWOrKP4fhT8_g</t>
  </si>
  <si>
    <t>Bars, Restaurants, Pubs, Hot Dogs, American (Traditional), Nightlife, Beer, Wine &amp; Spirits, Food</t>
  </si>
  <si>
    <t>D's Six Pax &amp; Dogz</t>
  </si>
  <si>
    <t>1118 S Braddock Ave</t>
  </si>
  <si>
    <t>D9xr-6Io3hPOh5ZHFRVPTA</t>
  </si>
  <si>
    <t>Delis, Restaurants, Breakfast &amp; Brunch, Specialty Food, Cheese Shops, Food</t>
  </si>
  <si>
    <t>Gabriella's Gourmet On the Go</t>
  </si>
  <si>
    <t>301 E Carson St</t>
  </si>
  <si>
    <t>rOHLBGBcWzlxdvNI6squgQ</t>
  </si>
  <si>
    <t>RiScY8vqr0jVInlHZNLPig</t>
  </si>
  <si>
    <t>the pizza company</t>
  </si>
  <si>
    <t>3050 Churchview Ave</t>
  </si>
  <si>
    <t>lhI9JnI3mhtNkntegi9jDg</t>
  </si>
  <si>
    <t>American (Traditional), Nightlife, Restaurants, Bars, Lounges</t>
  </si>
  <si>
    <t>Baba D's</t>
  </si>
  <si>
    <t>Ltf3TUXESd0V9emwx8NXWA</t>
  </si>
  <si>
    <t>Nightlife, Burgers, Breakfast &amp; Brunch, Bars, American (Traditional), Restaurants</t>
  </si>
  <si>
    <t>Dive Bar and Grille</t>
  </si>
  <si>
    <t>2132 East Carson St</t>
  </si>
  <si>
    <t>JVJ9v-gFH68m6hA1NyQmbg</t>
  </si>
  <si>
    <t>Restaurants, Sushi Bars, Seafood, American (Traditional)</t>
  </si>
  <si>
    <t>Original Fish Market</t>
  </si>
  <si>
    <t>1001 Liberty Ave</t>
  </si>
  <si>
    <t>VN8mtUnFhroAbdUx2j20Rg</t>
  </si>
  <si>
    <t>Nikki's Pizza &amp; Gyro</t>
  </si>
  <si>
    <t>14 Wabash Ave</t>
  </si>
  <si>
    <t>Q3zZTpHQBSbiPq2lLaTtgw</t>
  </si>
  <si>
    <t>Imported Food, Ethnic Food, Chinese, Specialty Food, Restaurants, Szechuan, Food</t>
  </si>
  <si>
    <t>Sichuan Palace</t>
  </si>
  <si>
    <t>60 Federal Dr</t>
  </si>
  <si>
    <t>TLr_AFOnq4TK_qNGRQzloQ</t>
  </si>
  <si>
    <t>2425 Sidney St</t>
  </si>
  <si>
    <t>cHTQwW-xsBVfuat5IL3dsg</t>
  </si>
  <si>
    <t>Restaurants, Asian Fusion, Thai, Sushi Bars</t>
  </si>
  <si>
    <t>Papaya Thai Cuisine &amp; Sushi Bar</t>
  </si>
  <si>
    <t>210 McHolme Dr</t>
  </si>
  <si>
    <t>geytMDcETB3AwhATBbq6gQ</t>
  </si>
  <si>
    <t>American (Traditional), Bars, Restaurants, Tapas Bars, Breakfast &amp; Brunch, Nightlife, Diners, Lounges, American (New)</t>
  </si>
  <si>
    <t>Wallace's TapRoom</t>
  </si>
  <si>
    <t>123 N Highland Ave</t>
  </si>
  <si>
    <t>0FPlueS5F6l5xIf8Zw8iEQ</t>
  </si>
  <si>
    <t>Pittsburgh Public Market, 2401 Penn Avenue</t>
  </si>
  <si>
    <t>F-X6fPKAPSoMShHXznxJfw</t>
  </si>
  <si>
    <t>Restaurants, American (Traditional), Fast Food, Event Planning &amp; Services, Caterers</t>
  </si>
  <si>
    <t>KFcYZCURuIxTNhTzOiO4sQ</t>
  </si>
  <si>
    <t>Accessories, Shopping, Men's Clothing, Formal Wear, Restaurants, Shoe Stores, Fashion, Bespoke Clothing, Plus Size Fashion</t>
  </si>
  <si>
    <t>Men's Wearhouse</t>
  </si>
  <si>
    <t>1xEFOt8ArF0k4cpqWUk9gg</t>
  </si>
  <si>
    <t>Restaurants, Coffee &amp; Tea, Food, Fast Food, Burgers</t>
  </si>
  <si>
    <t>4557 Ohio River Blvd</t>
  </si>
  <si>
    <t>MNmQ1s-zdjEgm3bdRs7iEw</t>
  </si>
  <si>
    <t>The Green Mango</t>
  </si>
  <si>
    <t>3462 William Penn Hwy</t>
  </si>
  <si>
    <t>dvw21oJvQ4cZCaK9aferpA</t>
  </si>
  <si>
    <t>Sonny &amp; Jo's</t>
  </si>
  <si>
    <t>yAQhluWOU-_f2IfkS24a_Q</t>
  </si>
  <si>
    <t>Gift Shops, Restaurants, Food, Antiques, Tea Rooms, Flowers &amp; Gifts, Shopping</t>
  </si>
  <si>
    <t>AntiquiTea Tearoom &amp; Gift Shop</t>
  </si>
  <si>
    <t>454 Perry Hwy</t>
  </si>
  <si>
    <t>ntxi-hG9qbJwC24EbhT5jA</t>
  </si>
  <si>
    <t>American (Traditional), Nightlife, Burgers, Restaurants, Cocktail Bars, American (New), Bars</t>
  </si>
  <si>
    <t>5300 Corporate Dr</t>
  </si>
  <si>
    <t>l5Jkkp-5EF07RrxrqiF6bA</t>
  </si>
  <si>
    <t>Delis, Food, Food Delivery Services, Sandwiches, Restaurants, Fast Food</t>
  </si>
  <si>
    <t>5833 Forbes Ave</t>
  </si>
  <si>
    <t>_EGWxiD27k3ahcFpmbSjQg</t>
  </si>
  <si>
    <t>Great Wall Chinese Food</t>
  </si>
  <si>
    <t>243 Brownsville Rd</t>
  </si>
  <si>
    <t>5JpT-YazYAR1V8wRk4tV6g</t>
  </si>
  <si>
    <t>Seafood, Bars, Restaurants, Nightlife, Food</t>
  </si>
  <si>
    <t>Il Mercato</t>
  </si>
  <si>
    <t>2349 Railroad St</t>
  </si>
  <si>
    <t>mVbGnu5VsAG79b0fMoKItA</t>
  </si>
  <si>
    <t>Hot Dogs, Burgers, Restaurants, Fast Food, Coffee &amp; Tea, Food</t>
  </si>
  <si>
    <t>1630 Penn Ave</t>
  </si>
  <si>
    <t>Wy22f6GIK_L00NmTv2LpWg</t>
  </si>
  <si>
    <t>Pizza, Restaurants, Chicken Wings, Italian</t>
  </si>
  <si>
    <t>2002 E Carson St</t>
  </si>
  <si>
    <t>pEjXieTk_BuogUhuBTIn6w</t>
  </si>
  <si>
    <t>Fireside Caribbean Restaurant</t>
  </si>
  <si>
    <t>796 Penn Ave</t>
  </si>
  <si>
    <t>A21FJqt8jIE6w0hdzmvnmg</t>
  </si>
  <si>
    <t>Restaurants, Portuguese, Mediterranean</t>
  </si>
  <si>
    <t>Cafe Zinho</t>
  </si>
  <si>
    <t>238 Spahr St</t>
  </si>
  <si>
    <t>aSDQk0wjskLdQRFg2TBt_A</t>
  </si>
  <si>
    <t>Eggs-R-Us</t>
  </si>
  <si>
    <t>2350 Noblestown Rd, Ste 13</t>
  </si>
  <si>
    <t>7wQXbUU2Mwvivg9wmBlrkg</t>
  </si>
  <si>
    <t>Delis, Caterers, Event Planning &amp; Services, Restaurants</t>
  </si>
  <si>
    <t>Brown Bag Delis</t>
  </si>
  <si>
    <t>BcLFIr4wtd3GQ3fnz15yDQ</t>
  </si>
  <si>
    <t>Restaurants, Delis, Sandwiches, Italian</t>
  </si>
  <si>
    <t>DiAnoia's Eatery</t>
  </si>
  <si>
    <t>2549 Penn Ave</t>
  </si>
  <si>
    <t>L0d7r2zvjIaGCaj8fxJFRA</t>
  </si>
  <si>
    <t>Vietnamese, Vegan, Restaurants, Vegetarian</t>
  </si>
  <si>
    <t>Loving Hut</t>
  </si>
  <si>
    <t>pHDLRIG2Xu1_1mkGAbyEmw</t>
  </si>
  <si>
    <t>Wine Bars, Diners, Burgers, Bars, Restaurants, Pubs, Seafood, Nightlife, Lounges, American (Traditional)</t>
  </si>
  <si>
    <t>5747 Ellsworth Ave</t>
  </si>
  <si>
    <t>fg4tWjjvxUxBaMdKa0YAEw</t>
  </si>
  <si>
    <t>Pietro's Pizzaria</t>
  </si>
  <si>
    <t>719 W Ingomar Rd</t>
  </si>
  <si>
    <t>sKWPbBAEM-XP9U5N5E4fHQ</t>
  </si>
  <si>
    <t>Eat 'n Park Restaurants</t>
  </si>
  <si>
    <t>Edgewood Towne Ctr</t>
  </si>
  <si>
    <t>VSNUFYBQ_wOFmRXZ8SeQ4w</t>
  </si>
  <si>
    <t>Polish, Ethnic Food, Specialty Food, Food, Restaurants, Delis, Caterers, Event Planning &amp; Services</t>
  </si>
  <si>
    <t>S&amp;D Polish Deli</t>
  </si>
  <si>
    <t>2204 Penn Ave</t>
  </si>
  <si>
    <t>lPQGg0x8UOAWD_08wZmfgA</t>
  </si>
  <si>
    <t>Pubs, Nightlife, Restaurants, American (Traditional), Bars</t>
  </si>
  <si>
    <t>Embury</t>
  </si>
  <si>
    <t>2216 Penn Ave, 1st Floor</t>
  </si>
  <si>
    <t>HiHUTSxpyKhQqLFti3Xnzw</t>
  </si>
  <si>
    <t>The Commoner Corner</t>
  </si>
  <si>
    <t>458 Strawberry Way</t>
  </si>
  <si>
    <t>tLCDdztam3QQ0xdET2u5Yw</t>
  </si>
  <si>
    <t>American (New), American (Traditional), Gastropubs, Restaurants</t>
  </si>
  <si>
    <t>The Yard</t>
  </si>
  <si>
    <t>1500 Washington Rd</t>
  </si>
  <si>
    <t>mNAfMA0jhJmOXI4AMaNy0Q</t>
  </si>
  <si>
    <t>Burgers, Chicken Wings, Dive Bars, Nightlife, Restaurants, Bars</t>
  </si>
  <si>
    <t>SeÃƒÂ±or Frogs</t>
  </si>
  <si>
    <t>2506 W Liberty Ave</t>
  </si>
  <si>
    <t>wAcmbZyRSwp3td-4Z6BvWQ</t>
  </si>
  <si>
    <t>TCL-2Mi_mZyHjEO9haiD2A</t>
  </si>
  <si>
    <t>Restaurants, Bars, Soul Food, Nightlife, Dive Bars</t>
  </si>
  <si>
    <t>Kenny's Place</t>
  </si>
  <si>
    <t>1404 5th Ave</t>
  </si>
  <si>
    <t>vLGYQ96AjKV5zpW0q3795g</t>
  </si>
  <si>
    <t>Sbarro Restaurant</t>
  </si>
  <si>
    <t>5TH Ave Pl, Ste 213</t>
  </si>
  <si>
    <t>v43qggsvaezDlZSC_IGJIg</t>
  </si>
  <si>
    <t>Frank's Pizza &amp; Chicken</t>
  </si>
  <si>
    <t>1442 Lowrie St</t>
  </si>
  <si>
    <t>3D6Uck9QSdxZKFstf5DGlg</t>
  </si>
  <si>
    <t>American (New), Food, Restaurants, Food Trucks</t>
  </si>
  <si>
    <t>Blue Sparrow Food Truck</t>
  </si>
  <si>
    <t>3800 Butler St</t>
  </si>
  <si>
    <t>Hg7A3RVz_J7PHGmEqPOsxA</t>
  </si>
  <si>
    <t>Mandy's Pizza</t>
  </si>
  <si>
    <t>vm4XXJtH1NPQGQEm17kvHA</t>
  </si>
  <si>
    <t>Sandwiches, Coffee &amp; Tea, Bakeries, Cafes, Restaurants, Soup, Food</t>
  </si>
  <si>
    <t>Grounded Cafe &amp; Beanery</t>
  </si>
  <si>
    <t>7 Parkway Center Dr S</t>
  </si>
  <si>
    <t>uG1Whgf-AtEML0pQQp00Dg</t>
  </si>
  <si>
    <t>Krazy Brothers Pizza N Pasta</t>
  </si>
  <si>
    <t>109 Brookline Blvd</t>
  </si>
  <si>
    <t>YO8sWa0wYChH6DQWnE6NFg</t>
  </si>
  <si>
    <t>3703 Forbes Ave</t>
  </si>
  <si>
    <t>Ve6bA_jf9A7EWKXeyWf7PA</t>
  </si>
  <si>
    <t>Pizza, Vegan, Restaurants, Gluten-Free, American (New)</t>
  </si>
  <si>
    <t>512 Perry Hwy</t>
  </si>
  <si>
    <t>MpxcquEP9071fZqd6O19IQ</t>
  </si>
  <si>
    <t>Gluten-Free, Fast Food, Asian Fusion, Restaurants</t>
  </si>
  <si>
    <t>Asian Fusion Bowl</t>
  </si>
  <si>
    <t>Sn09Z4N9FpfoBbLBSJlB_A</t>
  </si>
  <si>
    <t>930 Penn Ave</t>
  </si>
  <si>
    <t>fykyDLOPBKphKy9fmZ4Kgw</t>
  </si>
  <si>
    <t>Bars, American (New), Cafes, Food, Restaurants, Nightlife, Coffee &amp; Tea</t>
  </si>
  <si>
    <t>The Abbey on Butler Street</t>
  </si>
  <si>
    <t>4635 Butler St</t>
  </si>
  <si>
    <t>5xv0xjcRUzP-Zb6CKBOceQ</t>
  </si>
  <si>
    <t>Restaurants, Fast Food, Chicken Shop, Chicken Wings</t>
  </si>
  <si>
    <t>4915 Baum Blvd</t>
  </si>
  <si>
    <t>cPZ5ugSrVrqnqD5ZsJhnpA</t>
  </si>
  <si>
    <t>Food Trucks, Creperies, Food, Coffee &amp; Tea, Restaurants</t>
  </si>
  <si>
    <t>Pgh Crepes</t>
  </si>
  <si>
    <t>Bigelow Blvd &amp; Forbes Ave</t>
  </si>
  <si>
    <t>cHcYk5bJn3Nh9ARJjQVq8Q</t>
  </si>
  <si>
    <t>Turkish, Restaurants, Middle Eastern, Mediterranean</t>
  </si>
  <si>
    <t>Turkish Grille</t>
  </si>
  <si>
    <t>272 Melwood Ave</t>
  </si>
  <si>
    <t>wxcAGtkUYhC95MIOUK7gWQ</t>
  </si>
  <si>
    <t>Chicken Wings, Restaurants</t>
  </si>
  <si>
    <t>Wingstop</t>
  </si>
  <si>
    <t>KY8J9dIOKD2vL0jdzUiuhg</t>
  </si>
  <si>
    <t>Restaurants, Venezuelan, Italian, Latin American, Breakfast &amp; Brunch</t>
  </si>
  <si>
    <t>Adolfo's Restaurant</t>
  </si>
  <si>
    <t>pajvV_6xebKIE7GBh4Z1xA</t>
  </si>
  <si>
    <t>Braddock's Pittsburgh Brasserie</t>
  </si>
  <si>
    <t>107 6th St</t>
  </si>
  <si>
    <t>J0xYZYdV1HvGn-wrOg757g</t>
  </si>
  <si>
    <t>Steel Cactus</t>
  </si>
  <si>
    <t>82 S 19th St</t>
  </si>
  <si>
    <t>hV8LFG_UleDQFHvqzBPqPQ</t>
  </si>
  <si>
    <t>101 W Station Square Dr</t>
  </si>
  <si>
    <t>grtRbOhjogmnTXToPwFoNQ</t>
  </si>
  <si>
    <t>Mediterranean, Greek, Middle Eastern, Restaurants, Lebanese</t>
  </si>
  <si>
    <t>The Mediterranean Grill</t>
  </si>
  <si>
    <t>5835 Forbes Ave</t>
  </si>
  <si>
    <t>F8C6rgTCNcJNzXqKU6K9SA</t>
  </si>
  <si>
    <t>Restaurants, Mediterranean, Greek</t>
  </si>
  <si>
    <t>927 Liberty Ave</t>
  </si>
  <si>
    <t>YVlNo_aIX0CNp4R7ZAKbFg</t>
  </si>
  <si>
    <t>Breakfast &amp; Brunch, Bagels, Restaurants, Sandwiches, Food, Bakeries</t>
  </si>
  <si>
    <t>1719 Murray Ave</t>
  </si>
  <si>
    <t>S_VE4sLb8Tu59VYIgwc5Sw</t>
  </si>
  <si>
    <t>Don Jose Mexican Grill</t>
  </si>
  <si>
    <t>h5XqYtEmRuQ6yI0IyG6oNQ</t>
  </si>
  <si>
    <t>Cibrone M &amp; Sons Bakery</t>
  </si>
  <si>
    <t>1231 Grove Rd</t>
  </si>
  <si>
    <t>sCyER_dSEpznCAkkMWa8GA</t>
  </si>
  <si>
    <t>Hotels &amp; Travel, Event Planning &amp; Services, Bars, Restaurants, American (Traditional), Hotels, Nightlife</t>
  </si>
  <si>
    <t>Joey D's in the Park, RIDC</t>
  </si>
  <si>
    <t>r6YlsmM53fDwbRNlNl-OUQ</t>
  </si>
  <si>
    <t>Bars, American (Traditional), Nightlife, Lounges, Restaurants</t>
  </si>
  <si>
    <t>Starlite Lounge</t>
  </si>
  <si>
    <t>364 Freeport Rd</t>
  </si>
  <si>
    <t>lNVg4jtfTEIAtOkA_0aEPQ</t>
  </si>
  <si>
    <t>Nightlife, Italian, Food, Bars, Desserts, American (New), Gluten-Free, Restaurants</t>
  </si>
  <si>
    <t>Emporio: A Meatball Joint</t>
  </si>
  <si>
    <t>FuT3Cp-uWLHzMTDi6vnwLQ</t>
  </si>
  <si>
    <t>Pugliano's Italian Grill</t>
  </si>
  <si>
    <t>1808 Golden Mile Hwy</t>
  </si>
  <si>
    <t>995cDn3wIwi4pw4N_uLSqw</t>
  </si>
  <si>
    <t>Cafes, Shopping, Food, Coffee &amp; Tea, Restaurants</t>
  </si>
  <si>
    <t>1000 Ross Park Mall Drive, K108B</t>
  </si>
  <si>
    <t>nF5TXLMmC6IJgQxE9CEZPw</t>
  </si>
  <si>
    <t>Restaurants, Singaporean, Malaysian</t>
  </si>
  <si>
    <t>Sun Penang</t>
  </si>
  <si>
    <t>5829 Forbes Ave</t>
  </si>
  <si>
    <t>mJ_ucQ2_3hfTsmCcKb-hgw</t>
  </si>
  <si>
    <t>Bars, Restaurants, Italian, Nightlife, Wine Bars</t>
  </si>
  <si>
    <t>Sienna On The Square</t>
  </si>
  <si>
    <t>22 Market Sq</t>
  </si>
  <si>
    <t>g0vVEWvHbKBTvFYGyvhiSg</t>
  </si>
  <si>
    <t>Food For Thought Deli</t>
  </si>
  <si>
    <t>194 N Craig St</t>
  </si>
  <si>
    <t>N7j_rJ0Vlwb-Gf-6cy4uiw</t>
  </si>
  <si>
    <t>Fast Food, Event Planning &amp; Services, Restaurants, Caterers, Mexican</t>
  </si>
  <si>
    <t>2777 E Carson St</t>
  </si>
  <si>
    <t>3fx50m708Tl3xJmSoDpRWQ</t>
  </si>
  <si>
    <t>Food, Food Delivery Services, Barbeque, Restaurants, Pizza</t>
  </si>
  <si>
    <t>Cappys Pizza &amp; Ribs</t>
  </si>
  <si>
    <t>K2C8dSx9215LLcIzHL959Q</t>
  </si>
  <si>
    <t>The Twisted Frenchman</t>
  </si>
  <si>
    <t>_4l36Tgbmoroh3udeXU-JA</t>
  </si>
  <si>
    <t>Sandwiches, Restaurants, Fast Food, American (New)</t>
  </si>
  <si>
    <t>604 Wood St</t>
  </si>
  <si>
    <t>OvDy9zJLGmfPgiKRUsIb4Q</t>
  </si>
  <si>
    <t>Boulevard Deli</t>
  </si>
  <si>
    <t>309 Smithfield St</t>
  </si>
  <si>
    <t>WIlzuoVUtf_7qGmobv9SRA</t>
  </si>
  <si>
    <t>Thai, Asian Fusion, Restaurants</t>
  </si>
  <si>
    <t>Chili Noodle Corner</t>
  </si>
  <si>
    <t>500 Liberty Ave</t>
  </si>
  <si>
    <t>hBJ0SZwpCX5fvJPyxFy83Q</t>
  </si>
  <si>
    <t>Thai Spoon</t>
  </si>
  <si>
    <t>1409 Potomac Ave</t>
  </si>
  <si>
    <t>Giorgio's Place</t>
  </si>
  <si>
    <t>908 Western Ave</t>
  </si>
  <si>
    <t>bywPKk3pvRBxwMWrFVD7Lw</t>
  </si>
  <si>
    <t>Food, Coffee &amp; Tea, Restaurants, Breakfast &amp; Brunch</t>
  </si>
  <si>
    <t>Espresso a Mano</t>
  </si>
  <si>
    <t>1506 E Carson St</t>
  </si>
  <si>
    <t>rlFEKTaUgQqN4O9ow3LO9w</t>
  </si>
  <si>
    <t>Caterers, American (New), Restaurants, Bars, Nightlife, Seafood, Event Planning &amp; Services, American (Traditional)</t>
  </si>
  <si>
    <t>e_wiw1wi4MKm2Wnk08xiGw</t>
  </si>
  <si>
    <t>Restaurants, Food, Fast Food, Burgers, Coffee &amp; Tea</t>
  </si>
  <si>
    <t>6361 Penn Ave</t>
  </si>
  <si>
    <t>pPyg8s0O8JB7bDCaCj398w</t>
  </si>
  <si>
    <t>Tapas Bars, Restaurants, Beer Bar, Food, Breweries, Bars, Nightlife</t>
  </si>
  <si>
    <t>East End Brewing Taproom</t>
  </si>
  <si>
    <t>102 19th St</t>
  </si>
  <si>
    <t>SHHnB7GsNyA3y5dg-P-LMw</t>
  </si>
  <si>
    <t>Sandwiches, Restaurants, Wraps, Chicken Wings, Pizza</t>
  </si>
  <si>
    <t>Luca's Pizzeria</t>
  </si>
  <si>
    <t>183 Butler St</t>
  </si>
  <si>
    <t>rn0GU0mB6LYakXiky7JqLA</t>
  </si>
  <si>
    <t>Palate Bistro</t>
  </si>
  <si>
    <t>212 6th St</t>
  </si>
  <si>
    <t>K-AvP-T--ZNRmyr0pU36Ng</t>
  </si>
  <si>
    <t>American (Traditional), Fast Food, Southern, Chicken Wings, Cajun/Creole, Restaurants</t>
  </si>
  <si>
    <t>2010 Wharton St</t>
  </si>
  <si>
    <t>LdYP5VXGBB4l_gypkLuzhQ</t>
  </si>
  <si>
    <t>Food, Food Trucks, Hot Dogs, Food Stands, Restaurants</t>
  </si>
  <si>
    <t>Franktuary Truck</t>
  </si>
  <si>
    <t>3ybsKWA03f16v4OPC0jApg</t>
  </si>
  <si>
    <t>Restaurants, Sandwiches, Soul Food, Comfort Food, Barbeque</t>
  </si>
  <si>
    <t>Wings &amp; a Prayer</t>
  </si>
  <si>
    <t>7543 Roslyn St</t>
  </si>
  <si>
    <t>1FqQ0L--8sviAKNR97K5UA</t>
  </si>
  <si>
    <t>Cerasoli Pizzeria</t>
  </si>
  <si>
    <t>3053 Brighton Rd</t>
  </si>
  <si>
    <t>oV70qMi0YsuSKcByW4VefQ</t>
  </si>
  <si>
    <t>Mullen's</t>
  </si>
  <si>
    <t>kDqgPRL75KG4lBxJsYUJlw</t>
  </si>
  <si>
    <t>American (Traditional), Mexican, Restaurants, Tacos, Vegan</t>
  </si>
  <si>
    <t>El Burro</t>
  </si>
  <si>
    <t>1113 S Braddock Ave</t>
  </si>
  <si>
    <t>dSwOo43YKAIvp0PjNXdW2g</t>
  </si>
  <si>
    <t>Burgers, Fast Food, American (Traditional), Restaurants, Food, Coffee &amp; Tea</t>
  </si>
  <si>
    <t>1000 Airport Blvd, Main Terminal, Pittsburgh International Airport</t>
  </si>
  <si>
    <t>UUo3yws6zY3OAEVZbirn4g</t>
  </si>
  <si>
    <t>1721 Penn Ave</t>
  </si>
  <si>
    <t>vblct6rMen0wyOqGEy-pNQ</t>
  </si>
  <si>
    <t>Fast Food, Restaurants, Delis, Sandwiches</t>
  </si>
  <si>
    <t>Jersey Mike's Subs</t>
  </si>
  <si>
    <t>7390 McKnight Rd</t>
  </si>
  <si>
    <t>No7l4LinY1tu-bCL97qi1A</t>
  </si>
  <si>
    <t>Palazzo Ristorante</t>
  </si>
  <si>
    <t>144 6th St</t>
  </si>
  <si>
    <t>K3lYaKPdaBim-LCOcmi6Jg</t>
  </si>
  <si>
    <t>Burgers, American (New), Event Planning &amp; Services, Food, Sandwiches, Restaurants, Salad, Caterers, Brewpubs, Breweries</t>
  </si>
  <si>
    <t>Burgh'ers Brewing</t>
  </si>
  <si>
    <t>3601 Butler St</t>
  </si>
  <si>
    <t>V2KKEJ9GF5D-4ykRJMnSaA</t>
  </si>
  <si>
    <t>Restaurants, Taiwanese, Nightlife, Bars</t>
  </si>
  <si>
    <t>Smokey's Tavern</t>
  </si>
  <si>
    <t>139 Howard St</t>
  </si>
  <si>
    <t>HtQmm4EyS8lYXPYNYSWXdg</t>
  </si>
  <si>
    <t>Restaurants, Japanese, Korean</t>
  </si>
  <si>
    <t>Tokyo Japanese Steak House</t>
  </si>
  <si>
    <t>2ERnU_ihjdwusbdlXSf3gg</t>
  </si>
  <si>
    <t>Chica Loca Taco</t>
  </si>
  <si>
    <t>733 Copeland St</t>
  </si>
  <si>
    <t>3frFidAcPVYAFB2RxxkIdA</t>
  </si>
  <si>
    <t>Indian, Pakistani, Restaurants</t>
  </si>
  <si>
    <t>Star of India</t>
  </si>
  <si>
    <t>dUqWP5lD4ubaNahijWJ_YQ</t>
  </si>
  <si>
    <t>Sports Bars, Bars, Nightlife, American (Traditional), Restaurants</t>
  </si>
  <si>
    <t>Cips Sports Bar</t>
  </si>
  <si>
    <t>3023 W  Liberty Ave</t>
  </si>
  <si>
    <t>5wr_UtUUdF8L2UlaD1DhNQ</t>
  </si>
  <si>
    <t>Rice King</t>
  </si>
  <si>
    <t>2199 Babcock Blvd</t>
  </si>
  <si>
    <t>IMU524Ze7yHf8gc7R-SYUA</t>
  </si>
  <si>
    <t>2jwpM5qhFCf8rpW1LeG7lA</t>
  </si>
  <si>
    <t>Fast Food, Delis, Food Delivery Services, Restaurants, Food, Sandwiches</t>
  </si>
  <si>
    <t>4840 McKnight Rd, Ste C</t>
  </si>
  <si>
    <t>O8LGIntnNi4tgMyPQT2myg</t>
  </si>
  <si>
    <t>Cafes, Food, Coffee &amp; Tea, Restaurants, Breakfast &amp; Brunch</t>
  </si>
  <si>
    <t>61C Cafe</t>
  </si>
  <si>
    <t>1839 Murray Ave</t>
  </si>
  <si>
    <t>_0W9-Gkjkcct8vcStBU7iQ</t>
  </si>
  <si>
    <t>Restaurants, Chicken Wings, Pizza, Salad</t>
  </si>
  <si>
    <t>Pasquale's Pizzeria</t>
  </si>
  <si>
    <t>309 Freeport Rd</t>
  </si>
  <si>
    <t>BvJD3TvjGFVuJMuZ5D6FUA</t>
  </si>
  <si>
    <t>Food, Cafes, Restaurants, Coffee &amp; Tea</t>
  </si>
  <si>
    <t>Crazy Mocha Coffee</t>
  </si>
  <si>
    <t>5607 Baum Blvd</t>
  </si>
  <si>
    <t>9qxOJ8fMEFMXR0ihA1xd8A</t>
  </si>
  <si>
    <t>Grocery, Salad, Event Planning &amp; Services, Food, Tobacco Shops, Caterers, Convenience Stores, Delis, Restaurants, Shopping</t>
  </si>
  <si>
    <t>Frenchi's Deli &amp; Market</t>
  </si>
  <si>
    <t>449 Atwood St</t>
  </si>
  <si>
    <t>Jw9mNU1ibHioRdyGFTafYg</t>
  </si>
  <si>
    <t>Restaurants, Bars, Pizza, Beer, Wine &amp; Spirits, Food, Nightlife</t>
  </si>
  <si>
    <t>The Original GiovanniÃ¢â‚¬â„¢s Pizza on 5th Ave</t>
  </si>
  <si>
    <t>1504 5th Ave</t>
  </si>
  <si>
    <t>1sZRrH4lZwUzeCJabZEBQQ</t>
  </si>
  <si>
    <t>7824 Perry Hwy</t>
  </si>
  <si>
    <t>2bWvHWLHRnMgEufaRuggeg</t>
  </si>
  <si>
    <t>Sinobi</t>
  </si>
  <si>
    <t>436 Market Sq</t>
  </si>
  <si>
    <t>UmuyuqYraoB5WOZiev42IQ</t>
  </si>
  <si>
    <t>Sandwiches, Delis, Middle Eastern, Restaurants</t>
  </si>
  <si>
    <t>Nellie's Sandwiches &amp; Deli</t>
  </si>
  <si>
    <t>3524 5th Ave</t>
  </si>
  <si>
    <t>LbeJgPgKKHw5qH0f02NHEQ</t>
  </si>
  <si>
    <t>Chinatown Inn</t>
  </si>
  <si>
    <t>520 3rd Ave</t>
  </si>
  <si>
    <t>g3yEgUCb6IIM1eVCKP5dWw</t>
  </si>
  <si>
    <t>Himalayan/Nepalese, Restaurants, Indian</t>
  </si>
  <si>
    <t>Nepali Asian Restaurant</t>
  </si>
  <si>
    <t>2122 Brownsville Rd</t>
  </si>
  <si>
    <t>dgKjGMbcJF5WvOlyKcw1yA</t>
  </si>
  <si>
    <t>Latin American, Restaurants</t>
  </si>
  <si>
    <t>Colonia</t>
  </si>
  <si>
    <t>P1a2WApEoMb65s14RmqV2g</t>
  </si>
  <si>
    <t>American (Traditional), Nightlife, Burgers, Bars, Restaurants</t>
  </si>
  <si>
    <t>Buford's Kitchen</t>
  </si>
  <si>
    <t>1014 5th Ave</t>
  </si>
  <si>
    <t>jqBUVAWJRJ6QIGXVuhdVvw</t>
  </si>
  <si>
    <t>American (Traditional), Restaurants, Steakhouses, Breakfast &amp; Brunch</t>
  </si>
  <si>
    <t>Cadillac Ranch</t>
  </si>
  <si>
    <t>1060 Settlers Ridge Center Dr</t>
  </si>
  <si>
    <t>1RECFIhw6tdiP4l3smu6Kw</t>
  </si>
  <si>
    <t>American (New), Nightlife, Restaurants, Gastropubs, Bars</t>
  </si>
  <si>
    <t>7PRse3yCQbEprAj1DWrEQQ</t>
  </si>
  <si>
    <t>Dish Osteria and Bar</t>
  </si>
  <si>
    <t>128 S 17th St</t>
  </si>
  <si>
    <t>mweMYUxCsIZUtHVJa_4Z5w</t>
  </si>
  <si>
    <t>Restaurants, Food, Salad, Desserts, American (Traditional), Seafood, Sandwiches</t>
  </si>
  <si>
    <t>Dorido's Restaurant</t>
  </si>
  <si>
    <t>6408 Brownsville Rd</t>
  </si>
  <si>
    <t>_vzNvnj8ob0hAk2QXEv3Mw</t>
  </si>
  <si>
    <t>Active Life, African, Laser Tag, Rock Climbing, Automotive, Bars, Restaurants, Nightlife, American (Traditional), Bowling, Towing, American (New), Arts &amp; Entertainment, Arcades</t>
  </si>
  <si>
    <t>Main Event Entertainment</t>
  </si>
  <si>
    <t>200 Quinn Dr</t>
  </si>
  <si>
    <t>SHlfx41Mo4dk2WR1VyT2_Q</t>
  </si>
  <si>
    <t>Tea Rooms, Restaurants, Coffee &amp; Tea, Vegan, Food</t>
  </si>
  <si>
    <t>Adda Coffee &amp; Tea House</t>
  </si>
  <si>
    <t>200 South Highland Ave</t>
  </si>
  <si>
    <t>Xz5tTSD3X3gACOiVn101tQ</t>
  </si>
  <si>
    <t>Express Pizzeria</t>
  </si>
  <si>
    <t>M70Jr9yUWCDfoTsZS3uq7A</t>
  </si>
  <si>
    <t>Vegan, Live/Raw Food, Restaurants</t>
  </si>
  <si>
    <t>Eden Bistro</t>
  </si>
  <si>
    <t>735 Copeland St</t>
  </si>
  <si>
    <t>45wDLpgW2BFrCRqlf19Efg</t>
  </si>
  <si>
    <t>Paisano's</t>
  </si>
  <si>
    <t>821 E Warrington Ave</t>
  </si>
  <si>
    <t>1hCKJqPC9uLIXavNKVudAg</t>
  </si>
  <si>
    <t>Restaurants, American (Traditional), Polish</t>
  </si>
  <si>
    <t>Cop Out Pierogies</t>
  </si>
  <si>
    <t>350 Butler St</t>
  </si>
  <si>
    <t>NQ7d9DIzP4Uip8yP9hgwPA</t>
  </si>
  <si>
    <t>American (Traditional), Sports Bars, Bars, Restaurants, Chicken Wings, Nightlife</t>
  </si>
  <si>
    <t>Local Brewhouse</t>
  </si>
  <si>
    <t>AanIRR6tCCgIO7OibuvE5A</t>
  </si>
  <si>
    <t>Food Trucks, Sandwiches, Food, Restaurants</t>
  </si>
  <si>
    <t>Pittsburgh Sandwich Society</t>
  </si>
  <si>
    <t>wcA-pfNAmxRJC9N2IcJX3w</t>
  </si>
  <si>
    <t>Mattress Factory Cafe</t>
  </si>
  <si>
    <t>500 Sampsonia Way</t>
  </si>
  <si>
    <t>ynl3TMy_g0ANEajPpdDVKQ</t>
  </si>
  <si>
    <t>Asian Fusion, Restaurants, Sushi Bars, Thai</t>
  </si>
  <si>
    <t>Irrawaddy Sushi &amp; Thai Cuisine</t>
  </si>
  <si>
    <t>e2ng0CQ69anIawqIKzhtlg</t>
  </si>
  <si>
    <t>Taiwanese, Thai, Restaurants</t>
  </si>
  <si>
    <t>Smiling Banana Leaf</t>
  </si>
  <si>
    <t>5901 Bryant St</t>
  </si>
  <si>
    <t>nXr2CBXYxdXYm-tWn91KCg</t>
  </si>
  <si>
    <t>Fast Food, Chicken Wings, American (Traditional), Steakhouses, Restaurants</t>
  </si>
  <si>
    <t>9DnHnAbd5sciiBHrQs7DJA</t>
  </si>
  <si>
    <t>Sandwiches, Restaurants, Pizza, Barbeque</t>
  </si>
  <si>
    <t>GnPXUkEvX5M0YR_PVGhWgg</t>
  </si>
  <si>
    <t>Pizza, Comfort Food, American (New), Ice Cream &amp; Frozen Yogurt, Restaurants, Italian, Food</t>
  </si>
  <si>
    <t>Park Pizza &amp; Cream</t>
  </si>
  <si>
    <t>7600 Forbes Ave</t>
  </si>
  <si>
    <t>sgnqFImVFaWEJDjYz71m0w</t>
  </si>
  <si>
    <t>Hotels, Restaurants, Bed &amp; Breakfast, Tea Rooms, Food, Hotels &amp; Travel, Event Planning &amp; Services, American (New)</t>
  </si>
  <si>
    <t>Sunnyledge Boutique Hotel</t>
  </si>
  <si>
    <t>5124 Fifth Ave</t>
  </si>
  <si>
    <t>CkVeYI6HpUmuZ87D6K-i3A</t>
  </si>
  <si>
    <t>Duke's Station</t>
  </si>
  <si>
    <t>5981 Baptist Rd</t>
  </si>
  <si>
    <t>EIFW8Cz9S7-jWWdnZrH3pg</t>
  </si>
  <si>
    <t>Restaurants, Buffets, Food, Barbeque, American (New)</t>
  </si>
  <si>
    <t>Grand View Buffet</t>
  </si>
  <si>
    <t>qELIf4gzE_vlteu7pO7TZg</t>
  </si>
  <si>
    <t>Bars, Event Planning &amp; Services, Caterers, Seafood, Sandwiches, Burgers, American (New), Restaurants, Steakhouses, American (Traditional), Salad, Nightlife, Italian</t>
  </si>
  <si>
    <t>Atria's Restaurant</t>
  </si>
  <si>
    <t>103 Federal St</t>
  </si>
  <si>
    <t>WC6y30BJZ8CLjJXDL_jaKg</t>
  </si>
  <si>
    <t>Soul Food, Restaurants</t>
  </si>
  <si>
    <t>T &amp; K's Soul Food Kitchen</t>
  </si>
  <si>
    <t>305 N Craig St</t>
  </si>
  <si>
    <t>sC5KVDDvSt2ZbMYVL3excQ</t>
  </si>
  <si>
    <t>Tea Rooms, Food, Restaurants, Cafes</t>
  </si>
  <si>
    <t>Niko's Coffee</t>
  </si>
  <si>
    <t>tyCIs0pyyw36apAXdR26WQ</t>
  </si>
  <si>
    <t>China Gate</t>
  </si>
  <si>
    <t>N60yOH1GpH8wE9kln7m3XQ</t>
  </si>
  <si>
    <t>Food, Sandwiches, Coffee Roasteries, Internet Cafes, Coffee &amp; Tea, Restaurants</t>
  </si>
  <si>
    <t>Cafe de Noir</t>
  </si>
  <si>
    <t>802 Brookline Blvd</t>
  </si>
  <si>
    <t>Zja7ykq3icDzkN20XX6j1w</t>
  </si>
  <si>
    <t>Italian, Pizza, Bars, Beer Bar, Nightlife, Restaurants</t>
  </si>
  <si>
    <t>Aiello's Pizza</t>
  </si>
  <si>
    <t>2112 Murray Ave</t>
  </si>
  <si>
    <t>0VUbtKyg-_2Y4T1ct2KUNQ</t>
  </si>
  <si>
    <t>Burgers, Restaurants, American (Traditional)</t>
  </si>
  <si>
    <t>Wahlburgers</t>
  </si>
  <si>
    <t>6242 Northway Dr</t>
  </si>
  <si>
    <t>ZcYBeh-_ubSsZLJA97PSLA</t>
  </si>
  <si>
    <t>Mm Mm Pizza</t>
  </si>
  <si>
    <t>5208 Clairton Blvd</t>
  </si>
  <si>
    <t>j-5O-Ehd2eaCHYgmTSfoRw</t>
  </si>
  <si>
    <t>Food, Fast Food, Restaurants, Mexican</t>
  </si>
  <si>
    <t>211 Forbes Ave</t>
  </si>
  <si>
    <t>coCyzypaxobGlLksfpHzZA</t>
  </si>
  <si>
    <t>Paradiso Ristorante</t>
  </si>
  <si>
    <t>301 Grant St, Level Three</t>
  </si>
  <si>
    <t>dFKc6f1RZ1AetOuXk6kWEw</t>
  </si>
  <si>
    <t>Breakfast &amp; Brunch, Sandwiches, Restaurants</t>
  </si>
  <si>
    <t>Island Cafe</t>
  </si>
  <si>
    <t>224 Bessemer Ct</t>
  </si>
  <si>
    <t>DPT4j7kxjLt332YMwFLkww</t>
  </si>
  <si>
    <t>Japanese, Nightlife, Sushi Bars, Restaurants</t>
  </si>
  <si>
    <t>Benihana</t>
  </si>
  <si>
    <t>2100 Greentree Rd</t>
  </si>
  <si>
    <t>b_xFN9mtFWHUbny-GoiErQ</t>
  </si>
  <si>
    <t>5527 Walnut St</t>
  </si>
  <si>
    <t>GkYPYQC_H_gKWsalG7dk8A</t>
  </si>
  <si>
    <t>Bridges Restaurant</t>
  </si>
  <si>
    <t>-7PX_FOoCwktlunImRyZdg</t>
  </si>
  <si>
    <t>Specialty Food, Local Flavor, Food, Italian, Pizza, Restaurants</t>
  </si>
  <si>
    <t>Pizza Taglio</t>
  </si>
  <si>
    <t>126 S Highland Ave</t>
  </si>
  <si>
    <t>Toux3q1WwY2vNV5AhbR6wQ</t>
  </si>
  <si>
    <t>Cibo</t>
  </si>
  <si>
    <t>1103 S Braddock Ave</t>
  </si>
  <si>
    <t>2-_UPP_gKEsx2F8BXZf-PA</t>
  </si>
  <si>
    <t>Charleys Grilled Subs</t>
  </si>
  <si>
    <t>XfgHILSTiFuoK69Z4KOcJg</t>
  </si>
  <si>
    <t>Food, Hot Dogs, Restaurants, Local Flavor, Food Trucks</t>
  </si>
  <si>
    <t>Newman &amp; Marleys</t>
  </si>
  <si>
    <t>dCPyV8XCEyE7pyUgzOCDKA</t>
  </si>
  <si>
    <t>4800 Baum Blvd</t>
  </si>
  <si>
    <t>TAB_NFD7pjjouJUlCjCvKQ</t>
  </si>
  <si>
    <t>Hotels &amp; Travel, Hotels, Event Planning &amp; Services, Restaurants</t>
  </si>
  <si>
    <t>Omni William Penn Hotel</t>
  </si>
  <si>
    <t>YKvRkkluFUMCsFwUyp3SVw</t>
  </si>
  <si>
    <t>Barbeque, Food, Food Trucks, Restaurants</t>
  </si>
  <si>
    <t>Evil Swine BBQ</t>
  </si>
  <si>
    <t>Cg5hUSWUwFImqO4beH1Zyg</t>
  </si>
  <si>
    <t>Pubs, American (Traditional), Nightlife, Restaurants, Burgers, Bars, Food</t>
  </si>
  <si>
    <t>Jamison's On West Liberty</t>
  </si>
  <si>
    <t>3113 W Liberty Ave</t>
  </si>
  <si>
    <t>YvCSy44tck2FebK5ScZA3g</t>
  </si>
  <si>
    <t>Restaurants, Salad</t>
  </si>
  <si>
    <t>Green Leaf's &amp; Bananas</t>
  </si>
  <si>
    <t>DBcpa6D6S9Cf1JKvkXvnlg</t>
  </si>
  <si>
    <t>Fast Food, Restaurants, Coffee &amp; Tea, Burgers, Food</t>
  </si>
  <si>
    <t>11591 Frankstown Rd</t>
  </si>
  <si>
    <t>yiN4aDHeW0kBvZQE1bYTLQ</t>
  </si>
  <si>
    <t>Buon Cibo</t>
  </si>
  <si>
    <t>100 Boyce Park Dr, Ste A</t>
  </si>
  <si>
    <t>IcIqyNdDl4qz7BjSs0uRVQ</t>
  </si>
  <si>
    <t>Restaurants, Food, Mexican, Ethnic Food, Specialty Food, Nightlife, Bars</t>
  </si>
  <si>
    <t>Mi Ranchito</t>
  </si>
  <si>
    <t>2GtsN4VziQDzDK5YGToSqg</t>
  </si>
  <si>
    <t>Andora</t>
  </si>
  <si>
    <t>599 Dorseyville Rd</t>
  </si>
  <si>
    <t>VMmGHyGj7nuj16voJkfuJg</t>
  </si>
  <si>
    <t>Miss Saigon 88 Cafe</t>
  </si>
  <si>
    <t>5idHlOd78PQH93RWIM6KYA</t>
  </si>
  <si>
    <t>American (Traditional), Bars, Burgers, Restaurants, Nightlife</t>
  </si>
  <si>
    <t>Tipsy Cow</t>
  </si>
  <si>
    <t>k2wKGAnlSb4n5WT694GcTA</t>
  </si>
  <si>
    <t>Hug Thai</t>
  </si>
  <si>
    <t>zvf4U6LJdNGOEogmmCOsLA</t>
  </si>
  <si>
    <t>3200 Saw Mill Run Blvd</t>
  </si>
  <si>
    <t>jppxrDQLXr4Nk8cV7IGlcw</t>
  </si>
  <si>
    <t>Mexican, Restaurants, Food, Salad, Desserts</t>
  </si>
  <si>
    <t>Casa Reyna</t>
  </si>
  <si>
    <t>2031 Penn Ave</t>
  </si>
  <si>
    <t>T3DcIhsOy74mmmtLmi-X3w</t>
  </si>
  <si>
    <t>Street Vendors, Barbeque, Food Trucks, Food, Restaurants</t>
  </si>
  <si>
    <t>South Side BBQ Company</t>
  </si>
  <si>
    <t>75 S 17th St</t>
  </si>
  <si>
    <t>TeaOjHwZmKYlD9ce1l-8Ug</t>
  </si>
  <si>
    <t>Nightlife, Karaoke, American (New), Restaurants, Bars</t>
  </si>
  <si>
    <t>Bob's Garage</t>
  </si>
  <si>
    <t>1372 Freeport Rd</t>
  </si>
  <si>
    <t>In8gjAPQ1eE2F2OMY0H9ow</t>
  </si>
  <si>
    <t>UUBU 6</t>
  </si>
  <si>
    <t>178-180 Pius St</t>
  </si>
  <si>
    <t>BnDqHWovCd6Xwp3KzoL0hg</t>
  </si>
  <si>
    <t>Festivals, Churches, Religious Organizations, Restaurants, Arts &amp; Entertainment, Greek</t>
  </si>
  <si>
    <t>Holy Trinity "Taste of Greece" Greek Festival</t>
  </si>
  <si>
    <t>985 Providence Blvd</t>
  </si>
  <si>
    <t>cK1HL-8VreiF4K6ZcponLQ</t>
  </si>
  <si>
    <t>Restaurants, Nightlife, Bars, Dive Bars</t>
  </si>
  <si>
    <t>Walker's Pub</t>
  </si>
  <si>
    <t>2024 Sarah St</t>
  </si>
  <si>
    <t>JUiIEt5wW7ImwOdpEc-r0Q</t>
  </si>
  <si>
    <t>3906 Perysvle Ave N Sde</t>
  </si>
  <si>
    <t>VpsXhgaBA7-65Gt2zg8Nkg</t>
  </si>
  <si>
    <t>Gastropubs, American (New), Restaurants, Bars, Breakfast &amp; Brunch, Sandwiches, American (Traditional), Nightlife</t>
  </si>
  <si>
    <t>Industry Public House</t>
  </si>
  <si>
    <t>RYBGhnFtyZGjlREEfcRFrg</t>
  </si>
  <si>
    <t>Restaurants, Vietnamese, Vegetarian</t>
  </si>
  <si>
    <t>Tram's Kitchen</t>
  </si>
  <si>
    <t>4050 Penn Ave</t>
  </si>
  <si>
    <t>HkhmrEG8I3crc7pVVblyQw</t>
  </si>
  <si>
    <t>Ethnic Food, Restaurants, Food, Specialty Food, Indian, Pakistani</t>
  </si>
  <si>
    <t>606 Main St</t>
  </si>
  <si>
    <t>8aykSzSqGPYUpMQbO2DPdA</t>
  </si>
  <si>
    <t>Asian Fusion, Restaurants, Thai</t>
  </si>
  <si>
    <t>Sukhothai Bistro</t>
  </si>
  <si>
    <t>Iabd_rGdOvdpySBeluFs5w</t>
  </si>
  <si>
    <t>Fast Food, Fish &amp; Chips, Chicken Wings, Pizza, Restaurants, Food Delivery Services, Food</t>
  </si>
  <si>
    <t>Cardello Pizza</t>
  </si>
  <si>
    <t>261 Moon Clinton Rd</t>
  </si>
  <si>
    <t>hsVjfLehMqpXk7DBmOUJJw</t>
  </si>
  <si>
    <t>Restaurants, American (New), Nightlife, Breakfast &amp; Brunch, Bars</t>
  </si>
  <si>
    <t>Jodi B's Restaurant</t>
  </si>
  <si>
    <t>6AV2oHINgc7LGNlJlqAXUA</t>
  </si>
  <si>
    <t>Nightlife, Burgers, Restaurants, Bars, Food</t>
  </si>
  <si>
    <t>63iOXcDVSr8Jm0C8mjzo6g</t>
  </si>
  <si>
    <t>Restaurants, Hot Dogs, Coffee &amp; Tea, Fast Food, Burgers, Food</t>
  </si>
  <si>
    <t>1 Poplar St</t>
  </si>
  <si>
    <t>ymsa3ReIbctz4IFmPUgWDA</t>
  </si>
  <si>
    <t>Restaurants, Desserts, Thai, Noodles, Food</t>
  </si>
  <si>
    <t>Thai &amp; Noodle Outlet</t>
  </si>
  <si>
    <t>9tp082Mk5-Ux3x3YYjlyKg</t>
  </si>
  <si>
    <t>Bars, Restaurants, Nightlife, American (New)</t>
  </si>
  <si>
    <t>SZ8wQ0u11V3gCkOI8JEVCQ</t>
  </si>
  <si>
    <t>Desserts, Bakeries, Food, Restaurants</t>
  </si>
  <si>
    <t>CoCo's Cupcake Cafe</t>
  </si>
  <si>
    <t>5811 Ellsworth Ave</t>
  </si>
  <si>
    <t>0iWPGjWRBrLasX55aJRdOg</t>
  </si>
  <si>
    <t>Restaurants, Mexican, Latin American</t>
  </si>
  <si>
    <t>minFxQJgD6lyHndwU-_IUw</t>
  </si>
  <si>
    <t>Grocery, Food, Event Planning &amp; Services, Comfort Food, Caterers, Restaurants, American (Traditional)</t>
  </si>
  <si>
    <t>300 Davis Blvd</t>
  </si>
  <si>
    <t>T1EKhweXQnRP3niBrBL7Ug</t>
  </si>
  <si>
    <t>Latin American, Seafood, Laotian, Caribbean, Restaurants, Nightlife, Bars</t>
  </si>
  <si>
    <t>Bahama Breeze</t>
  </si>
  <si>
    <t>6100 Robinson Center Dr</t>
  </si>
  <si>
    <t>gHngt6zpP683GKe1i23LUg</t>
  </si>
  <si>
    <t>American (Traditional), Breakfast &amp; Brunch, Restaurants, Seafood</t>
  </si>
  <si>
    <t>Grand Concourse</t>
  </si>
  <si>
    <t>100 W Station Square Dr</t>
  </si>
  <si>
    <t>GpwuGxGPzB3NHq7bxZnGbA</t>
  </si>
  <si>
    <t>American (Traditional), Bars, Nightlife, Restaurants, Dive Bars, Breakfast &amp; Brunch</t>
  </si>
  <si>
    <t>Green Front Inn</t>
  </si>
  <si>
    <t>2341 E Carson St</t>
  </si>
  <si>
    <t>ccdcyzc1oSucd-qRlnYR0w</t>
  </si>
  <si>
    <t>New China Inn</t>
  </si>
  <si>
    <t>4609 Centre Ave</t>
  </si>
  <si>
    <t>4CXnWcTTgwBkkcQT6_6ppA</t>
  </si>
  <si>
    <t>Bars, Restaurants, Nightlife, American (Traditional)</t>
  </si>
  <si>
    <t>Smokin' Joe's</t>
  </si>
  <si>
    <t>2001 E Carson St</t>
  </si>
  <si>
    <t>GtkxSYxyM6XqcChFuzMjxw</t>
  </si>
  <si>
    <t>Breakfast &amp; Brunch, Cafes, Internet Cafes, Salad, Food, Juice Bars &amp; Smoothies, Coffee &amp; Tea, Restaurants</t>
  </si>
  <si>
    <t>Blue Elephant Cafe</t>
  </si>
  <si>
    <t>150 Gamma Dr</t>
  </si>
  <si>
    <t>pVZdH35B95NKyXNA9rnW0w</t>
  </si>
  <si>
    <t>Art Galleries, Art Classes, Shopping, Local Flavor, Restaurants, Education, Arts &amp; Entertainment, Arts &amp; Crafts, Cafes</t>
  </si>
  <si>
    <t>The Artsmiths of Pittsburgh</t>
  </si>
  <si>
    <t>1635 McFarland Rd</t>
  </si>
  <si>
    <t>HidSAIhDmpVf38qriIi4hQ</t>
  </si>
  <si>
    <t>The Pizza Stop</t>
  </si>
  <si>
    <t>1315 Mifflin Rd</t>
  </si>
  <si>
    <t>vn0wYNms_5PseeYZ6pfLmA</t>
  </si>
  <si>
    <t>Breakfast &amp; Brunch, Cafes, Coffee &amp; Tea, Food, Sandwiches, Restaurants</t>
  </si>
  <si>
    <t>S&amp;D Cafe</t>
  </si>
  <si>
    <t>1425 Forbes Ave</t>
  </si>
  <si>
    <t>xwEYTGJ_82ScbpXcheqqQw</t>
  </si>
  <si>
    <t>2020 Ardmore Blvd, Ste 170</t>
  </si>
  <si>
    <t>NAeUcNL3Uk73Cp5iC25TMg</t>
  </si>
  <si>
    <t>Taste of Dahntahn</t>
  </si>
  <si>
    <t>H4PWUUInSMs5i8uPpMCwSw</t>
  </si>
  <si>
    <t>Billu's Indian Grill</t>
  </si>
  <si>
    <t>uYzaARioENSfB9Y9Gk2PDA</t>
  </si>
  <si>
    <t>American (Traditional), Pubs, Bars, Nightlife, Sports Bars, Restaurants</t>
  </si>
  <si>
    <t>Carl's Tavern</t>
  </si>
  <si>
    <t>3386 William Penn Hwy</t>
  </si>
  <si>
    <t>rIj7fC2wwRr_2iVSIAtbQw</t>
  </si>
  <si>
    <t>Pizza, Salad, Restaurants, American (New), Desserts, Food Delivery Services, Food</t>
  </si>
  <si>
    <t>Yinz Guys Pizza</t>
  </si>
  <si>
    <t>1914 Brownsvillerd</t>
  </si>
  <si>
    <t>vYRxMRpdUES85ZEpiQwjgg</t>
  </si>
  <si>
    <t>Chopstick House</t>
  </si>
  <si>
    <t>2798 Robinson Blvd</t>
  </si>
  <si>
    <t>NaqR4ptSaeqm33-rAtBz0w</t>
  </si>
  <si>
    <t>116 Peebles St</t>
  </si>
  <si>
    <t>6_2fCtQLEVXJgbKLnTZaXg</t>
  </si>
  <si>
    <t>Pasta Too</t>
  </si>
  <si>
    <t>m5MaRXA1rNX1n1Kbr8-Sog</t>
  </si>
  <si>
    <t>Restaurants, Food, Chinese</t>
  </si>
  <si>
    <t>How Lee</t>
  </si>
  <si>
    <t>1621 S Braddock Ave</t>
  </si>
  <si>
    <t>leG7stzwTdc37b8Ma1TEeA</t>
  </si>
  <si>
    <t>Coffee &amp; Tea, Fast Food, Food, Burgers, Restaurants</t>
  </si>
  <si>
    <t>82 Fort Couch Rd</t>
  </si>
  <si>
    <t>w_UCGMgok7N9p0XdYBx1VQ</t>
  </si>
  <si>
    <t>Sandwiches, Bars, Nightlife, Restaurants, Sports Bars, Chicken Wings, American (New)</t>
  </si>
  <si>
    <t>2 S Market Sq</t>
  </si>
  <si>
    <t>GYuRMJZfWMg4SZD5RfOSzw</t>
  </si>
  <si>
    <t>700 Forbes Ave</t>
  </si>
  <si>
    <t>ZARPISrzPW6PrMSwexHnxw</t>
  </si>
  <si>
    <t>Juice Bars &amp; Smoothies, Beer Bar, Nightlife, American (New), Cocktail Bars, Bars, Food, Fast Food, Burgers, Restaurants</t>
  </si>
  <si>
    <t>342 N Shore Dr</t>
  </si>
  <si>
    <t>w-C9LX2gMSCHZzmrsHWrsg</t>
  </si>
  <si>
    <t>Restaurants, Breakfast &amp; Brunch, Pizza, Italian</t>
  </si>
  <si>
    <t>Nipper's Pizzeria</t>
  </si>
  <si>
    <t>303 Beverly Rd</t>
  </si>
  <si>
    <t>S-WbBty-kGOO3Fmwx3Jmlw</t>
  </si>
  <si>
    <t>Bakeries, Coffee &amp; Tea, Desserts, Restaurants, Food</t>
  </si>
  <si>
    <t>Pink Box Bakery Cafe</t>
  </si>
  <si>
    <t>2104 Murray Ave</t>
  </si>
  <si>
    <t>5REYrZfsX3m4E3FTwovp5Q</t>
  </si>
  <si>
    <t>Tapas/Small Plates, Latin American, Cuban, Restaurants</t>
  </si>
  <si>
    <t>Seviche</t>
  </si>
  <si>
    <t>72s7cTvPgI_meydNhX-JMA</t>
  </si>
  <si>
    <t>Italian, Restaurants, Salad, Pizza</t>
  </si>
  <si>
    <t>Vincent's of Green Tree</t>
  </si>
  <si>
    <t>333 Mansfield Ave</t>
  </si>
  <si>
    <t>56worzbzO-fnU-0WDuabQg</t>
  </si>
  <si>
    <t>Dive Bars, Lounges, Nightlife, Restaurants, Bars</t>
  </si>
  <si>
    <t>Riggs Lounge &amp; Restaurant</t>
  </si>
  <si>
    <t>1208 Brighton Rd</t>
  </si>
  <si>
    <t>nk7BE6tOEdhNcbQcaEtGCw</t>
  </si>
  <si>
    <t>Szmidt's Old World Deli</t>
  </si>
  <si>
    <t>vIHEp4EbzDs8CtA-Tf3Mkg</t>
  </si>
  <si>
    <t>Signature Desserts</t>
  </si>
  <si>
    <t>3360 Library Rd</t>
  </si>
  <si>
    <t>78g3rIFPysoo2SockVvi6A</t>
  </si>
  <si>
    <t>idM0hDe_Pp2IeYgH0DIIBw</t>
  </si>
  <si>
    <t>Food, Restaurants, Cafes, Coffee &amp; Tea, Bookstores, Shopping, Books, Mags, Music &amp; Video</t>
  </si>
  <si>
    <t>The Big Idea Bookstore and Cafe</t>
  </si>
  <si>
    <t>4812 Liberty Ave</t>
  </si>
  <si>
    <t>mLP-jIIRdoaYM7fJqqFurw</t>
  </si>
  <si>
    <t>Salad, Italian, Restaurants, Pizza</t>
  </si>
  <si>
    <t>Napoli Pizzeria</t>
  </si>
  <si>
    <t>2006 Murray Ave</t>
  </si>
  <si>
    <t>yZDUuT1zNgtGkUjYBaHb6g</t>
  </si>
  <si>
    <t>aG6AXBnvk1NrTKCbon63mw</t>
  </si>
  <si>
    <t>Margaritaville</t>
  </si>
  <si>
    <t>2200 E Carson St</t>
  </si>
  <si>
    <t>-3rvpkYkYD_N1IP4hSvD0A</t>
  </si>
  <si>
    <t>Restaurants, Sushi Bars, Japanese</t>
  </si>
  <si>
    <t>Sushi Three</t>
  </si>
  <si>
    <t>Fast Food, Caterers, Restaurants, Event Planning &amp; Services, Mexican</t>
  </si>
  <si>
    <t>4815 Centre Ave</t>
  </si>
  <si>
    <t>4NkEWTs76FplOihc-qyBZQ</t>
  </si>
  <si>
    <t>Maisie's Pizza</t>
  </si>
  <si>
    <t>1130 Perry Hwy, Ste 7</t>
  </si>
  <si>
    <t>S8VRQCBrbZI04zjCOc1RAA</t>
  </si>
  <si>
    <t>Las Palmas</t>
  </si>
  <si>
    <t>326 Atwood St</t>
  </si>
  <si>
    <t>7rqpu7hwyFTEBZOZoNv7iA</t>
  </si>
  <si>
    <t>Soul Food, Barbeque, Restaurants, Southern</t>
  </si>
  <si>
    <t>Mr Willie's BBQ</t>
  </si>
  <si>
    <t>AMGe9WK6bxiEkTYNj_cx0w</t>
  </si>
  <si>
    <t>Food, Coffee Roasteries, Restaurants, Cafes, Coffee &amp; Tea</t>
  </si>
  <si>
    <t>5524 Walnut St</t>
  </si>
  <si>
    <t>50pVtN734QXvtRh6IDiapw</t>
  </si>
  <si>
    <t>Event Planning &amp; Services, Restaurants, Religious Organizations, Caterers, Chicken Shop, Fast Food</t>
  </si>
  <si>
    <t>Pittsburgh Airport Terminal</t>
  </si>
  <si>
    <t>wTjRn-n2wr6aLkNqFIuAGQ</t>
  </si>
  <si>
    <t>Steakhouses, Diners, American (Traditional), Restaurants</t>
  </si>
  <si>
    <t>Armstrong's</t>
  </si>
  <si>
    <t>5299 Grove Rd</t>
  </si>
  <si>
    <t>0xeS1Vpz4bQPlLQxeGGUSQ</t>
  </si>
  <si>
    <t>Royal Lounge Restaurant</t>
  </si>
  <si>
    <t>600 Weyman Rd</t>
  </si>
  <si>
    <t>sgeH1aWYynK1BQiouCTMtw</t>
  </si>
  <si>
    <t>Restaurants, Soup, Event Planning &amp; Services, American (New), Caterers, Breakfast &amp; Brunch, Diners</t>
  </si>
  <si>
    <t>J &amp; J's Family Restaurant &amp; Catering</t>
  </si>
  <si>
    <t>300 Shiloh St</t>
  </si>
  <si>
    <t>vg55SAkrEmuHpWfIMtJjBQ</t>
  </si>
  <si>
    <t>Restaurants, American (New), French, Italian, Soul Food, American (Traditional)</t>
  </si>
  <si>
    <t>Legume</t>
  </si>
  <si>
    <t>8IetU93EqoUGRVNOt0Q2iA</t>
  </si>
  <si>
    <t>Cafes, Sandwiches, Restaurants</t>
  </si>
  <si>
    <t>Fernando's Cafe</t>
  </si>
  <si>
    <t>963 Liberty Ave</t>
  </si>
  <si>
    <t>3dyO9LrC9x-qJ2ZpbL9FZA</t>
  </si>
  <si>
    <t>American (Traditional), Bars, Korean, Restaurants, Nightlife, Asian Fusion</t>
  </si>
  <si>
    <t>Soju</t>
  </si>
  <si>
    <t>4923 Penn Ave</t>
  </si>
  <si>
    <t>vH3U-nP1hg7Wr0A9_i201g</t>
  </si>
  <si>
    <t>The Warhol: Cafe</t>
  </si>
  <si>
    <t>117 Sandusky St</t>
  </si>
  <si>
    <t>hD77eYBzX0yQfpAUMY8dEw</t>
  </si>
  <si>
    <t>Party Cake Shop</t>
  </si>
  <si>
    <t>706 Brookline Blvd</t>
  </si>
  <si>
    <t>kmq0Y15icHK36kpJyho_Zw</t>
  </si>
  <si>
    <t>Large Plain</t>
  </si>
  <si>
    <t>3286 Babcock Blvd</t>
  </si>
  <si>
    <t>71ONxJtmDNDiJAtYHK-0RA</t>
  </si>
  <si>
    <t>American (Traditional), Breakfast &amp; Brunch, Restaurants, Diners</t>
  </si>
  <si>
    <t>zuu87Wx0Sv2KCUzY_wGSKQ</t>
  </si>
  <si>
    <t>1419 Potomac Ave</t>
  </si>
  <si>
    <t>tdLzywYXCOmskX95V53G5g</t>
  </si>
  <si>
    <t>Bagels, Restaurants, Sandwiches, Food, Breakfast &amp; Brunch</t>
  </si>
  <si>
    <t>1644 Cochran Rd</t>
  </si>
  <si>
    <t>hsDkxhc-_YYsVqAeQBJJjg</t>
  </si>
  <si>
    <t>American (Traditional), Italian, Restaurants</t>
  </si>
  <si>
    <t>Big Jim's Restaurant &amp; Bar</t>
  </si>
  <si>
    <t>201 Saline St</t>
  </si>
  <si>
    <t>9MPLntyNzhdUXpGT-h0HUw</t>
  </si>
  <si>
    <t>Acorn Pittsburgh</t>
  </si>
  <si>
    <t>5528 Walnut St</t>
  </si>
  <si>
    <t>KR89_v-jKxf4_l8h8k4jyQ</t>
  </si>
  <si>
    <t>Restaurants, Food, Bakeries</t>
  </si>
  <si>
    <t>Paddy Cake Bakery</t>
  </si>
  <si>
    <t>4763 Liberty Ave</t>
  </si>
  <si>
    <t>xCmFGgpTkf77fNCrvkDBsA</t>
  </si>
  <si>
    <t>Thai Terrace</t>
  </si>
  <si>
    <t>dMKrQ13oZHtrkHMSx4EpEQ</t>
  </si>
  <si>
    <t>Restaurants, Burgers, Food, Peruvian</t>
  </si>
  <si>
    <t>AJ's Burger &amp; Peruvian Chicken</t>
  </si>
  <si>
    <t>3608 5th Ave</t>
  </si>
  <si>
    <t>24ZF_CY04CplqUaOu7U_aQ</t>
  </si>
  <si>
    <t>Cross Keys Inn</t>
  </si>
  <si>
    <t>7I_xWHdCaH-CtZLQGkhsjg</t>
  </si>
  <si>
    <t>Specialty Food, Restaurants, Fruits &amp; Veggies, Cafes, Delis, Grocery, Food, Coffee &amp; Tea</t>
  </si>
  <si>
    <t>Pear and the Pickle, Cafe &amp; Market</t>
  </si>
  <si>
    <t>1800 Rialto St</t>
  </si>
  <si>
    <t>bWfwTLWvrGd1LPwDKzq1WQ</t>
  </si>
  <si>
    <t>5235 Clairton Blvd</t>
  </si>
  <si>
    <t>ECtQU_nN7OX1xnz1gujGcQ</t>
  </si>
  <si>
    <t>People's Indian Restaurant</t>
  </si>
  <si>
    <t>5147 Penn Ave</t>
  </si>
  <si>
    <t>zMfZLd5_h5W8ZVxTNoeJyQ</t>
  </si>
  <si>
    <t>5505 Walnut St</t>
  </si>
  <si>
    <t>Y4UKJsGR5Xu-WHSxqdtflQ</t>
  </si>
  <si>
    <t>Hot Dogs, Restaurants, Food, Food Trucks</t>
  </si>
  <si>
    <t>Bull Dawgs</t>
  </si>
  <si>
    <t>PzQS2vMnpTsryOtf8WK17A</t>
  </si>
  <si>
    <t>C6jKwYmzHztO7OCex9j-YQ</t>
  </si>
  <si>
    <t>Mia Pizza</t>
  </si>
  <si>
    <t>4901 Baum Blvd</t>
  </si>
  <si>
    <t>Food, Italian, Restaurants, Pizza</t>
  </si>
  <si>
    <t>4500 Butler St</t>
  </si>
  <si>
    <t>kuJSCQ-bAySEYI3nfu3C7g</t>
  </si>
  <si>
    <t>Bars, Beer, Wine &amp; Spirits, Wine Bars, Restaurants, Chicken Wings, Lounges, Food, Nightlife, Burgers</t>
  </si>
  <si>
    <t>Bobby Hendrix Restaurant &amp; Lounge</t>
  </si>
  <si>
    <t>2019 E Carson St</t>
  </si>
  <si>
    <t>f9R4pZ7BNWnYIAX3bK84pw</t>
  </si>
  <si>
    <t>Crystal On Penn</t>
  </si>
  <si>
    <t>1211 Penn Ave</t>
  </si>
  <si>
    <t>K5jY2W5Q3eNnwssV5UZtow</t>
  </si>
  <si>
    <t>Venues &amp; Event Spaces, Pizza, Event Planning &amp; Services, Food, Nightlife, Cocktail Bars, Restaurants, Bars, Dive Bars, Beer, Wine &amp; Spirits</t>
  </si>
  <si>
    <t>Spirit Lodge</t>
  </si>
  <si>
    <t>242 51st St</t>
  </si>
  <si>
    <t>2wCzZUwcqRRBrAtBBYxnog</t>
  </si>
  <si>
    <t>Frankstown Wood Fired Pizza</t>
  </si>
  <si>
    <t>12911 Frankstown Rd</t>
  </si>
  <si>
    <t>5X1stJTur_paJFZ9TTuNIw</t>
  </si>
  <si>
    <t>524 Penn Ave</t>
  </si>
  <si>
    <t>bdNyoXY4yJ99derJRqhP3Q</t>
  </si>
  <si>
    <t>Mediterranean, Restaurants, Nightlife, American (New), Bars</t>
  </si>
  <si>
    <t>Cure</t>
  </si>
  <si>
    <t>5336 Butler St</t>
  </si>
  <si>
    <t>noCKeynzdlWBQsVsAFZMpA</t>
  </si>
  <si>
    <t>French, Brasseries, Wine Bars, Nightlife, Bars, Restaurants, Cocktail Bars</t>
  </si>
  <si>
    <t>Bar Frenchman</t>
  </si>
  <si>
    <t>bQ-sXUqPSr4-iJfB764Nzw</t>
  </si>
  <si>
    <t>Burgers, Restaurants, American (Traditional), Bars, American (New), Cocktail Bars, Nightlife</t>
  </si>
  <si>
    <t>Bill's Bar &amp; Burger</t>
  </si>
  <si>
    <t>G9LyIc5LgBNM_zF8BJMhNg</t>
  </si>
  <si>
    <t>Burgers, Fast Food, Restaurants, Hot Dogs</t>
  </si>
  <si>
    <t>120 Penn Cir W</t>
  </si>
  <si>
    <t>Q9veWOu7mFj881o3nqB4bQ</t>
  </si>
  <si>
    <t>Hot Pot, Sushi Bars, Asian Fusion, Soup, Restaurants, Japanese, Seafood, Chinese</t>
  </si>
  <si>
    <t>Top Shabu-Shabu &amp; Lounge</t>
  </si>
  <si>
    <t>JnRZbZ7E4VpCh83U56CPMA</t>
  </si>
  <si>
    <t>Food, Restaurants, Salad, Food Trucks</t>
  </si>
  <si>
    <t>Chop Shop Salad Shop</t>
  </si>
  <si>
    <t>zXJilaBN28oUdX7Owf0fRA</t>
  </si>
  <si>
    <t>Sushi Bars, Restaurants, Chinese, Breakfast &amp; Brunch, Japanese</t>
  </si>
  <si>
    <t>Sakura Teppanyaki &amp; Sushi</t>
  </si>
  <si>
    <t>5882 Forbes Ave</t>
  </si>
  <si>
    <t>vpwyL6NHm-pTWJ5IeJb9yw</t>
  </si>
  <si>
    <t>Cocina Mendoza</t>
  </si>
  <si>
    <t>48jrpdXh98gzP5CxPwQyvw</t>
  </si>
  <si>
    <t>Seafood, Restaurants, Italian, Sandwiches</t>
  </si>
  <si>
    <t>Scoglio's Green Tree</t>
  </si>
  <si>
    <t>661 Andersen Dr, Bldg 7</t>
  </si>
  <si>
    <t>Pe_IZOnYLchr8LCVvamyVA</t>
  </si>
  <si>
    <t>Waffles, Restaurants, Breakfast &amp; Brunch</t>
  </si>
  <si>
    <t>Waffles, INCaffeinated</t>
  </si>
  <si>
    <t>456 Fifth Ave</t>
  </si>
  <si>
    <t>qa6aqyXmFsOMLt___P6wLQ</t>
  </si>
  <si>
    <t>Forest Hills Coffee Co</t>
  </si>
  <si>
    <t>2201 Ardmore Blvd</t>
  </si>
  <si>
    <t>djrCgIR7zrSrNfMzIGHdOw</t>
  </si>
  <si>
    <t>Restaurants, Pubs, Shopping, Bars, Tobacco Shops, Nightlife</t>
  </si>
  <si>
    <t>Puffs n Stuff</t>
  </si>
  <si>
    <t>gFyntTks-Qd5CjDU8_2Kog</t>
  </si>
  <si>
    <t>647 Smithfield St</t>
  </si>
  <si>
    <t>JQ6NlXQGXvQZ4P-b5HXd9A</t>
  </si>
  <si>
    <t>Sandwiches, Delis, Restaurants</t>
  </si>
  <si>
    <t>Fredos Deli</t>
  </si>
  <si>
    <t>1451 Potomac Ave</t>
  </si>
  <si>
    <t>qME1CvFxSrhqE6-YGcp3Rw</t>
  </si>
  <si>
    <t>Seafood, Restaurants, American (New), Nightlife, Bars, Mexican</t>
  </si>
  <si>
    <t>1831 E Carson St</t>
  </si>
  <si>
    <t>a9BXaz5Dqzm2qXVYAEbKlg</t>
  </si>
  <si>
    <t>Bars, Pubs, Restaurants, Nightlife</t>
  </si>
  <si>
    <t>Le Brew House</t>
  </si>
  <si>
    <t>gkeGCryFC7z2vlFSDdKH0g</t>
  </si>
  <si>
    <t>Restaurants, Fast Food, Mexican</t>
  </si>
  <si>
    <t>4861 McKnight Rd</t>
  </si>
  <si>
    <t>K6-LBrSl_NopD2llTIKsUQ</t>
  </si>
  <si>
    <t>Liberty Avenue Deli</t>
  </si>
  <si>
    <t>4052 Liberty Ave</t>
  </si>
  <si>
    <t>G-zBjYkBAqNTHWqsvdq8Ew</t>
  </si>
  <si>
    <t>Restaurants, Seafood, Sushi Bars, Tapas/Small Plates</t>
  </si>
  <si>
    <t>Sakari at Monterey Bay</t>
  </si>
  <si>
    <t>sid1Wu5Z4v6yiHacGZdUeQ</t>
  </si>
  <si>
    <t>Pizza, Restaurants, Caterers, Event Planning &amp; Services, Chicken Wings</t>
  </si>
  <si>
    <t>Franks Pizza &amp; Chicken</t>
  </si>
  <si>
    <t>101 Rochester Rd</t>
  </si>
  <si>
    <t>GvBGYrTb6HKMA50TuVQztA</t>
  </si>
  <si>
    <t>Sorrento's Pizza</t>
  </si>
  <si>
    <t>233 Atwood St</t>
  </si>
  <si>
    <t>M5Dc39uXDsFzcAGl_ijDzw</t>
  </si>
  <si>
    <t>American (Traditional), Cocktail Bars, Restaurants, Nightlife, Bars</t>
  </si>
  <si>
    <t>GoodFellas Restaurant &amp; Tavern</t>
  </si>
  <si>
    <t>1915 McCague St</t>
  </si>
  <si>
    <t>0r1Ow0HYAAjU7oM_2ePN6g</t>
  </si>
  <si>
    <t>Restaurants, Tacos, Mexican</t>
  </si>
  <si>
    <t>Bull River Taco</t>
  </si>
  <si>
    <t>1707 Murray Ave</t>
  </si>
  <si>
    <t>OU-Zbl4jPyKNxDI6FI3vUA</t>
  </si>
  <si>
    <t>Irish, Restaurants</t>
  </si>
  <si>
    <t>Sieb's Pub</t>
  </si>
  <si>
    <t>3382 Babcock Blvd</t>
  </si>
  <si>
    <t>KF1ngA96RBiRM5h8V7IQ2g</t>
  </si>
  <si>
    <t>Restaurants, Food, Taiwanese, Ice Cream &amp; Frozen Yogurt, Chinese</t>
  </si>
  <si>
    <t>Cool Ice Taipei Kitchen</t>
  </si>
  <si>
    <t>FLy12rk1O6hpxuYzov9m-A</t>
  </si>
  <si>
    <t>4028 Beechwood Blvd</t>
  </si>
  <si>
    <t>o1fTwfqN0sDFNpV1CkOPPg</t>
  </si>
  <si>
    <t>Coffee &amp; Tea, Sandwiches, Restaurants, Food</t>
  </si>
  <si>
    <t>4032 Butler St</t>
  </si>
  <si>
    <t>IdHIcxCFq84evujUVNcB5w</t>
  </si>
  <si>
    <t>Cafeteria, Restaurants</t>
  </si>
  <si>
    <t>Gateway Center Cafeteria</t>
  </si>
  <si>
    <t>603 Stanwix St</t>
  </si>
  <si>
    <t>f7_AkJ3TJHfxXJdbK4bNAA</t>
  </si>
  <si>
    <t>American (Traditional), Sandwiches, American (New), Breakfast &amp; Brunch, Restaurants</t>
  </si>
  <si>
    <t>C C's Home Made Food</t>
  </si>
  <si>
    <t>PuytdMfre748Xfby1Hx9Wg</t>
  </si>
  <si>
    <t>Sandwiches, Restaurants, Nightlife, Pizza, Bars, Pubs, American (Traditional), Sports Bars</t>
  </si>
  <si>
    <t>Rumerz Sports Bar &amp; Grill</t>
  </si>
  <si>
    <t>1216 Woods Run Ave</t>
  </si>
  <si>
    <t>XY5r7aptxnh-Q-OdVNk1mw</t>
  </si>
  <si>
    <t>Sandwiches, Restaurants, Seafood, Burgers, Pizza</t>
  </si>
  <si>
    <t>Pittsburgh Pizza Fish and Chicken</t>
  </si>
  <si>
    <t>A5Xd85djipsW546Bq6qIYA</t>
  </si>
  <si>
    <t>Sesame Garden</t>
  </si>
  <si>
    <t>202 Shiloh St</t>
  </si>
  <si>
    <t>RyZ3dMJWuFMs2S7zw2C0Zg</t>
  </si>
  <si>
    <t>RvwZqjdkZ_pER0moPXLZAQ</t>
  </si>
  <si>
    <t>Bubble Tea, Cafes, Taiwanese, Restaurants, Chinese, Coffee &amp; Tea, Food</t>
  </si>
  <si>
    <t>7l5t7Iw3qauVoSSrM6jm9g</t>
  </si>
  <si>
    <t>Coffee &amp; Tea, Food, Restaurants, Fast Food, Burgers</t>
  </si>
  <si>
    <t>608 Wood St</t>
  </si>
  <si>
    <t>oPvYovnl06fy5W0e51zjMQ</t>
  </si>
  <si>
    <t>Burgers, Whiskey Bars, Restaurants, Bars, Nightlife, Pizza, American (New)</t>
  </si>
  <si>
    <t>1505 E Carson St</t>
  </si>
  <si>
    <t>uV2HVSRXJMqGsF9Br2VnvQ</t>
  </si>
  <si>
    <t>Restaurants, Cafes, Event Planning &amp; Services, Venues &amp; Event Spaces, Coffee &amp; Tea, Food</t>
  </si>
  <si>
    <t>Constellation Coffee</t>
  </si>
  <si>
    <t>4059 Penn Ave, Fl 1</t>
  </si>
  <si>
    <t>iZ8kxuXQbRS2d_HedRk55g</t>
  </si>
  <si>
    <t>Pubs, Nightlife, Restaurants, Bars, Breakfast &amp; Brunch</t>
  </si>
  <si>
    <t>Rusty Dory Pub</t>
  </si>
  <si>
    <t>850 Ohio River Blvd</t>
  </si>
  <si>
    <t>ts4ZmG1Fde5UfQDDskR5eQ</t>
  </si>
  <si>
    <t>Fast Food, Sandwiches, American (New), Restaurants</t>
  </si>
  <si>
    <t>H_8tda1KzcDk0McgJ8_isw</t>
  </si>
  <si>
    <t>Palomino</t>
  </si>
  <si>
    <t>444 Liberty Ave</t>
  </si>
  <si>
    <t>X2f2s37_cFKo4xpzGFqk1w</t>
  </si>
  <si>
    <t>Seafood, Buffets, Sushi Bars, Japanese, Restaurants</t>
  </si>
  <si>
    <t>Hokkaido Seafood Buffet</t>
  </si>
  <si>
    <t>4612 Browns Hill Rd</t>
  </si>
  <si>
    <t>58oVEzvF6EnOmvVkXYFkTg</t>
  </si>
  <si>
    <t>Thai Place Restaurant</t>
  </si>
  <si>
    <t>anfgvbiobw4M0Wnvx_os3Q</t>
  </si>
  <si>
    <t>Restaurants, Breakfast &amp; Brunch, Burgers, American (Traditional), American (New)</t>
  </si>
  <si>
    <t>IHOP</t>
  </si>
  <si>
    <t>9036 St Simon Way, McCandless Crossing</t>
  </si>
  <si>
    <t>ndq4rJcFLMbMGU_gK5u79Q</t>
  </si>
  <si>
    <t>Chinese, Restaurants, Sushi Bars, Japanese</t>
  </si>
  <si>
    <t>China Wok</t>
  </si>
  <si>
    <t>1202 5th Ave</t>
  </si>
  <si>
    <t>cPYdwElCHVU794t-Cs0ToQ</t>
  </si>
  <si>
    <t>Restaurants, Karaoke, Food, Nightlife, Bars</t>
  </si>
  <si>
    <t>Obey House Tavern</t>
  </si>
  <si>
    <t>1337 Steuben St</t>
  </si>
  <si>
    <t>oPjE2T66w_YgnyjhQdJINA</t>
  </si>
  <si>
    <t>Schenley Park Cafe</t>
  </si>
  <si>
    <t>X4YG1pu1MDVSi07S3i4YCA</t>
  </si>
  <si>
    <t>Restaurants, Chinese, Burmese</t>
  </si>
  <si>
    <t>Zaw's Asian Foods</t>
  </si>
  <si>
    <t>2110 Murray Ave</t>
  </si>
  <si>
    <t>xcmmTXhuMx2fZF2Bt69F4w</t>
  </si>
  <si>
    <t>Belgian, Restaurants, German, French</t>
  </si>
  <si>
    <t>Point Brugge CafÃƒÂ©</t>
  </si>
  <si>
    <t>401 Hastings St</t>
  </si>
  <si>
    <t>sK679EVs3EUgmXR56bqMGw</t>
  </si>
  <si>
    <t>Barbeque, Restaurants, Food, Food Trucks</t>
  </si>
  <si>
    <t>Bad Azz BBQ</t>
  </si>
  <si>
    <t>1000 Becks Run Rd</t>
  </si>
  <si>
    <t>Lfauu60pCWaQ2nuGCgW_eQ</t>
  </si>
  <si>
    <t>Cozumel Mexican Restaurante</t>
  </si>
  <si>
    <t>7zWoldq0uQV73BjoTM3G5w</t>
  </si>
  <si>
    <t>Allegro Hearth Bakery</t>
  </si>
  <si>
    <t>2034 Murray Ave</t>
  </si>
  <si>
    <t>rLZDtOjCPhXZx1ldZKFzJA</t>
  </si>
  <si>
    <t>Coffee &amp; Tea, Cafes, Vegetarian, Breakfast &amp; Brunch, Restaurants, Food</t>
  </si>
  <si>
    <t>Lili Cafe</t>
  </si>
  <si>
    <t>C5zOHpwyA-snVGppkbUpQg</t>
  </si>
  <si>
    <t>Restaurants, American (Traditional), Diners, Breakfast &amp; Brunch</t>
  </si>
  <si>
    <t>Eat'n Park Restaurant</t>
  </si>
  <si>
    <t>5100 Clairton Blvd</t>
  </si>
  <si>
    <t>syJDAay5Huu3QWL51El2cA</t>
  </si>
  <si>
    <t>Ciao! 2</t>
  </si>
  <si>
    <t>289 Settlers Ridge Dr</t>
  </si>
  <si>
    <t>vNQkym5qZ-E-4AJ4IQ5JEg</t>
  </si>
  <si>
    <t>Alla Famiglia</t>
  </si>
  <si>
    <t>804 E Warrington Ave</t>
  </si>
  <si>
    <t>bXCWON2Me0o86qvAb-XZPQ</t>
  </si>
  <si>
    <t>Vegan, Middle Eastern, Bakeries, Coffee &amp; Tea, Breakfast &amp; Brunch, Food, Cafes, Restaurants</t>
  </si>
  <si>
    <t>B52 Cafe</t>
  </si>
  <si>
    <t>5202 Butler St</t>
  </si>
  <si>
    <t>1n-HH6BG913cKQ1tX3wQEg</t>
  </si>
  <si>
    <t>Bayleaf Indian Cusine</t>
  </si>
  <si>
    <t>VPaEJyi2hZJ6Bc2nBlhqEw</t>
  </si>
  <si>
    <t>Food, Restaurants, Delis, Sandwiches, Grocery</t>
  </si>
  <si>
    <t>Food Shoppe</t>
  </si>
  <si>
    <t>5878 Northumberland St</t>
  </si>
  <si>
    <t>QtyvwZi6JiloDNEEH_ZxLQ</t>
  </si>
  <si>
    <t>Restaurants, Imported Food, Ethnic Food, Specialty Food, Mediterranean, Food, Fast Food</t>
  </si>
  <si>
    <t>Bombay Gyro's and Lunch Box</t>
  </si>
  <si>
    <t>212 10th St</t>
  </si>
  <si>
    <t>6LTV9xxwSlrUzFGWx1A8EQ</t>
  </si>
  <si>
    <t>Salonika Gyros</t>
  </si>
  <si>
    <t>133 6th St</t>
  </si>
  <si>
    <t>O4eH0Hlu7lr_uuE2-Ymydw</t>
  </si>
  <si>
    <t>Nightlife, Music Venues, Restaurants, Bars, American (Traditional), Arts &amp; Entertainment</t>
  </si>
  <si>
    <t>The Hop House - Greentree</t>
  </si>
  <si>
    <t>2749 Noblestown Rd</t>
  </si>
  <si>
    <t>qNSZpcyoF7OM6g49sAFUcQ</t>
  </si>
  <si>
    <t>Gastropubs, Nightlife, American (New), Bars, Restaurants</t>
  </si>
  <si>
    <t>Social</t>
  </si>
  <si>
    <t>6425 Penn Ave</t>
  </si>
  <si>
    <t>wjzCw6rBDwnfZVKkM02jXQ</t>
  </si>
  <si>
    <t>Thai, Restaurants, Food, Food Trucks</t>
  </si>
  <si>
    <t>Pad Thai Express</t>
  </si>
  <si>
    <t>4422 Bigelow Blvd</t>
  </si>
  <si>
    <t>zpIybGTZ0RqArG8BOX0ALQ</t>
  </si>
  <si>
    <t>Franco's Restaurant</t>
  </si>
  <si>
    <t>vVz2o24e17PuQtHJOkHPfA</t>
  </si>
  <si>
    <t>Restaurants, Sandwiches, Food Delivery Services, Cafes, Food</t>
  </si>
  <si>
    <t>Brown Bag Deli</t>
  </si>
  <si>
    <t>817 Forbes Ave</t>
  </si>
  <si>
    <t>owO2UkNKk9qrWWd_PTYLDA</t>
  </si>
  <si>
    <t>Area 51 Bbq</t>
  </si>
  <si>
    <t>4871 Clairton Blvd</t>
  </si>
  <si>
    <t>qUqyi82OLmG3VMNMAxf9kw</t>
  </si>
  <si>
    <t>Breakfast &amp; Brunch, Restaurants, Mexican</t>
  </si>
  <si>
    <t>5HjmnWOtBYAYW-jjdZ3aKA</t>
  </si>
  <si>
    <t>Restaurants, Nightlife, Bars, Beer Bar, Italian</t>
  </si>
  <si>
    <t>Gianna Via's Restaurant &amp; Bar</t>
  </si>
  <si>
    <t>5301 Grove Rd Castle Village Shops</t>
  </si>
  <si>
    <t>hnWO0q9Mob9NNPXGeYyi5A</t>
  </si>
  <si>
    <t>Mattiniero</t>
  </si>
  <si>
    <t>220 5th Ave</t>
  </si>
  <si>
    <t>iR6kEMdNRFc9QZUNTQo5Zg</t>
  </si>
  <si>
    <t>Sandwiches, Food, Breakfast &amp; Brunch, Bagels, Restaurants</t>
  </si>
  <si>
    <t>CLSRz9E-HmQRDwV2_smoDA</t>
  </si>
  <si>
    <t>Japanese, Sushi Bars, Steakhouses, Restaurants</t>
  </si>
  <si>
    <t>Ichiban Hibachi Steakhouse</t>
  </si>
  <si>
    <t>983 Freeport Rd</t>
  </si>
  <si>
    <t>-8ILwSisSrTzcyy_Z0o9oA</t>
  </si>
  <si>
    <t>Pizza Cono</t>
  </si>
  <si>
    <t>fVo4uithMrIbNYom48b_fg</t>
  </si>
  <si>
    <t>El Paso Mexican Grill</t>
  </si>
  <si>
    <t>1778 North Highland Rd</t>
  </si>
  <si>
    <t>IdTGHJKP-kDdFkRB509jKg</t>
  </si>
  <si>
    <t>Middle Eastern, Restaurants, Sandwiches, Mediterranean, Lebanese, Salad</t>
  </si>
  <si>
    <t>Shab's Mediterranean Food</t>
  </si>
  <si>
    <t>339 Forbes Ave</t>
  </si>
  <si>
    <t>American (Traditional), Restaurants, Bars, Nightlife</t>
  </si>
  <si>
    <t>Hal's Bar and Grill</t>
  </si>
  <si>
    <t>3225 Babcock Blvd</t>
  </si>
  <si>
    <t>Z9sj68sa1c-v1y4oKoOH5Q</t>
  </si>
  <si>
    <t>Peruvian, Restaurants</t>
  </si>
  <si>
    <t>AJ's Inca Peruvian Restaurant</t>
  </si>
  <si>
    <t>eVyEkAUx0BIFf_c1MVeUhw</t>
  </si>
  <si>
    <t>Little Nipper's Pizza</t>
  </si>
  <si>
    <t>rreIYrzI9U052p7nN_qogA</t>
  </si>
  <si>
    <t>Thai, Poke, Japanese, Food, Restaurants, Sushi Bars</t>
  </si>
  <si>
    <t>Pittsburgh Poke</t>
  </si>
  <si>
    <t>sFNKot2aT67HFOxA9fZwdA</t>
  </si>
  <si>
    <t>Chicken Wings, American (Traditional), Breakfast &amp; Brunch, Nightlife, Restaurants, Bars</t>
  </si>
  <si>
    <t>Lorenz Cafe</t>
  </si>
  <si>
    <t>718 Lorenz Ave</t>
  </si>
  <si>
    <t>HhPVzZYQI-akaXRK_A4dKQ</t>
  </si>
  <si>
    <t>Pizza, Italian, Nightlife, Caterers, Restaurants, Bars, Event Planning &amp; Services</t>
  </si>
  <si>
    <t>Del's Bar and Ristorante DelPizzo</t>
  </si>
  <si>
    <t>Jo-FI_CqvUgnupd1JSoStg</t>
  </si>
  <si>
    <t>Howard's Tavern</t>
  </si>
  <si>
    <t>98 Center Ave</t>
  </si>
  <si>
    <t>OHuo-yqHdtJMAnkNLyp34g</t>
  </si>
  <si>
    <t>5prbSoTRV-rhVzNdcUbNRg</t>
  </si>
  <si>
    <t>Restaurants, Food, Shaved Ice, Sandwiches, Pretzels</t>
  </si>
  <si>
    <t>New York Italian Heroes &amp; Italian Ice</t>
  </si>
  <si>
    <t>4500 Ohio River Blvd</t>
  </si>
  <si>
    <t>rYJfzt9edY5WVA2Gt9x--g</t>
  </si>
  <si>
    <t>Middle Eastern, Vegetarian, Restaurants, Lebanese</t>
  </si>
  <si>
    <t>Bisou</t>
  </si>
  <si>
    <t>O4-yHHUYMYaiOVsgg8ImUw</t>
  </si>
  <si>
    <t>Italian, American (Traditional), Restaurants</t>
  </si>
  <si>
    <t>Calabria's</t>
  </si>
  <si>
    <t>3107 Library Rd</t>
  </si>
  <si>
    <t>0Q0v-eDzWtaySg7cbVi0yg</t>
  </si>
  <si>
    <t>Event Planning &amp; Services, Soup, Restaurants, Cafes, Food, Caterers, Sandwiches, Comfort Food, Bakeries</t>
  </si>
  <si>
    <t>Eadie's Market and Catering</t>
  </si>
  <si>
    <t>1 Bny Mellon Ctr</t>
  </si>
  <si>
    <t>XRgzduso-c2IcF2wndeEHw</t>
  </si>
  <si>
    <t>La Poblanita Taqueria</t>
  </si>
  <si>
    <t>100 Robinson Centre Dr</t>
  </si>
  <si>
    <t>PJ-l-Le8_I4nPomX18M2AQ</t>
  </si>
  <si>
    <t>Gluten-Free, Wine Bars, Italian, Bars, Nightlife, Cocktail Bars, Restaurants</t>
  </si>
  <si>
    <t>211 Summit Park Dr</t>
  </si>
  <si>
    <t>PHnlbOQx9-fsIO6t4UByYA</t>
  </si>
  <si>
    <t>Cafes, Restaurants, Vegan, Organic Stores, American (New), Vegetarian, Gluten-Free, Food</t>
  </si>
  <si>
    <t>Spinach Urban Bistro</t>
  </si>
  <si>
    <t>YcXp3IMt3qgmCH5-oyXuOg</t>
  </si>
  <si>
    <t>Caffe Amante</t>
  </si>
  <si>
    <t>120 5th Ave, Ste 2</t>
  </si>
  <si>
    <t>aOZYec5EnkEMidIQJI0h7w</t>
  </si>
  <si>
    <t>Restaurants, Mexican, New Mexican Cuisine</t>
  </si>
  <si>
    <t>El Paisano Mexican Restaurant</t>
  </si>
  <si>
    <t>CwmLVUtZ6p1O7QYikSU7TQ</t>
  </si>
  <si>
    <t>70 Towne Square Way</t>
  </si>
  <si>
    <t>SqoscicPMzL5mJC5JNaD0w</t>
  </si>
  <si>
    <t>Gluten-Free, American (Traditional), Restaurants, American (New), Tapas Bars, Soul Food, African</t>
  </si>
  <si>
    <t>Chaz &amp; Odette</t>
  </si>
  <si>
    <t>tyniJe6u80Z7QmWlX7Wmaw</t>
  </si>
  <si>
    <t>Food, Coffee &amp; Tea, Fast Food, Cafes, Restaurants, Sandwiches</t>
  </si>
  <si>
    <t>jalA5zHW8ZfY3RSPG7oDxQ</t>
  </si>
  <si>
    <t>Restaurants, Modern European, Mediterranean, French</t>
  </si>
  <si>
    <t>Cafe Du Jour</t>
  </si>
  <si>
    <t>1107 E Carson St</t>
  </si>
  <si>
    <t>Vj7wI_yuB2QhECoriinI7g</t>
  </si>
  <si>
    <t>5 Fools</t>
  </si>
  <si>
    <t>9566 Perry Hwy</t>
  </si>
  <si>
    <t>FdRHqEdH5QIFdWGQ9CcFSw</t>
  </si>
  <si>
    <t>Restaurants, Delis, Food, Bakeries, Grocery, Drugstores, Shopping</t>
  </si>
  <si>
    <t>600 Townesquare Way</t>
  </si>
  <si>
    <t>lTxZFiWEd2NNF4Eh7_mlRg</t>
  </si>
  <si>
    <t>Lebanese, Mediterranean, Greek, Middle Eastern, Restaurants</t>
  </si>
  <si>
    <t>Kassab's</t>
  </si>
  <si>
    <t>1207 E Carson St</t>
  </si>
  <si>
    <t>USninqjSauwQQ2T_FlkIMw</t>
  </si>
  <si>
    <t>Noodles, Sushi Bars, Restaurants, Cocktail Bars, American (New), Asian Fusion, Chinese, Bars, Nightlife</t>
  </si>
  <si>
    <t>M&amp;J Bistro</t>
  </si>
  <si>
    <t>aeomionBr_VTsIg119vtSw</t>
  </si>
  <si>
    <t>Food, Restaurants, Street Vendors, Mediterranean, Delis, Greek, Caterers, Event Planning &amp; Services, American (New)</t>
  </si>
  <si>
    <t>Pastitsio</t>
  </si>
  <si>
    <t>3716 Butler St</t>
  </si>
  <si>
    <t>S16YsO21x0MOHWWhN5HxAw</t>
  </si>
  <si>
    <t>Restaurants, Turkish, Middle Eastern, Mediterranean</t>
  </si>
  <si>
    <t>Daphne Cafe</t>
  </si>
  <si>
    <t>wbVRLmGpJITCxDD20ceHWw</t>
  </si>
  <si>
    <t>Donuts, Coffee &amp; Tea, Food, Restaurants</t>
  </si>
  <si>
    <t>344 Rodi Rd</t>
  </si>
  <si>
    <t>3OmXBXH5pQ0esfccEqZP-A</t>
  </si>
  <si>
    <t>Boardwalk Sandwich Shop</t>
  </si>
  <si>
    <t>3536 Saw Mill Run Blvd</t>
  </si>
  <si>
    <t>yU_z2d0TnLBBFEEYMYhKJA</t>
  </si>
  <si>
    <t>Nightlife, Arcades, Bowling, Restaurants, American (New), Bars, Active Life, Arts &amp; Entertainment</t>
  </si>
  <si>
    <t>Latitude 360</t>
  </si>
  <si>
    <t>kkD0tv_e5E6a8kRpLYEcaA</t>
  </si>
  <si>
    <t>Restaurants, Sushi Bars, Japanese, Korean</t>
  </si>
  <si>
    <t>Oishii Bento</t>
  </si>
  <si>
    <t>119 Oakland Ave</t>
  </si>
  <si>
    <t>v2gPWZrBYvD6m78fu4mnCA</t>
  </si>
  <si>
    <t>Restaurants, Pool Halls, Nightlife, Chicken Wings, Bars</t>
  </si>
  <si>
    <t>Krista's Cantina</t>
  </si>
  <si>
    <t>2650 California Ave</t>
  </si>
  <si>
    <t>mEOVr6mU6RSGqYtLzqf6RQ</t>
  </si>
  <si>
    <t>Greek, Restaurants, Food</t>
  </si>
  <si>
    <t>Lesvos Gyros</t>
  </si>
  <si>
    <t>1502 E Carson St</t>
  </si>
  <si>
    <t>sm5Sl7z9Kx1yXExrdGuZ7g</t>
  </si>
  <si>
    <t>Restaurants, Buffets</t>
  </si>
  <si>
    <t>Cho Buffet</t>
  </si>
  <si>
    <t>6302 Robinson Centre Dr</t>
  </si>
  <si>
    <t>UkzDGNbsXBeSbyqtrX_rYA</t>
  </si>
  <si>
    <t>The Original Pancake House</t>
  </si>
  <si>
    <t>30 McIntyre Square Dr</t>
  </si>
  <si>
    <t>3gkqdLgL1Ca0hy1YRsA2Gw</t>
  </si>
  <si>
    <t>V3 Flatbread Pizza</t>
  </si>
  <si>
    <t>PBmMvDows5HWIqrEVvNfQQ</t>
  </si>
  <si>
    <t>Greek, Mediterranean, Turkish, Restaurants, Middle Eastern, Food Delivery Services, Food</t>
  </si>
  <si>
    <t>Istanbul Sofra</t>
  </si>
  <si>
    <t>-40RDS4F54qiGiEQUsZaXA</t>
  </si>
  <si>
    <t>Joey D's Bar &amp; Grille</t>
  </si>
  <si>
    <t>2801 Freeport Rd</t>
  </si>
  <si>
    <t>og3pzv_PuT9cSYbiYzoB2w</t>
  </si>
  <si>
    <t>Enrico's Ristorante</t>
  </si>
  <si>
    <t>jz4jg_OTw32IMr_sXFwj9Q</t>
  </si>
  <si>
    <t>Monte Cello's</t>
  </si>
  <si>
    <t>2198 Babcock Blvd</t>
  </si>
  <si>
    <t>Bj8SZok_fBDxzHYE4Z_0kA</t>
  </si>
  <si>
    <t>1034 Freeport Rd</t>
  </si>
  <si>
    <t>sA98YP3aHiz9Jw1ZeIzsFQ</t>
  </si>
  <si>
    <t>American (Traditional), Restaurants, Delis</t>
  </si>
  <si>
    <t>Sal's City Deli</t>
  </si>
  <si>
    <t>NgYQvMLzs2lbvQGX4cMWIg</t>
  </si>
  <si>
    <t>American (New), Restaurants, Mexican</t>
  </si>
  <si>
    <t>Yo Rita</t>
  </si>
  <si>
    <t>1120 E Carson St</t>
  </si>
  <si>
    <t>bPgTfiz471yWJmt_rHElkg</t>
  </si>
  <si>
    <t>Toy Stores, Restaurants, Active Life, Amusement Parks, Playgrounds, Shopping, Arts &amp; Entertainment</t>
  </si>
  <si>
    <t>My Little Outback</t>
  </si>
  <si>
    <t>1936 Murray Ave</t>
  </si>
  <si>
    <t>49sbCG7F2jvqJsfG6-N8Rw</t>
  </si>
  <si>
    <t>Spice Affair</t>
  </si>
  <si>
    <t>8 Brilliant Ave</t>
  </si>
  <si>
    <t>s1rOAKJV-cXD6hQJBQep9w</t>
  </si>
  <si>
    <t>Bakeries, Breakfast &amp; Brunch, Desserts, Food, Restaurants</t>
  </si>
  <si>
    <t>CobblerWorld</t>
  </si>
  <si>
    <t>1059 Penn Ave</t>
  </si>
  <si>
    <t>KCxdy3cm7H0jXnDhhPvBYw</t>
  </si>
  <si>
    <t>Indian, Restaurants, Food Trucks, Food Stands, Caterers, Event Planning &amp; Services, Food</t>
  </si>
  <si>
    <t>India on Wheels</t>
  </si>
  <si>
    <t>n_knxbqwchwrpp1cZ8AZSw</t>
  </si>
  <si>
    <t>Soul Food, Barbeque, American (Traditional), Restaurants</t>
  </si>
  <si>
    <t>Showcase BBQ</t>
  </si>
  <si>
    <t>6800 Frankstown Ave</t>
  </si>
  <si>
    <t>dsN2yntj3IGJ46U0x6DvwQ</t>
  </si>
  <si>
    <t>Pool Halls, Active Life, Restaurants, Nightlife</t>
  </si>
  <si>
    <t>Shootz Cafe &amp; Billiards</t>
  </si>
  <si>
    <t>2305 E Carson St</t>
  </si>
  <si>
    <t>aSb4vkaMh7K2lHhnV2UIag</t>
  </si>
  <si>
    <t>Restaurants, Turkish, Halal, Mediterranean</t>
  </si>
  <si>
    <t>Turkish Kebab House</t>
  </si>
  <si>
    <t>rgohunOzrrrgdZcxkQzCgQ</t>
  </si>
  <si>
    <t>Nightlife, Hungarian, Restaurants, Bars</t>
  </si>
  <si>
    <t>Huszar</t>
  </si>
  <si>
    <t>627 E North Ave</t>
  </si>
  <si>
    <t>y90JVPFQ_TWGQaBhHtSm3w</t>
  </si>
  <si>
    <t>4885 McKnight Road</t>
  </si>
  <si>
    <t>YwXqGKiD9axunX1VlJMIsA</t>
  </si>
  <si>
    <t>Restaurants, Diners, Sandwiches, Breakfast &amp; Brunch</t>
  </si>
  <si>
    <t>Bitter Ends Luncheonette</t>
  </si>
  <si>
    <t>2CNCcHA9txth664ALX1wvA</t>
  </si>
  <si>
    <t>Royal Caribbean</t>
  </si>
  <si>
    <t>trpUpkB4lxReIhfr60hlww</t>
  </si>
  <si>
    <t>Restaurants, Burgers, Food, Coffee &amp; Tea, Fast Food</t>
  </si>
  <si>
    <t>801 Allegheny Ave</t>
  </si>
  <si>
    <t>9Rl0amGdwWlqERmscG04wg</t>
  </si>
  <si>
    <t>American (Traditional), Barbeque, Restaurants, Bars, Nightlife</t>
  </si>
  <si>
    <t>Panther House Bar &amp; Grill</t>
  </si>
  <si>
    <t>418 Semple St</t>
  </si>
  <si>
    <t>GaP5KfdlDuNasKgTNR8Saw</t>
  </si>
  <si>
    <t>891 Freeport Rd</t>
  </si>
  <si>
    <t>W5LqZikASAOuLFeFveWpPw</t>
  </si>
  <si>
    <t>418 S Craig St</t>
  </si>
  <si>
    <t>u4h4PzFlerkoVAGV7Pe8uA</t>
  </si>
  <si>
    <t>Luma Restaurant</t>
  </si>
  <si>
    <t>186 Castle Shannon Blvd</t>
  </si>
  <si>
    <t>QxRKQ_Lzu4lMOejwVgcdAg</t>
  </si>
  <si>
    <t>Nightlife, Restaurants, Lounges, American (Traditional), Bars</t>
  </si>
  <si>
    <t>North Park Lounge</t>
  </si>
  <si>
    <t>8701 Babcock Blvd</t>
  </si>
  <si>
    <t>QYt6hKIEkwaBtIaemaZAsQ</t>
  </si>
  <si>
    <t>Desserts, Restaurants, Bakeries, Cafes, Coffee Roasteries, Food, Coffee &amp; Tea</t>
  </si>
  <si>
    <t>299 Beverly Rd</t>
  </si>
  <si>
    <t>IhjrIdQkNgXIobdKg6eFmg</t>
  </si>
  <si>
    <t>American (Traditional), Sandwiches, Restaurants</t>
  </si>
  <si>
    <t>5808 Forbes Ave</t>
  </si>
  <si>
    <t>iofGoeP8tLB7Ny4GNfjxvg</t>
  </si>
  <si>
    <t>The Cozy Cafe</t>
  </si>
  <si>
    <t>400 S Main St</t>
  </si>
  <si>
    <t>gldPX9ANF5Nic0N7igu2og</t>
  </si>
  <si>
    <t>Restaurants, Tacos, Bars, Cocktail Bars, Nightlife, Mexican</t>
  </si>
  <si>
    <t>r1bQO_ChWm3amIfTsRbO-g</t>
  </si>
  <si>
    <t>Restaurants, Bakeries, Food, Cafes</t>
  </si>
  <si>
    <t>0SySGK7xWEHSo4ZLvD1C0A</t>
  </si>
  <si>
    <t>Chicken Shop, Restaurants, Chicken Wings, Fast Food</t>
  </si>
  <si>
    <t>9797 Mcknight Rd</t>
  </si>
  <si>
    <t>xH4EuOcHpOJdbHUoJNfyGg</t>
  </si>
  <si>
    <t>Restaurants, Indian, Food Stands, Food</t>
  </si>
  <si>
    <t>Sree's Indian Truck</t>
  </si>
  <si>
    <t>Margaret Morrison St</t>
  </si>
  <si>
    <t>L5OapgBUzqueHjuBhEQwsw</t>
  </si>
  <si>
    <t>Nightlife, Restaurants, American (Traditional), Food, Beer, Wine &amp; Spirits, Bars, Burgers</t>
  </si>
  <si>
    <t>Stack'd Burgers &amp; Beer - Oakland</t>
  </si>
  <si>
    <t>ZYcBEhCSfbLOUM9JbHB9FA</t>
  </si>
  <si>
    <t>Breakfast &amp; Brunch, Bakeries, Convenience Stores, Delis, Food, Desserts, Restaurants</t>
  </si>
  <si>
    <t>Corner Mercantile</t>
  </si>
  <si>
    <t>472 Wood St</t>
  </si>
  <si>
    <t>xjViuMrrApPM6Rnz8ovOVw</t>
  </si>
  <si>
    <t>Chuck E Cheese's</t>
  </si>
  <si>
    <t>20 McIntyre Square Dr</t>
  </si>
  <si>
    <t>Ch5uSE0lWuXlRGV9bDVyXg</t>
  </si>
  <si>
    <t>Costanzo's</t>
  </si>
  <si>
    <t>100 5th Ave, Ste 200</t>
  </si>
  <si>
    <t>8edTRAKWTzd0B_sfb8ekeQ</t>
  </si>
  <si>
    <t>Vegetarian, Mediterranean, Restaurants, Vegan, Specialty Food, Middle Eastern, Food, Ethnic Food</t>
  </si>
  <si>
    <t>630 Washington Rd</t>
  </si>
  <si>
    <t>7hDLmP8WRdIpb5Bqzv1nwQ</t>
  </si>
  <si>
    <t>American (Traditional), Bars, Restaurants, Nightlife, American (New), Food, Burgers</t>
  </si>
  <si>
    <t>1027 Fifth Ave</t>
  </si>
  <si>
    <t>jrlkSj1TR6HWBaOJ4AzwKw</t>
  </si>
  <si>
    <t>Sushi Bars, Dim Sum, Restaurants, Chinese</t>
  </si>
  <si>
    <t>Pacific Ring</t>
  </si>
  <si>
    <t>j6BfGByroCB585NPUnIHBg</t>
  </si>
  <si>
    <t>Conca D'oro Pizzeria</t>
  </si>
  <si>
    <t>916 Presque Isle Dr</t>
  </si>
  <si>
    <t>Restaurants, American (New), Bars, Sandwiches, Nightlife, Sports Bars</t>
  </si>
  <si>
    <t>830 Clairton Blvd</t>
  </si>
  <si>
    <t>8Jub_J2ILU0xYYnsgcd7UQ</t>
  </si>
  <si>
    <t>Mexican, American (New), Restaurants, Food</t>
  </si>
  <si>
    <t>Silvi's Southside Kitchen</t>
  </si>
  <si>
    <t>lRfteK8D_8pfoFTk4ZuOqw</t>
  </si>
  <si>
    <t>4524 Browns Hill Rd</t>
  </si>
  <si>
    <t>zLzRiXSCYrUEpA2MuvZihw</t>
  </si>
  <si>
    <t>Breakfast &amp; Brunch, American (New), Event Planning &amp; Services, Venues &amp; Event Spaces, Restaurants, Wine Bars, Nightlife, Bars</t>
  </si>
  <si>
    <t>Roost</t>
  </si>
  <si>
    <t>242 Forbes Ave, Second Floor</t>
  </si>
  <si>
    <t>F11rn41dsHTz4vmv-xyzAg</t>
  </si>
  <si>
    <t>Big Mama's House of Soul</t>
  </si>
  <si>
    <t>1603 Penn Ave</t>
  </si>
  <si>
    <t>BoTb3FqOsJaFe_koVfyGbw</t>
  </si>
  <si>
    <t>509 Clairton Blvd</t>
  </si>
  <si>
    <t>IlkzevKMF1hGYEbrd04J5A</t>
  </si>
  <si>
    <t>Nightlife, American (Traditional), Pubs, Restaurants, Bars</t>
  </si>
  <si>
    <t>Silky's Pub</t>
  </si>
  <si>
    <t>5135 Liberty Ave</t>
  </si>
  <si>
    <t>PuMpFTKS6gY_e31UP5YVnw</t>
  </si>
  <si>
    <t>Fifth Avenue Place Food Court</t>
  </si>
  <si>
    <t>Bh6M_VzX9RH1BS8W-uoUwQ</t>
  </si>
  <si>
    <t>Beer Gardens, Nightlife, Bars, Restaurants, Wine Bars</t>
  </si>
  <si>
    <t>Biergarten</t>
  </si>
  <si>
    <t>620 William Penn Pl</t>
  </si>
  <si>
    <t>ndT140pWrEvBnMDb5k4ljg</t>
  </si>
  <si>
    <t>Restaurants, Barbeque, Southern</t>
  </si>
  <si>
    <t>Ribs N Bread</t>
  </si>
  <si>
    <t>4707 Centre Ave</t>
  </si>
  <si>
    <t>eRoOfy-lQso6N3GiUY_c3w</t>
  </si>
  <si>
    <t>Sports Bars, Restaurants, American (Traditional), Pubs, Bars, Nightlife</t>
  </si>
  <si>
    <t>Redbeard's On Sixth</t>
  </si>
  <si>
    <t>2dNjePYVp2AVei4ZoSDaaA</t>
  </si>
  <si>
    <t>Cocktail Bars, Car Dealers, Arts &amp; Entertainment, Bars, Cuban, Real Estate Agents, Real Estate, Home Services, Music Venues, Automotive, Restaurants, Nightlife, American (Traditional)</t>
  </si>
  <si>
    <t>The Goldmark</t>
  </si>
  <si>
    <t>uxRBduJIbkY5FFfJCVVdVQ</t>
  </si>
  <si>
    <t>Vegetarian, Food Trucks, Mexican, Local Flavor, Sandwiches, Food, Vegan, Tacos, Restaurants</t>
  </si>
  <si>
    <t>Cool Beans Taco Truck</t>
  </si>
  <si>
    <t>500 E North Ave</t>
  </si>
  <si>
    <t>4f1zK0LmCcpB-qad0KdlxQ</t>
  </si>
  <si>
    <t>Restaurants, Pizza, Beer, Wine &amp; Spirits, Nightlife, Bars, Food</t>
  </si>
  <si>
    <t>IVP Bar &amp; Grill</t>
  </si>
  <si>
    <t>tmCLmE3yfILnCC1EwhJ8gA</t>
  </si>
  <si>
    <t>Soup, Food, Bagels, Restaurants, Breakfast &amp; Brunch, Coffee &amp; Tea, Salad, Sandwiches</t>
  </si>
  <si>
    <t>136 Bakery Square Boulevard</t>
  </si>
  <si>
    <t>5miOOTlAtDJQtTwuQXgYxw</t>
  </si>
  <si>
    <t>Restaurants, Nightlife, Salad, Bars, American (New), Burgers, Cocktail Bars, American (Traditional), Sandwiches</t>
  </si>
  <si>
    <t>330 N Shore Dr, Bldg 1B</t>
  </si>
  <si>
    <t>oxZmj2rq9U9smW7a6S2nJA</t>
  </si>
  <si>
    <t>Barbeque, Restaurants, Southern</t>
  </si>
  <si>
    <t>Walter's BBQ | Southern Kitchen</t>
  </si>
  <si>
    <t>4501 Butler St</t>
  </si>
  <si>
    <t>jCf84-Amxm91rbNAOJtAcg</t>
  </si>
  <si>
    <t>5886 Forbes Ave</t>
  </si>
  <si>
    <t>lo-GEcfXVGrDSDLtR5gI5w</t>
  </si>
  <si>
    <t>Sandwiches, Burgers, Restaurants, Pizza</t>
  </si>
  <si>
    <t>Veltre's Pizza</t>
  </si>
  <si>
    <t>1268 Brinton Rd</t>
  </si>
  <si>
    <t>Z2NIEKTVVP2nEmOF4jNxqQ</t>
  </si>
  <si>
    <t>Restaurants, Sandwiches, Food, Ice Cream &amp; Frozen Yogurt</t>
  </si>
  <si>
    <t>Millie's Homemade Ice Cream</t>
  </si>
  <si>
    <t>232 S Highland Ave</t>
  </si>
  <si>
    <t>G0tUd_gFsRMGY3HXQQ3FJQ</t>
  </si>
  <si>
    <t>Sandwiches, Pizza, Italian, Restaurants</t>
  </si>
  <si>
    <t>902 Brookline Blvd</t>
  </si>
  <si>
    <t>gXpGMGBAv1lfQEcPOzahag</t>
  </si>
  <si>
    <t>Madonna's Mediterranean Cuisine</t>
  </si>
  <si>
    <t>408 Smithfield St</t>
  </si>
  <si>
    <t>vXhlnFw9k5ch1GVFOlddgQ</t>
  </si>
  <si>
    <t>Pizza, Asian Fusion, Sushi Bars, Japanese, Desserts, Thai, Food, Restaurants</t>
  </si>
  <si>
    <t>Umai</t>
  </si>
  <si>
    <t>pdn3iFRubS5SzkFL8J-32w</t>
  </si>
  <si>
    <t>Restaurants, Indian, Pakistani</t>
  </si>
  <si>
    <t>Kabab N Curry</t>
  </si>
  <si>
    <t>2890 Banksville Rd</t>
  </si>
  <si>
    <t>SOxdLaL1Hni_lZ5Ph6Bdtg</t>
  </si>
  <si>
    <t>Linguini's Italian Grill</t>
  </si>
  <si>
    <t>77 Clairton Blvd</t>
  </si>
  <si>
    <t>ddgdt0ab4xY6iIqI5eX8Zw</t>
  </si>
  <si>
    <t>564 Forbes Ave</t>
  </si>
  <si>
    <t>CVfiajCyFamUrvN0eKE_XA</t>
  </si>
  <si>
    <t>Restaurants, French</t>
  </si>
  <si>
    <t>Bertrand</t>
  </si>
  <si>
    <t>Mediterranean, Turkish, Restaurants, Modern European</t>
  </si>
  <si>
    <t>KlmsNi7qiQgC6yznyA0M0g</t>
  </si>
  <si>
    <t>Soup, Restaurants, Sandwiches, Cafes, Salad</t>
  </si>
  <si>
    <t>rtj550X5w4tDWcTE8oAgew</t>
  </si>
  <si>
    <t>Restaurants, Ice Cream &amp; Frozen Yogurt, Pizza, Food</t>
  </si>
  <si>
    <t>Bishop's Pizza</t>
  </si>
  <si>
    <t>2104 Brownsville Rd</t>
  </si>
  <si>
    <t>i-2OzvZUDtvKCMq1vcRSZg</t>
  </si>
  <si>
    <t>Sandwiches, Bars, Nightlife, Restaurants</t>
  </si>
  <si>
    <t>Triangle Bar &amp; Grill</t>
  </si>
  <si>
    <t>2122 Monongahela Ave</t>
  </si>
  <si>
    <t>5kA4hmzNNWGGrwvoiGnIrg</t>
  </si>
  <si>
    <t>Restaurants, Food, Desserts, Latin American, Coffee &amp; Tea, Sandwiches</t>
  </si>
  <si>
    <t>Tango Cafe</t>
  </si>
  <si>
    <t>5806 Forward Ave</t>
  </si>
  <si>
    <t>LLGGe9k7NTVy1Z2wH1_Uew</t>
  </si>
  <si>
    <t>Tong's Cuisine</t>
  </si>
  <si>
    <t>228 Semple St</t>
  </si>
  <si>
    <t>7LlND5b0bjWylNBNQ-oZMA</t>
  </si>
  <si>
    <t>Green Garden</t>
  </si>
  <si>
    <t>0tsl6aGhI-4nJgeVRfC3HQ</t>
  </si>
  <si>
    <t>Restaurants, Sandwiches, Hot Dogs, Fast Food</t>
  </si>
  <si>
    <t>Mr. Beaners Drive-Thru Weiners</t>
  </si>
  <si>
    <t>6520 Saltsburg Rd</t>
  </si>
  <si>
    <t>93otbGHE0s0m-lU1osvg9w</t>
  </si>
  <si>
    <t>Bars, Restaurants, Pubs, Nightlife, American (New)</t>
  </si>
  <si>
    <t>Rivertowne</t>
  </si>
  <si>
    <t>337 N Shore Dr</t>
  </si>
  <si>
    <t>LgvarcLVy6h7WiPKMRzz3Q</t>
  </si>
  <si>
    <t>Food, Restaurants, Gluten-Free, Pizza</t>
  </si>
  <si>
    <t>Giovanni's Pizza &amp; Pasta</t>
  </si>
  <si>
    <t>3047 W Liberty Ave</t>
  </si>
  <si>
    <t>Mh7C6p0KsuZLCB0vjrPgbQ</t>
  </si>
  <si>
    <t>Pubs, Beer Bar, Bars, Sports Bars, Restaurants, Sandwiches, Nightlife</t>
  </si>
  <si>
    <t>The Modern Cafe</t>
  </si>
  <si>
    <t>862 Western Ave</t>
  </si>
  <si>
    <t>DkLkQTDISbGdEZXlVBdLmA</t>
  </si>
  <si>
    <t>Delis, Food Delivery Services, Food, Sandwiches, Fast Food, Restaurants, Salad</t>
  </si>
  <si>
    <t>dUpQASSr7YfrfW1sB9Y-UA</t>
  </si>
  <si>
    <t>Nightlife, Karaoke, Bars, Gay Bars, Restaurants</t>
  </si>
  <si>
    <t>There Ultra Lounge</t>
  </si>
  <si>
    <t>931 Liberty Ave</t>
  </si>
  <si>
    <t>ia2QAAxIyjpyr99926QrFQ</t>
  </si>
  <si>
    <t>Seafood, Restaurants, Soul Food</t>
  </si>
  <si>
    <t>Soul &amp; Sea</t>
  </si>
  <si>
    <t>10718 Frankstown Rd</t>
  </si>
  <si>
    <t>MiqI3DMf48AJQbfoG6fTRA</t>
  </si>
  <si>
    <t>Event Planning &amp; Services, Mexican, Food, Fast Food, Restaurants, Caterers</t>
  </si>
  <si>
    <t>1740 Settlers Ridge Center Dr</t>
  </si>
  <si>
    <t>J0UG_QARO4bwYlxfosP2aw</t>
  </si>
  <si>
    <t>3336 Babcock Blvd</t>
  </si>
  <si>
    <t>_AKdBFzkl7GY-daxUCCbVA</t>
  </si>
  <si>
    <t>Asian Fusion, Restaurants, Chinese, Gluten-Free</t>
  </si>
  <si>
    <t>P.F. Chang's</t>
  </si>
  <si>
    <t>1600 Settlers Ridge Center Dr</t>
  </si>
  <si>
    <t>PqBZ88vOqctCc0fRm2sXQg</t>
  </si>
  <si>
    <t>American (Traditional), Italian, American (New), Restaurants</t>
  </si>
  <si>
    <t>17th Street Cafe</t>
  </si>
  <si>
    <t>kolFb44M7k9c0-tZL2D_Cg</t>
  </si>
  <si>
    <t>Sunseri Pizza</t>
  </si>
  <si>
    <t>2805 Custer Ave</t>
  </si>
  <si>
    <t>_FH3osvpPRnMv-K2u6ZM3w</t>
  </si>
  <si>
    <t>Sandwiches, Restaurants, Burgers, American (Traditional)</t>
  </si>
  <si>
    <t>927 Western Ave</t>
  </si>
  <si>
    <t>QcxB4grIr-bLSqqydTV6Ag</t>
  </si>
  <si>
    <t>American (Traditional), Grocery, Restaurants, Diners, Breakfast &amp; Brunch, Food</t>
  </si>
  <si>
    <t>Millvale Diner</t>
  </si>
  <si>
    <t>301 N Ave</t>
  </si>
  <si>
    <t>b6WRBVDieqwei4wC1rOsnA</t>
  </si>
  <si>
    <t>Hot Dogs, Sandwiches, Restaurants</t>
  </si>
  <si>
    <t>Wiener World</t>
  </si>
  <si>
    <t>626 Smithfield St</t>
  </si>
  <si>
    <t>EkrQy-HGatKn-2PTssaJ9g</t>
  </si>
  <si>
    <t>Diners, Food, Coffee &amp; Tea, Restaurants</t>
  </si>
  <si>
    <t>No Name Coffee Shop</t>
  </si>
  <si>
    <t>536 Brookline Blvd</t>
  </si>
  <si>
    <t>N9n4bj5nnuvVgt8iyT5YVg</t>
  </si>
  <si>
    <t>Sandwiches, Salad, Restaurants, Greek</t>
  </si>
  <si>
    <t>Zorba's Gyros</t>
  </si>
  <si>
    <t>400 Smithfield St</t>
  </si>
  <si>
    <t>YLnrLMUGa6PJZFaOs8etEQ</t>
  </si>
  <si>
    <t>F. Tambellini Ristorante</t>
  </si>
  <si>
    <t>139 7th St</t>
  </si>
  <si>
    <t>6OLwyulRuqgghzYBa2TabQ</t>
  </si>
  <si>
    <t>Bars, Restaurants, American (New), Nightlife</t>
  </si>
  <si>
    <t>Stone Pepper's Grill Bar</t>
  </si>
  <si>
    <t>7bSE9GOvftLyvwvyz9XJoA</t>
  </si>
  <si>
    <t>Restaurants, American (Traditional), Steakhouses, Nightlife, Sports Bars, Burgers, Bars</t>
  </si>
  <si>
    <t>2045 Lebanon Church Rd</t>
  </si>
  <si>
    <t>8nLxiZc7vr_GI6GcFhWc0g</t>
  </si>
  <si>
    <t>Sports Bars, Restaurants, Barbeque, Bars, Nightlife</t>
  </si>
  <si>
    <t>Buffalo Blues</t>
  </si>
  <si>
    <t>t7zt6AgybRzdPtj7fh_aJg</t>
  </si>
  <si>
    <t>Smoq Pitt</t>
  </si>
  <si>
    <t>oia3V-RDZepljWUGCRVdaw</t>
  </si>
  <si>
    <t>3220 Library Rd</t>
  </si>
  <si>
    <t>F2Sz8PJ5j1JSwFNsB4bb3w</t>
  </si>
  <si>
    <t>Indian Spices</t>
  </si>
  <si>
    <t>129 6th St</t>
  </si>
  <si>
    <t>48nQpsNiVcnTR0nXxsg7yA</t>
  </si>
  <si>
    <t>Caterers, Restaurants, Diners, Breakfast &amp; Brunch, Food, Coffee &amp; Tea, Event Planning &amp; Services</t>
  </si>
  <si>
    <t>Trolley Barn Eatery</t>
  </si>
  <si>
    <t>3360 Library Rd, Ste 4</t>
  </si>
  <si>
    <t>HzOYnyPrh24YONMUecuzlg</t>
  </si>
  <si>
    <t>Restaurants, Fast Food, Delis, Specialty Food, Sandwiches, Food Delivery Services, Food</t>
  </si>
  <si>
    <t>506 Liberty Ave</t>
  </si>
  <si>
    <t>dAcaMSkrpYUZocqrLvOzRQ</t>
  </si>
  <si>
    <t>Los Cabos Mexican Restaurant</t>
  </si>
  <si>
    <t>4108-10 Penn Ave</t>
  </si>
  <si>
    <t>NSBiCz9CRowb6uwpC3vZrQ</t>
  </si>
  <si>
    <t>American (Traditional), Hotels &amp; Travel, Hotels, Event Planning &amp; Services, Wedding Planning, Restaurants</t>
  </si>
  <si>
    <t>Hyatt Regency Pittsburgh International Airport</t>
  </si>
  <si>
    <t>U-2-_MrmHPawNcGRYRoDqw</t>
  </si>
  <si>
    <t>Nightlife, Restaurants, Bars, Italian, Sports Bars</t>
  </si>
  <si>
    <t>Champ's Sports Grill &amp; Lounge</t>
  </si>
  <si>
    <t>540 Rodi Rd</t>
  </si>
  <si>
    <t>tFlQiwIH0MyYeajld8BheQ</t>
  </si>
  <si>
    <t>Steel Cactus Bethel Park</t>
  </si>
  <si>
    <t>1000 Cool Springs Dr</t>
  </si>
  <si>
    <t>Rwahe1zbFpw6VIjb5ngZeg</t>
  </si>
  <si>
    <t>American (New), Desserts, Restaurants, Modern European, Caterers, Event Planning &amp; Services, Food</t>
  </si>
  <si>
    <t>Sausalido</t>
  </si>
  <si>
    <t>4621 Liberty Ave</t>
  </si>
  <si>
    <t>TY_kMmCM_3JSs14NFUvO_g</t>
  </si>
  <si>
    <t>Korean, Barbeque, Restaurants, American (New)</t>
  </si>
  <si>
    <t>Nak Won Garden</t>
  </si>
  <si>
    <t>5504 Centre Ave</t>
  </si>
  <si>
    <t>ZHYSz-c2GEbCfQmxTIZ7gg</t>
  </si>
  <si>
    <t>Gastropubs, Restaurants</t>
  </si>
  <si>
    <t>Stout Pub &amp; Kitchen</t>
  </si>
  <si>
    <t>CFBDAdWVxOhFFRTa5Fp30Q</t>
  </si>
  <si>
    <t>Restaurants, Pizza, Food, Italian</t>
  </si>
  <si>
    <t>The Diamond Pizza</t>
  </si>
  <si>
    <t>101 Federal St</t>
  </si>
  <si>
    <t>BtcxknU-6axQwOhXvv9xkQ</t>
  </si>
  <si>
    <t>Nightlife, Bars, Pubs, Restaurants</t>
  </si>
  <si>
    <t>The Park House</t>
  </si>
  <si>
    <t>403 E Ohio St</t>
  </si>
  <si>
    <t>7ndalFukYiEalNeN4eL9vQ</t>
  </si>
  <si>
    <t>Barbeque, Restaurants, Steakhouses</t>
  </si>
  <si>
    <t>q1XzmZ2afZQ8S7Ka34-xyQ</t>
  </si>
  <si>
    <t>Bars, Nightlife, Pubs, Restaurants, American (Traditional), Food</t>
  </si>
  <si>
    <t>The Warehouse Pub &amp; Grub</t>
  </si>
  <si>
    <t>qNRyP8ItRICZOnKS4jf5ig</t>
  </si>
  <si>
    <t>Restaurants, Coffee &amp; Tea, Food, Bagels</t>
  </si>
  <si>
    <t>The Bagel Factory</t>
  </si>
  <si>
    <t>uBroDHaLcXSE24c8EhPvmw</t>
  </si>
  <si>
    <t>American (New), Restaurants, Bars, Diners, Nightlife</t>
  </si>
  <si>
    <t>Eighty Acres Kitchen &amp; Bar</t>
  </si>
  <si>
    <t>1910 New Texas Rd</t>
  </si>
  <si>
    <t>esF6vzW_Owwxj3s5I6nlvg</t>
  </si>
  <si>
    <t>Di Salla's Pizza Parlor</t>
  </si>
  <si>
    <t>948 E 8th Ave</t>
  </si>
  <si>
    <t>u0F9WJbECpg5fEesAx94xA</t>
  </si>
  <si>
    <t>Food, Juice Bars &amp; Smoothies, Restaurants, Latin American, Empanadas, Colombian</t>
  </si>
  <si>
    <t>The Colombian Spot</t>
  </si>
  <si>
    <t>XMJpOti7qAamQFfHJwFBSQ</t>
  </si>
  <si>
    <t>Bars, American (New), Dive Bars, Nightlife, Restaurants</t>
  </si>
  <si>
    <t>Remedy Restaurant and Lounge</t>
  </si>
  <si>
    <t>5121 Butler St</t>
  </si>
  <si>
    <t>rXULENMtBohv3485zqG0XA</t>
  </si>
  <si>
    <t>Pizza, Salad, Restaurants, Sandwiches</t>
  </si>
  <si>
    <t>Crust! Cafe and Pizzeria</t>
  </si>
  <si>
    <t>509 Painters Run Rd</t>
  </si>
  <si>
    <t>FcXGZFrVPaKfe3wJZibfCw</t>
  </si>
  <si>
    <t>Caffe Davio</t>
  </si>
  <si>
    <t>uUAWbVSARYcuS34rOT-X7A</t>
  </si>
  <si>
    <t>Diners, Restaurants, Middle Eastern</t>
  </si>
  <si>
    <t>Naya Cuisine</t>
  </si>
  <si>
    <t>rLNIlmJ71srkLoMFfGMvyQ</t>
  </si>
  <si>
    <t>Wedding Planning, Cafes, Specialty Food, Bakeries, Chocolatiers &amp; Shops, Food, Restaurants, Local Flavor, Event Planning &amp; Services, Cupcakes</t>
  </si>
  <si>
    <t>Le Petit Chocolat &amp; Cafe</t>
  </si>
  <si>
    <t>2004 E Carson St</t>
  </si>
  <si>
    <t>yIMZ8XeGJePfYWr7BBNzww</t>
  </si>
  <si>
    <t>Maldini's Taste of Italy</t>
  </si>
  <si>
    <t>1900 Monongahela Ave</t>
  </si>
  <si>
    <t>815I4_qtNd9Whd5joLZhAQ</t>
  </si>
  <si>
    <t>Salad, Restaurants, Burgers, Pizza</t>
  </si>
  <si>
    <t>Gino's Pizza</t>
  </si>
  <si>
    <t>1610 E Carson St</t>
  </si>
  <si>
    <t>gndb2XMDHYI5OEDvwEKwaQ</t>
  </si>
  <si>
    <t>Pizza, Restaurants, Chicken Wings, Sandwiches</t>
  </si>
  <si>
    <t>11822 Frankstown Rd</t>
  </si>
  <si>
    <t>Uh6EhbFKgQlhVpfvnqsfHA</t>
  </si>
  <si>
    <t>Caterers, Restaurants, Event Planning &amp; Services, Food, Bakeries</t>
  </si>
  <si>
    <t>BreadWorks</t>
  </si>
  <si>
    <t>2110 Brighton Rd</t>
  </si>
  <si>
    <t>MEyguHG-U-Fy1qkK_Yf_FQ</t>
  </si>
  <si>
    <t>Polish, Salad, Restaurants</t>
  </si>
  <si>
    <t>Stuff'd Pierogi Bar</t>
  </si>
  <si>
    <t>_Oe8NDjmeYkkHFs7f8CekA</t>
  </si>
  <si>
    <t>Indian, Restaurants, Food, Food Trucks</t>
  </si>
  <si>
    <t>Chakh Le India</t>
  </si>
  <si>
    <t>4341-4379 Bigelow Blvd</t>
  </si>
  <si>
    <t>SLlQSsSHukMz4-3-eaOgUA</t>
  </si>
  <si>
    <t>Event Planning &amp; Services, Fast Food, Caterers, Restaurants</t>
  </si>
  <si>
    <t>3990 5th Ave, University of Pittsburgh Tower, University Of Pittsburgh Tower</t>
  </si>
  <si>
    <t>MqBn0tb5rELHo6d9-8l-eA</t>
  </si>
  <si>
    <t>Frederick's Soul Food</t>
  </si>
  <si>
    <t>mc5Ha4QyQZvU7fzr-ubhhw</t>
  </si>
  <si>
    <t>Restaurants, Bars, Nightlife, American (New), Cocktail Bars, Gastropubs</t>
  </si>
  <si>
    <t>Station</t>
  </si>
  <si>
    <t>bZpVmhdKkNCDpdRO-bFMfw</t>
  </si>
  <si>
    <t>Coffee &amp; Tea, Bagels, Sandwiches, Food, Restaurants</t>
  </si>
  <si>
    <t>4910 Baum Blvd</t>
  </si>
  <si>
    <t>AspFf1d9sRaUloPJAHMqAg</t>
  </si>
  <si>
    <t>Sushi Bars, Korean, Restaurants</t>
  </si>
  <si>
    <t>Sushi Kim Restaurant</t>
  </si>
  <si>
    <t>1241 Penn Ave</t>
  </si>
  <si>
    <t>evakMk_jHxl2vQ5gvI43aA</t>
  </si>
  <si>
    <t>Pizza, Sandwiches, Cafes, Restaurants, American (Traditional)</t>
  </si>
  <si>
    <t>Skibo Cafe</t>
  </si>
  <si>
    <t>5000 Forbes Ave, 2nd Fl</t>
  </si>
  <si>
    <t>2p_xWNAGm_5sVvr_Vs6mlw</t>
  </si>
  <si>
    <t>Trapuzzano Italian Chophouse</t>
  </si>
  <si>
    <t>v2LLg08clPWKyNQFBVlZXg</t>
  </si>
  <si>
    <t>American (New), Salad, Restaurants</t>
  </si>
  <si>
    <t>Toss't</t>
  </si>
  <si>
    <t>218 5th Ave</t>
  </si>
  <si>
    <t>MdR6htOIm-LF051qUCKmGg</t>
  </si>
  <si>
    <t>Pittsburgh Chop House</t>
  </si>
  <si>
    <t>5305 Campbells Run Rd</t>
  </si>
  <si>
    <t>Es0JayHVN_XPn1q5yFtn6g</t>
  </si>
  <si>
    <t>Pittsburgh Rare</t>
  </si>
  <si>
    <t>300 W Station Sq Dr</t>
  </si>
  <si>
    <t>b8ublvizuqIw3Ib8pK4fDw</t>
  </si>
  <si>
    <t>Verde Mexican Kitchen &amp; Cantina</t>
  </si>
  <si>
    <t>7l-CCyNnvT86GMR5EtYjog</t>
  </si>
  <si>
    <t>Bars, American (Traditional), Nightlife, Restaurants, Gastropubs, Pubs</t>
  </si>
  <si>
    <t>Shiloh Grill</t>
  </si>
  <si>
    <t>123 Shiloh St</t>
  </si>
  <si>
    <t>LRHlcXcNERVsekrngMLphA</t>
  </si>
  <si>
    <t>Pittzarella</t>
  </si>
  <si>
    <t>1302 E Carson St</t>
  </si>
  <si>
    <t>Ac-DbrST8bF9Cpge5D9_Cg</t>
  </si>
  <si>
    <t>Pho Kim 88</t>
  </si>
  <si>
    <t>4100 Library Rd</t>
  </si>
  <si>
    <t>YuEkAjS57Jv8C_NCMCLDUw</t>
  </si>
  <si>
    <t>Ajs burger Peruvian restaurant</t>
  </si>
  <si>
    <t>110 Smithfield St 2nd</t>
  </si>
  <si>
    <t>1ofeAP5vdjnOSeO5S2pzSg</t>
  </si>
  <si>
    <t>Chinese, Restaurants, Fast Food</t>
  </si>
  <si>
    <t>202 Robinson Center Dr</t>
  </si>
  <si>
    <t>cdwJYqlp_NjS1w5Tz4J5dw</t>
  </si>
  <si>
    <t>Cafes, Shopping, Fashion, Restaurants, Tattoo, Food, Beauty &amp; Spas, Coffee &amp; Tea, Arts &amp; Entertainment, Art Galleries, Piercing</t>
  </si>
  <si>
    <t>Artisan</t>
  </si>
  <si>
    <t>5001 Penn Ave</t>
  </si>
  <si>
    <t>8mx_TpMhpFLdQi_K5aPdOg</t>
  </si>
  <si>
    <t>Bagels, Sandwiches, Restaurants, Breakfast &amp; Brunch, Food</t>
  </si>
  <si>
    <t>26 Market St</t>
  </si>
  <si>
    <t>blq-6xx8vKcm1Va4LFSORg</t>
  </si>
  <si>
    <t>Mediterranean, American (New), Desserts, Food, Restaurants</t>
  </si>
  <si>
    <t>Wild Rosemary</t>
  </si>
  <si>
    <t>1469 Bower Hill Rd</t>
  </si>
  <si>
    <t>o5rtJcyJ6xje1PFj_rhRTA</t>
  </si>
  <si>
    <t>Golden Palace Chinese Restaurant</t>
  </si>
  <si>
    <t>206 Shiloh St</t>
  </si>
  <si>
    <t>8L8QlR4XJeAblTKCqoDP0A</t>
  </si>
  <si>
    <t>Food Trucks, Tacos, Mexican, Restaurants, Food</t>
  </si>
  <si>
    <t>4849 Clairton Blvd</t>
  </si>
  <si>
    <t>8DFecBZD_b4CAVhFLBp9hw</t>
  </si>
  <si>
    <t>Restaurants, Food Trucks, Sandwiches, Food</t>
  </si>
  <si>
    <t>The Rolling Kitchen</t>
  </si>
  <si>
    <t>QcFZRiYVLFGTJhjJzPIJGA</t>
  </si>
  <si>
    <t>5301 Grove Rd, Ste 619</t>
  </si>
  <si>
    <t>7svK0DI4BOP0cqjSww7cZQ</t>
  </si>
  <si>
    <t>Burgers, Fast Food, Food, Coffee &amp; Tea, Restaurants</t>
  </si>
  <si>
    <t>7702 Mc Knight Rd</t>
  </si>
  <si>
    <t>T0dN9-NfwF_YD2fSQRu9AQ</t>
  </si>
  <si>
    <t>Mexican, American (Traditional), Dive Bars, Bars, Nightlife, Cafes, Restaurants</t>
  </si>
  <si>
    <t>Gus' Cafe</t>
  </si>
  <si>
    <t>4717 Butler St</t>
  </si>
  <si>
    <t>cvELVLQ4jbS5Qqbm79IxVA</t>
  </si>
  <si>
    <t>Taal Indian Cuisine</t>
  </si>
  <si>
    <t>_9DqfW3Nv8Brb-1fz5XyOQ</t>
  </si>
  <si>
    <t>Mediterranean, Restaurants, Greek</t>
  </si>
  <si>
    <t>Kebab Factory</t>
  </si>
  <si>
    <t>wmCBxE0PfLZD8sxIwAY59Q</t>
  </si>
  <si>
    <t>Food, Bars, Pubs, German, Restaurants, Breweries, French, Nightlife</t>
  </si>
  <si>
    <t>Hofbrauhaus Pittsburgh</t>
  </si>
  <si>
    <t>2705 S Water St</t>
  </si>
  <si>
    <t>VBhPgceaKWOXT71d3Jp38w</t>
  </si>
  <si>
    <t>Chinese, Korean, Japanese, Restaurants, Asian Fusion</t>
  </si>
  <si>
    <t>Soba</t>
  </si>
  <si>
    <t>5847 Ellsworth Ave</t>
  </si>
  <si>
    <t>T4648Rp4gRKqKHVzQgQ3fA</t>
  </si>
  <si>
    <t>Japanese, Restaurants, Korean</t>
  </si>
  <si>
    <t>Ginza Korean &amp; Japanese Restaurant</t>
  </si>
  <si>
    <t>04kZ5CSh6oKhI5huU5bLdg</t>
  </si>
  <si>
    <t>Belgian, Nightlife, Desserts, American (New), Pubs, Bars, Food, Beer Bar, Restaurants</t>
  </si>
  <si>
    <t>Bistro Penn</t>
  </si>
  <si>
    <t>922 Penn Ave</t>
  </si>
  <si>
    <t>74O-ZufCco3hBcMQc3Vf8Q</t>
  </si>
  <si>
    <t>Noodles, Restaurants, Chinese</t>
  </si>
  <si>
    <t>iNoodle</t>
  </si>
  <si>
    <t>g4MOiCPPNBSuTm3BrYRtbg</t>
  </si>
  <si>
    <t>Hot Dogs, Restaurants, Street Vendors, Food</t>
  </si>
  <si>
    <t>The Shady Dog</t>
  </si>
  <si>
    <t>Corner Of Baum And Libert</t>
  </si>
  <si>
    <t>uXjc2pnnhHXL-gXYYP0nWg</t>
  </si>
  <si>
    <t>Jose' Ole' Mexican Grill</t>
  </si>
  <si>
    <t>6535 Robinson Ctr Dr</t>
  </si>
  <si>
    <t>sReFrTIJ92iDprWD8dKAuw</t>
  </si>
  <si>
    <t>Phong May House</t>
  </si>
  <si>
    <t>2351 Noblestown Rd</t>
  </si>
  <si>
    <t>hUHIahAcew5i39D_6ZqEmQ</t>
  </si>
  <si>
    <t>Steakhouses, Italian, Seafood, Restaurants</t>
  </si>
  <si>
    <t>Donatos Fox Chapel</t>
  </si>
  <si>
    <t>46 Fox Chapel Rd</t>
  </si>
  <si>
    <t>8B7A5KqrrbxOlCX66hqfOg</t>
  </si>
  <si>
    <t>Restaurants, Steakhouses, American (Traditional), Seafood</t>
  </si>
  <si>
    <t>McCormick &amp; Schmick's Seafood &amp; Steaks</t>
  </si>
  <si>
    <t>plHKBwA18aWeP-TG8DC96Q</t>
  </si>
  <si>
    <t>Restaurants, Barbeque, Burgers, Mexican, Tacos</t>
  </si>
  <si>
    <t>Smoke BBQ Taqueria</t>
  </si>
  <si>
    <t>4115 Butler St</t>
  </si>
  <si>
    <t>tpJrlhn5QPI0ehDyYjN7qg</t>
  </si>
  <si>
    <t>Food, Caterers, Delis, Event Planning &amp; Services, Restaurants, Specialty Food</t>
  </si>
  <si>
    <t>vWYK4XApgyT7mbtmNqIxxg</t>
  </si>
  <si>
    <t>Restaurants, Caribbean, Mexican</t>
  </si>
  <si>
    <t>cWsgD-u_TvTohsx6LSi9aQ</t>
  </si>
  <si>
    <t>Villa Reale Pizzeria &amp; Restaurant</t>
  </si>
  <si>
    <t>628 Smithfield St</t>
  </si>
  <si>
    <t>aTysOdHgV9ghIR48l0nyOA</t>
  </si>
  <si>
    <t>1928 Cochran Rd</t>
  </si>
  <si>
    <t>Wj-73Uu3U79CGK_H_kyAsg</t>
  </si>
  <si>
    <t>Restaurants, Burgers, American (Traditional), Breakfast &amp; Brunch, Steakhouses, Chicken Wings</t>
  </si>
  <si>
    <t>1000 Airport Blvd, concourse A</t>
  </si>
  <si>
    <t>Iko1Ic3XzHJb8UoZmpfmOw</t>
  </si>
  <si>
    <t>Restaurants, Coffee &amp; Tea, Sandwiches, Food</t>
  </si>
  <si>
    <t>Cannon Coffee</t>
  </si>
  <si>
    <t>VaQhUU3P4Z5A3oYPsEMbkw</t>
  </si>
  <si>
    <t>Coffee &amp; Tea, Cafes, Restaurants, Food, Delis</t>
  </si>
  <si>
    <t>Tazza D'oro</t>
  </si>
  <si>
    <t>1125 N Highland Ave</t>
  </si>
  <si>
    <t>kxAQGy2ZpguB7zn8Nqgb_g</t>
  </si>
  <si>
    <t>Chinese, Food Trucks, Food, Food Stands, Restaurants</t>
  </si>
  <si>
    <t>Moonlight Truck Food</t>
  </si>
  <si>
    <t>_d69ooWJ_7AXYQRvVNSjmQ</t>
  </si>
  <si>
    <t>Restaurants, Chicken Wings, Italian, Pizza</t>
  </si>
  <si>
    <t>7520 McKnight Rd</t>
  </si>
  <si>
    <t>BFYVjjBOWkIttKdSk6P6pg</t>
  </si>
  <si>
    <t>Mozart Room</t>
  </si>
  <si>
    <t>600 Penn Ave</t>
  </si>
  <si>
    <t>nAS-0Tdn_TFdlMfNQfldYA</t>
  </si>
  <si>
    <t>Food, Restaurants, Sandwiches, Beer, Wine &amp; Spirits, Nightlife, Delis, Bars</t>
  </si>
  <si>
    <t>Burg's in the Burgh</t>
  </si>
  <si>
    <t>dLc1d1zwd1Teu2QED5TmlA</t>
  </si>
  <si>
    <t>Thai, Restaurants, Noodles, Food</t>
  </si>
  <si>
    <t>Noodlehead</t>
  </si>
  <si>
    <t>jUxLgiiYKnsM238eUZUqlA</t>
  </si>
  <si>
    <t>Sir Pizza</t>
  </si>
  <si>
    <t>320 Sewickley Oakmont Rd</t>
  </si>
  <si>
    <t>EwraUz9DLJcMVnBVMGkBpA</t>
  </si>
  <si>
    <t>Chicken Wings, Sandwiches, Restaurants, Salad</t>
  </si>
  <si>
    <t>Wiggy's</t>
  </si>
  <si>
    <t>xJTu-eNbVET4evm-eBVDzA</t>
  </si>
  <si>
    <t>Ramen, Japanese, Restaurants, Sushi Bars</t>
  </si>
  <si>
    <t>Tan Izakaya</t>
  </si>
  <si>
    <t>5kUA_k-ua1wO68jZ1Yo74Q</t>
  </si>
  <si>
    <t>Tapas Bars, Restaurants, Sushi Bars, Latin American</t>
  </si>
  <si>
    <t>Tamari</t>
  </si>
  <si>
    <t>QQSlx-l_cfwkVrNwjV_HgQ</t>
  </si>
  <si>
    <t>House of Lee Restaurant</t>
  </si>
  <si>
    <t>8145 Ohio River Blvd</t>
  </si>
  <si>
    <t>l1hqzJAIYEs3NQYqjH_kxA</t>
  </si>
  <si>
    <t>Pizza, Italian, Restaurants, Salad</t>
  </si>
  <si>
    <t>Vespucci Pizza</t>
  </si>
  <si>
    <t>1710 Forbes Ave</t>
  </si>
  <si>
    <t>IrkBeajv3BQFYwJC9i0e1g</t>
  </si>
  <si>
    <t>American (New), Seafood, Restaurants, Bars, Whiskey Bars, Nightlife</t>
  </si>
  <si>
    <t>Wallace's Whiskey Room + Kitchen</t>
  </si>
  <si>
    <t>QCZwZLYHkTyYQDr6jdjKjA</t>
  </si>
  <si>
    <t>Graziano's Pizzeria</t>
  </si>
  <si>
    <t>4109 Penn Ave</t>
  </si>
  <si>
    <t>I4q_mNQTKVX_EKbVAh8pdQ</t>
  </si>
  <si>
    <t>American (New), Nightlife, Bars, Restaurants</t>
  </si>
  <si>
    <t>ZYof0WYlilJ3pgWNSgmYKQ</t>
  </si>
  <si>
    <t>1304 5th Ave</t>
  </si>
  <si>
    <t>5E37qENVklkwAMHmIwc_IA</t>
  </si>
  <si>
    <t>China Village</t>
  </si>
  <si>
    <t>0YA3RpY5KXcezPXcjdfOGQ</t>
  </si>
  <si>
    <t>Restaurants, Steakhouses, Sushi Bars, Seafood</t>
  </si>
  <si>
    <t>Pittsburgh Steak Company</t>
  </si>
  <si>
    <t>1924 E Carson St</t>
  </si>
  <si>
    <t>dWB0HT1nXQ2N8n3bvPKJuQ</t>
  </si>
  <si>
    <t>Chinese, Restaurants, Sushi Bars</t>
  </si>
  <si>
    <t>John's Chinese &amp; Sushi Restaurant</t>
  </si>
  <si>
    <t>1778 N Highland Rd</t>
  </si>
  <si>
    <t>lPcKVCwnnx54lJR5BXFbKQ</t>
  </si>
  <si>
    <t>Restaurants, Cocktail Bars, Nightlife, Bars, Hawaiian</t>
  </si>
  <si>
    <t>Hidden Harbor</t>
  </si>
  <si>
    <t>1708 Shady Ave</t>
  </si>
  <si>
    <t>0aT7sqTIIv5zMApt4p4VWQ</t>
  </si>
  <si>
    <t>Pizza Roma</t>
  </si>
  <si>
    <t>BrORoLCE5zVY6ekUb6omNA</t>
  </si>
  <si>
    <t>Noodles, Bubble Tea, Asian Fusion, Chinese, Restaurants, Food, Ramen, Japanese</t>
  </si>
  <si>
    <t>Mad Noodles</t>
  </si>
  <si>
    <t>Vegan, Restaurants, Southern, Barbeque</t>
  </si>
  <si>
    <t>YinzBurgh BBQ</t>
  </si>
  <si>
    <t>ldGnkfXjRNAxRP9cizgr0Q</t>
  </si>
  <si>
    <t>Cafes, Sandwiches, Restaurants, Italian</t>
  </si>
  <si>
    <t>Gio's Cafe</t>
  </si>
  <si>
    <t>625 Stanwix St</t>
  </si>
  <si>
    <t>_xynpPYhVYDQRtt69sw3sQ</t>
  </si>
  <si>
    <t>EWpRPVSiPxWbdJBgNDNvGw</t>
  </si>
  <si>
    <t>Restaurants, Wraps, Italian, Salad</t>
  </si>
  <si>
    <t>6296 Northway Mall Dr, Ste 102-B</t>
  </si>
  <si>
    <t>_Ahg3MfDXfKrh36NUadNbA</t>
  </si>
  <si>
    <t>Grille on Seventh</t>
  </si>
  <si>
    <t>1n8bvxpBoUOAJsC5csuV3Q</t>
  </si>
  <si>
    <t>DiCarlo's Original Pizza</t>
  </si>
  <si>
    <t>85nvKTJSN8byoeGRxzGkug</t>
  </si>
  <si>
    <t>American (Traditional), Restaurants, Cafes, Breakfast &amp; Brunch</t>
  </si>
  <si>
    <t>First Watch</t>
  </si>
  <si>
    <t>9176 Covenant Ave</t>
  </si>
  <si>
    <t>sgmzN_YnOPtHAAfGlhc9yA</t>
  </si>
  <si>
    <t>Diners, Buffets, Bars, Restaurants, Nightlife, Italian, Lounges</t>
  </si>
  <si>
    <t>John Anthony's Restaurant Lounge &amp; Banquets</t>
  </si>
  <si>
    <t>115 Center New Texas Rd</t>
  </si>
  <si>
    <t>zR8n9zX3AMcksUI641DjfQ</t>
  </si>
  <si>
    <t>Food, Delis, Restaurants</t>
  </si>
  <si>
    <t>Deli On North Avenue</t>
  </si>
  <si>
    <t>4 E North Ave</t>
  </si>
  <si>
    <t>aY8xiGLpTjIkz6FAJbCy7A</t>
  </si>
  <si>
    <t>Bars, Barbeque, Restaurants, Nightlife, American (Traditional), Vegetarian</t>
  </si>
  <si>
    <t>Double Wide Grill</t>
  </si>
  <si>
    <t>2339 E Carson St</t>
  </si>
  <si>
    <t>QlSpPzc4Oy05ic-PsoYH4g</t>
  </si>
  <si>
    <t>Cocktail Bars, Sandwiches, Food, Nightlife, Bars, French, Restaurants, Tapas/Small Plates, Desserts</t>
  </si>
  <si>
    <t>Streets On Carson</t>
  </si>
  <si>
    <t>Apn6Qly16cIUxgB1dYUvjg</t>
  </si>
  <si>
    <t>Don's Diner</t>
  </si>
  <si>
    <t>1729 Eckert St</t>
  </si>
  <si>
    <t>jDehhKtVZa62k32WHbnc2A</t>
  </si>
  <si>
    <t>Szechuan, Restaurants, Food, Food Delivery Services, Chinese</t>
  </si>
  <si>
    <t>Mcintyre Square Shopping Ctr, 3200 McIntyre Square Dr</t>
  </si>
  <si>
    <t>OXrFWgoz533T8tMRemkiww</t>
  </si>
  <si>
    <t>Il Pizzaiolo</t>
  </si>
  <si>
    <t>703 Washington Rd</t>
  </si>
  <si>
    <t>W4k4E2dbDN6bwtPPgNm-XA</t>
  </si>
  <si>
    <t>Restaurants, Seafood, Nightlife, Middle Eastern, Mediterranean</t>
  </si>
  <si>
    <t>Amel's Restaurant</t>
  </si>
  <si>
    <t>435 McNeilly Rd</t>
  </si>
  <si>
    <t>5qtc1s-TKdgzPccKwY4SRw</t>
  </si>
  <si>
    <t>Silk Pagoda Restaurant</t>
  </si>
  <si>
    <t>4070 Beechwood Blvd</t>
  </si>
  <si>
    <t>xnmQ1-YwnQJiV4zrP2LDuw</t>
  </si>
  <si>
    <t>647-649 Smithfield Ave</t>
  </si>
  <si>
    <t>SuMi4hxed5qk-M8IklFg8Q</t>
  </si>
  <si>
    <t>Beer, Wine &amp; Spirits, Restaurants, Food, Nightlife, American (New), Pizza, Bars, Pubs, Breweries</t>
  </si>
  <si>
    <t>BJ's Restaurant &amp; Brewhouse</t>
  </si>
  <si>
    <t>8970 Covenant Ave</t>
  </si>
  <si>
    <t>HG3ROmv3FJZTMJPpThSXOw</t>
  </si>
  <si>
    <t>Sushi Bars, Bars, Cocktail Bars, Seafood, Restaurants, Nightlife, Dance Clubs</t>
  </si>
  <si>
    <t>Luke Wholey's Wild Alaskan Grille</t>
  </si>
  <si>
    <t>2106 Penn Ave</t>
  </si>
  <si>
    <t>hTZGMEKTtaY0wwB-czFxxA</t>
  </si>
  <si>
    <t>Sushi Bars, Japanese, Restaurants, Seafood</t>
  </si>
  <si>
    <t>Sushi Too</t>
  </si>
  <si>
    <t>5432 Walnut St</t>
  </si>
  <si>
    <t>hbipF-PtqC2RI70Aqx4mlA</t>
  </si>
  <si>
    <t>Sushi Bars, Cocktail Bars, Bars, Restaurants, Nightlife</t>
  </si>
  <si>
    <t>The Warren Bar and Burrow</t>
  </si>
  <si>
    <t>QtiW05WWmBv8MSpGymhcsQ</t>
  </si>
  <si>
    <t>Greek, American (Traditional), Restaurants</t>
  </si>
  <si>
    <t>Opa! Greek-American Cuisine</t>
  </si>
  <si>
    <t>N7iOez1IbRc8wErxJLt5CQ</t>
  </si>
  <si>
    <t>Tom's Diner Southside</t>
  </si>
  <si>
    <t>wymUX-o-ytt31yUo_FI4-w</t>
  </si>
  <si>
    <t>Silvioni's Restaurant</t>
  </si>
  <si>
    <t>2125 Babcock Blvd</t>
  </si>
  <si>
    <t>O2IPbv7l5frXpdwnSZIicQ</t>
  </si>
  <si>
    <t>Buon Giorno Cafe</t>
  </si>
  <si>
    <t>20 Stanwix St</t>
  </si>
  <si>
    <t>1HfkEkNhI6XJXkgrCTBKpw</t>
  </si>
  <si>
    <t>American (Traditional), Beer Bar, Restaurants, Mexican, Bars, Tacos, Nightlife, Sports Bars, Gastropubs, Pubs</t>
  </si>
  <si>
    <t>_toz5ca6UeEMm-ScLakofg</t>
  </si>
  <si>
    <t>Bars, Hot Dogs, Restaurants, Nightlife</t>
  </si>
  <si>
    <t>Packs &amp; Dogs</t>
  </si>
  <si>
    <t>223 Shiloh St</t>
  </si>
  <si>
    <t>nMV7Sn15I87tDlHJiSE92A</t>
  </si>
  <si>
    <t>Fat Tommy's Pizzeria</t>
  </si>
  <si>
    <t>LCNc4r6LvVs-JBmfQYAqbw</t>
  </si>
  <si>
    <t>1902 Tavern</t>
  </si>
  <si>
    <t>fTNhNmjkNzdaPy3LFAnwvQ</t>
  </si>
  <si>
    <t>Breakfast &amp; Brunch, Salad, Bars, Diners, Comfort Food, Nightlife, Burgers, American (New), Cocktail Bars, Restaurants</t>
  </si>
  <si>
    <t>Ease Modern Comfort Cuisine</t>
  </si>
  <si>
    <t>M49CwslHLTt9verCZhWxrg</t>
  </si>
  <si>
    <t>Caterers, Restaurants, Event Planning &amp; Services, Italian</t>
  </si>
  <si>
    <t>Storms Restaurant &amp; Byob</t>
  </si>
  <si>
    <t>LhHBcNVQwHIqcm7LDJ0E1Q</t>
  </si>
  <si>
    <t>Restaurants, Hot Dogs, Burgers</t>
  </si>
  <si>
    <t>Hank's Hotdogs Too</t>
  </si>
  <si>
    <t>919 Brookline Blvd</t>
  </si>
  <si>
    <t>Uc2PqdAPWPMxe6_YHB4wHQ</t>
  </si>
  <si>
    <t>1703 S Braddock Ave</t>
  </si>
  <si>
    <t>ZqP_j4ZTFSN5dkHYF0Lobw</t>
  </si>
  <si>
    <t>Lupi's Famous Pizza</t>
  </si>
  <si>
    <t>MwjZPmEoWlHy1rp7qrmBsw</t>
  </si>
  <si>
    <t>Wine Bars, American (New), Bars, Beer Bar, Restaurants, Nightlife</t>
  </si>
  <si>
    <t>Casellula</t>
  </si>
  <si>
    <t>40 W N Ave</t>
  </si>
  <si>
    <t>V9ALGxjWDwxD93Sklth1YA</t>
  </si>
  <si>
    <t>Le Pommier</t>
  </si>
  <si>
    <t>eog-ECRuj1O1II13t--36A</t>
  </si>
  <si>
    <t>Party &amp; Event Planning, Bars, American (Traditional), Event Planning &amp; Services, Restaurants, Nightlife</t>
  </si>
  <si>
    <t>Tequila Cowboy Bar &amp; Grill</t>
  </si>
  <si>
    <t>380 N Shore Dr</t>
  </si>
  <si>
    <t>Nf9s7ULgb0Shnc5Mr7JweQ</t>
  </si>
  <si>
    <t>Restaurants, Salad, Italian, Pizza</t>
  </si>
  <si>
    <t>Eddie's Pizza Haus</t>
  </si>
  <si>
    <t>1744 Chislett St</t>
  </si>
  <si>
    <t>M1SUyz8KGdVnntu0wty4lw</t>
  </si>
  <si>
    <t>Food, Restaurants, Mediterranean, Turkish</t>
  </si>
  <si>
    <t>Lezzet</t>
  </si>
  <si>
    <t>P4w7kxvrr4odvXdyQzXIvw</t>
  </si>
  <si>
    <t>Maiku Sushi</t>
  </si>
  <si>
    <t>lvZOJWiwNymeBhOAgoy11w</t>
  </si>
  <si>
    <t>American (Traditional), Cafes, Restaurants, Fast Food</t>
  </si>
  <si>
    <t>Fossil Fuels CafÃƒÂ©</t>
  </si>
  <si>
    <t>X47pt6a4ID4aM2ONYdSW8Q</t>
  </si>
  <si>
    <t>Coffee &amp; Tea, Coffee Roasteries, Restaurants, Food, Cafes</t>
  </si>
  <si>
    <t>151 Bakery Square Blvd</t>
  </si>
  <si>
    <t>CkVmV4r5t1T_kJTBDqXNZw</t>
  </si>
  <si>
    <t>American (New), Wine Bars, Restaurants, Bars, Nightlife</t>
  </si>
  <si>
    <t>Open Bottle Bistro</t>
  </si>
  <si>
    <t>u2s_aIR9nBJnI4AiCpCyFQ</t>
  </si>
  <si>
    <t>O'Leary's</t>
  </si>
  <si>
    <t>1412 E Carson St</t>
  </si>
  <si>
    <t>pvcavm_yprIRBAT24JiTRQ</t>
  </si>
  <si>
    <t>Kullman's Bakery</t>
  </si>
  <si>
    <t>225 Brownsville Rd</t>
  </si>
  <si>
    <t>t28N3EEswYeTtOu27lnYtQ</t>
  </si>
  <si>
    <t>Mauramori Cafe</t>
  </si>
  <si>
    <t>dW79jPJVpzlTKGF-1JAsaw</t>
  </si>
  <si>
    <t>Restaurants, Event Planning &amp; Services, Caterers, Delis, Sandwiches</t>
  </si>
  <si>
    <t>1912 Murray Ave</t>
  </si>
  <si>
    <t>hz8mFMIQxQNLKE5rYmg6zQ</t>
  </si>
  <si>
    <t>Italian, Sandwiches, Pizza, Salad, Restaurants</t>
  </si>
  <si>
    <t>Pelegrino's Pizza &amp; Pasta</t>
  </si>
  <si>
    <t>4846 McKnight Rd</t>
  </si>
  <si>
    <t>fAyRPDQnvG7_PIo3GFAgzA</t>
  </si>
  <si>
    <t>Schatz Dining Hall</t>
  </si>
  <si>
    <t>5032 Forbes Ave</t>
  </si>
  <si>
    <t>U9T07y8_j7PLk6fHSPGfOA</t>
  </si>
  <si>
    <t>Nightlife, Beer Bar, Bars, Tapas Bars, Cocktail Bars, Restaurants</t>
  </si>
  <si>
    <t>Lorelei</t>
  </si>
  <si>
    <t>3zk3cCB58m122cQI_LnvIA</t>
  </si>
  <si>
    <t>Whiskey Hollow Grill</t>
  </si>
  <si>
    <t>qVhFe0aIoNSBxfLReS3-PQ</t>
  </si>
  <si>
    <t>Sandwiches, Salad, Food, Restaurants, Delis</t>
  </si>
  <si>
    <t>Kevin's Deli</t>
  </si>
  <si>
    <t>101 N Dithridge St</t>
  </si>
  <si>
    <t>BIqsItY0vyOshMpJ0I4cPg</t>
  </si>
  <si>
    <t>How Lee Chinese Food</t>
  </si>
  <si>
    <t>5888 Forbes Ave</t>
  </si>
  <si>
    <t>bsXdGEeHJPDkyIzAk0XnCg</t>
  </si>
  <si>
    <t>Restaurants, Burgers, Hot Dogs, Breakfast &amp; Brunch</t>
  </si>
  <si>
    <t>GM Dog N' Burger Shoope</t>
  </si>
  <si>
    <t>4820 Liberty Ave</t>
  </si>
  <si>
    <t>17DImn_vPnuwU9hhRFXlUA</t>
  </si>
  <si>
    <t>Restaurants, Sushi Bars, Nightlife, Japanese, Bars</t>
  </si>
  <si>
    <t>Umami</t>
  </si>
  <si>
    <t>202 38th St</t>
  </si>
  <si>
    <t>9ZdDRjkgD8OZGBDFgtZong</t>
  </si>
  <si>
    <t>Barbeque, Restaurants, Sports Bars, Food, American (Traditional), Bars, Nightlife, American (New), Lounges</t>
  </si>
  <si>
    <t>Wheelhouse</t>
  </si>
  <si>
    <t>pWJoOfYUWSkro0WNxHspFg</t>
  </si>
  <si>
    <t>Restaurants, Event Planning &amp; Services, Italian, Pizza, Caterers</t>
  </si>
  <si>
    <t>Claudio's Pizzeria &amp; Ristorante</t>
  </si>
  <si>
    <t>1883 Painter's Run Rd</t>
  </si>
  <si>
    <t>lNuedAMNPFROMiI0YRTCAw</t>
  </si>
  <si>
    <t>Sushi Bars, Asian Fusion, Restaurants</t>
  </si>
  <si>
    <t>SAKE Asian Cuisine &amp; Sushi Bar</t>
  </si>
  <si>
    <t>6dDItJbFIwYCmoLZF3iTcg</t>
  </si>
  <si>
    <t>American (Traditional), Chicken Wings, Restaurants, Fast Food</t>
  </si>
  <si>
    <t>3616 5th Ave</t>
  </si>
  <si>
    <t>YVrGlYTCU0ET2n_efLb78g</t>
  </si>
  <si>
    <t>Restaurants, Tapas/Small Plates, Modern European</t>
  </si>
  <si>
    <t>Joey's Snack Bar</t>
  </si>
  <si>
    <t>z_RTK0MaxaRHRQ99hDL2QA</t>
  </si>
  <si>
    <t>Benny Fierro's</t>
  </si>
  <si>
    <t>1906 E Carson St</t>
  </si>
  <si>
    <t>L8Yy7EJJ0HiBYhKitlmG-A</t>
  </si>
  <si>
    <t>Steel City Rib House</t>
  </si>
  <si>
    <t>VSZfpOFWhK4RcFvn_Ay1ZQ</t>
  </si>
  <si>
    <t>American (New), Diners, Restaurants</t>
  </si>
  <si>
    <t>1MrJJ9tyNyfFrxaNZ67xFg</t>
  </si>
  <si>
    <t>Chinese, Sushi Bars, Restaurants, Japanese, Steakhouses</t>
  </si>
  <si>
    <t>Silk Road Gourmet Chinese</t>
  </si>
  <si>
    <t>5301 Grove Rd, Ste 1</t>
  </si>
  <si>
    <t>7SLdPD6ve1hhrrN_sMH7Fw</t>
  </si>
  <si>
    <t>Bars, American (New), Nightlife, Restaurants, Pubs</t>
  </si>
  <si>
    <t>Pleasant Bar</t>
  </si>
  <si>
    <t>32 Old Clairton Rd</t>
  </si>
  <si>
    <t>NR190YuOBx0W9fUWx6OlMQ</t>
  </si>
  <si>
    <t>Indian, Food, Food Trucks, Restaurants</t>
  </si>
  <si>
    <t>Billu's Indian Grill On Wheels</t>
  </si>
  <si>
    <t>HfOQdfvijWVWMFgMIhVuBA</t>
  </si>
  <si>
    <t>American (Traditional), Event Planning &amp; Services, Salad, Fast Food, Cheesesteaks, Italian, Caterers, Sandwiches, Restaurants</t>
  </si>
  <si>
    <t>Tootie's Famous Italian Beef</t>
  </si>
  <si>
    <t>93 S 16th St</t>
  </si>
  <si>
    <t>6jt3D5qCzlcGSdHZAeczxA</t>
  </si>
  <si>
    <t>Dowe's on 9th</t>
  </si>
  <si>
    <t>121 9th St</t>
  </si>
  <si>
    <t>Lw2vlPixPe72lDp9Cx6GoA</t>
  </si>
  <si>
    <t>Wang's Kitchen</t>
  </si>
  <si>
    <t>3625 Brownsville Rd</t>
  </si>
  <si>
    <t>_adbswq_0E8MoJ9eoVf6vw</t>
  </si>
  <si>
    <t>Hotels &amp; Travel, Event Planning &amp; Services, Hotels, Restaurants</t>
  </si>
  <si>
    <t>Comfort Inn Conference Center</t>
  </si>
  <si>
    <t>699 Rodi Rd</t>
  </si>
  <si>
    <t>LAXvmv02hGy1TuSVCo3Www</t>
  </si>
  <si>
    <t>Farm Fresh Deli</t>
  </si>
  <si>
    <t>8t8pZI5SAlYhd6UEIkAcSg</t>
  </si>
  <si>
    <t>American (Traditional), Diners, Restaurants</t>
  </si>
  <si>
    <t>Nadine's</t>
  </si>
  <si>
    <t>19 S 27th St</t>
  </si>
  <si>
    <t>ttgfifuRK6svfWcXoGG-mQ</t>
  </si>
  <si>
    <t>1108 Federal St</t>
  </si>
  <si>
    <t>k7VQD0pbdFN0Ju0yNVrtZQ</t>
  </si>
  <si>
    <t>Restaurants, Breakfast &amp; Brunch, Sandwiches</t>
  </si>
  <si>
    <t>The Bloomfield Sandwich Shop</t>
  </si>
  <si>
    <t>jBKJMUcMuBmHqe5_U7GQ0Q</t>
  </si>
  <si>
    <t>Food, Desserts, Mexican, Restaurants, Beer Bar, Bars, Nightlife</t>
  </si>
  <si>
    <t>Local Services, Arcades, Amusement Parks, Community Service/Non-Profit, Event Planning &amp; Services, Leisure Centers, Arts &amp; Entertainment, Party &amp; Event Planning, Bowling, Restaurants, Active Life, Fast Food, Laser Tag</t>
  </si>
  <si>
    <t>Zone 28</t>
  </si>
  <si>
    <t>MjOFnVxoKeOikgBGTZ-UcA</t>
  </si>
  <si>
    <t>American (Traditional), Restaurants, Breakfast &amp; Brunch, Diners</t>
  </si>
  <si>
    <t>7370 McKnight Rd</t>
  </si>
  <si>
    <t>OhTsSYXoD4Poc14JrjIhBw</t>
  </si>
  <si>
    <t>Pizza, Restaurants, Italian, Nightlife, Bars</t>
  </si>
  <si>
    <t>Roma Italian Restaurant and Pizzeria</t>
  </si>
  <si>
    <t>8350 Perry Hwy</t>
  </si>
  <si>
    <t>1OrJ5VR2qYarPQfSRi4kOw</t>
  </si>
  <si>
    <t>Chicken Wings, Restaurants, American (Traditional)</t>
  </si>
  <si>
    <t>Spring Garden Inn</t>
  </si>
  <si>
    <t>3433 Spring Garden Ave</t>
  </si>
  <si>
    <t>X_3O5pHSI-w-F5yMJOldlw</t>
  </si>
  <si>
    <t>Original Oyster House</t>
  </si>
  <si>
    <t>20 Market Sq</t>
  </si>
  <si>
    <t>3cbsPfoUUrysf-M8FI_0IA</t>
  </si>
  <si>
    <t>American (Traditional), Restaurants, Mediterranean, Food, Tapas/Small Plates, Breakfast &amp; Brunch, Italian</t>
  </si>
  <si>
    <t>E2</t>
  </si>
  <si>
    <t>mXS1oNaLd2mHJ9lsReOF_A</t>
  </si>
  <si>
    <t>Bars, Lounges, Event Planning &amp; Services, Venues &amp; Event Spaces, Restaurants, Nightlife, American (Traditional)</t>
  </si>
  <si>
    <t>Baja Bar &amp; Grill</t>
  </si>
  <si>
    <t>CFtZH4Skp9z3o4ToSywI4w</t>
  </si>
  <si>
    <t>American (Traditional), Caterers, Burgers, Event Planning &amp; Services, Restaurants</t>
  </si>
  <si>
    <t>5997 Centre Ave</t>
  </si>
  <si>
    <t>r2UzW3YrmpxxkpTOuqOdJA</t>
  </si>
  <si>
    <t>809 West View Park Dr</t>
  </si>
  <si>
    <t>7dD33tgzQ4S1vfd21dv5Eg</t>
  </si>
  <si>
    <t>6bR_7l9IduBaglZJbqLFWg</t>
  </si>
  <si>
    <t>Food, Cafes, Coffee &amp; Tea, Restaurants</t>
  </si>
  <si>
    <t>Amani Coffee House &amp; Cafe</t>
  </si>
  <si>
    <t>507 Foreland St</t>
  </si>
  <si>
    <t>QeShrs6cUNBjJoTCkJiB0g</t>
  </si>
  <si>
    <t>Event Planning &amp; Services, Caterers, Restaurants, Italian, Seafood, Gluten-Free, Food, American (New), Desserts, Salad</t>
  </si>
  <si>
    <t>Legends Eatery</t>
  </si>
  <si>
    <t>5S8KaaAIjqo2bJcVlMNW5w</t>
  </si>
  <si>
    <t>Sichuan House Chinese Restaurant</t>
  </si>
  <si>
    <t>a3ZqjElMgAe924sbXZVcvA</t>
  </si>
  <si>
    <t>Sciulli's Pizza</t>
  </si>
  <si>
    <t>3404 5th Ave</t>
  </si>
  <si>
    <t>Oy228reHc1KcnY7qiyW9Rg</t>
  </si>
  <si>
    <t>Slice on Broadway</t>
  </si>
  <si>
    <t>X9Bql7RrPU5Mab5-hJsI8A</t>
  </si>
  <si>
    <t>Burger 21</t>
  </si>
  <si>
    <t>MLVnaAgR3FD2O9mBTKDqoQ</t>
  </si>
  <si>
    <t>Breakfast &amp; Brunch, Restaurants, Mediterranean, Turkish</t>
  </si>
  <si>
    <t>Pasha Cafe Lounge</t>
  </si>
  <si>
    <t>808 Ivy St</t>
  </si>
  <si>
    <t>QT4ax7JkGZma8oMy5j8t2w</t>
  </si>
  <si>
    <t>Japanese, Restaurants, Steakhouses</t>
  </si>
  <si>
    <t>DragonFire Steakhouse</t>
  </si>
  <si>
    <t>Galleria Mall, 1500 Washington Rd</t>
  </si>
  <si>
    <t>dG-N36uSMeoqCrU27At-Qw</t>
  </si>
  <si>
    <t>Coffee &amp; Tea, Creperies, Food, Restaurants</t>
  </si>
  <si>
    <t>Jeet</t>
  </si>
  <si>
    <t>4200 Penn Ave</t>
  </si>
  <si>
    <t>etO9sOm3q_Od3NT-B7EXDA</t>
  </si>
  <si>
    <t>1100 Brownsville Rd</t>
  </si>
  <si>
    <t>1JbrO_ZoY6a8R3llJHVzUQ</t>
  </si>
  <si>
    <t>1000-1004 Ridge Ave</t>
  </si>
  <si>
    <t>uDTh-jplczxX9iv6flcrBA</t>
  </si>
  <si>
    <t>Chicken Wings, Restaurants, Fish &amp; Chips, Seafood</t>
  </si>
  <si>
    <t>Walid's Fish And Chicken</t>
  </si>
  <si>
    <t>1hDSdypYCwmZbmKY6MECxA</t>
  </si>
  <si>
    <t>Johnny's Place</t>
  </si>
  <si>
    <t>Zp2vJfHciG9IiXfmtH5Wdw</t>
  </si>
  <si>
    <t>Sandwiches, Mediterranean, Restaurants, Pizza, Seafood, American (Traditional), American (New), Moroccan</t>
  </si>
  <si>
    <t>Beta Bites</t>
  </si>
  <si>
    <t>338 S Bouquet St</t>
  </si>
  <si>
    <t>URrpT6jipHmoiJ6ITOPEeQ</t>
  </si>
  <si>
    <t>Comfort Food, Restaurants, American (Traditional)</t>
  </si>
  <si>
    <t>Elevation Restaurant</t>
  </si>
  <si>
    <t>535 Smithfield St, Fl 25</t>
  </si>
  <si>
    <t>wQt02A5yue6S0ujGZUQerw</t>
  </si>
  <si>
    <t>Italian, Restaurants, Pizza, Chicken Wings</t>
  </si>
  <si>
    <t>BBkQ99cFPNJ5op-7IVqWNA</t>
  </si>
  <si>
    <t>Elements Contemporary Cuisine</t>
  </si>
  <si>
    <t>G4EBHnNSTWsnqTzxdiv5VQ</t>
  </si>
  <si>
    <t>Restaurants, Pizza, Sandwiches, Chicken Wings</t>
  </si>
  <si>
    <t>300 6th Ave Uppr 100</t>
  </si>
  <si>
    <t>REfM-TpPnDSpgAMB_puQbw</t>
  </si>
  <si>
    <t>Seafood, American (Traditional), Restaurants</t>
  </si>
  <si>
    <t>Mitchell's Fish Market</t>
  </si>
  <si>
    <t>szGbmw_vq3kVU4SfK1x6Sw</t>
  </si>
  <si>
    <t>Ruths Chris Steak House</t>
  </si>
  <si>
    <t>6 PPG Pl</t>
  </si>
  <si>
    <t>_ucDskZqK5w1QHkoA_nlRw</t>
  </si>
  <si>
    <t>Mexican, Food, Restaurants, Food Trucks</t>
  </si>
  <si>
    <t>Doce Taqueria</t>
  </si>
  <si>
    <t>vWCQyLsW7BujxQUlljOpgQ</t>
  </si>
  <si>
    <t>Cool Beans Coffee</t>
  </si>
  <si>
    <t>Rc0uocoxDpd4TefcHw_X2g</t>
  </si>
  <si>
    <t>Chicken Wings, Restaurants, American (New)</t>
  </si>
  <si>
    <t>13 Foster Ave</t>
  </si>
  <si>
    <t>BGGR5ekPK6YqMRHgYNJGsw</t>
  </si>
  <si>
    <t>Mexi-Casa</t>
  </si>
  <si>
    <t>3001 W Liberty Ave</t>
  </si>
  <si>
    <t>bCVRNEKQyrQqMRxvsiztyg</t>
  </si>
  <si>
    <t>Mendoza Express</t>
  </si>
  <si>
    <t>812 Noblestown Rd</t>
  </si>
  <si>
    <t>1qYCUtw6_ehv7u_FxiE8IA</t>
  </si>
  <si>
    <t>Iron Born Pizza</t>
  </si>
  <si>
    <t>2016 Smallman St</t>
  </si>
  <si>
    <t>7M1E9DZ4dL-x1AjiumdXgA</t>
  </si>
  <si>
    <t>Restaurants, Food, Sandwiches, Bagels, Breakfast &amp; Brunch</t>
  </si>
  <si>
    <t>NG5qynmV0kzxQMFJG7mhEw</t>
  </si>
  <si>
    <t>Japanese, Chinese, Restaurants</t>
  </si>
  <si>
    <t>Hong Kong Taste</t>
  </si>
  <si>
    <t>366 Butler St</t>
  </si>
  <si>
    <t>e0Vvrs1M-oMhNBg_8uc6ZQ</t>
  </si>
  <si>
    <t>Salad, Cafes, Restaurants, Sandwiches, Food, Coffee &amp; Tea</t>
  </si>
  <si>
    <t>Verde Good Beans</t>
  </si>
  <si>
    <t>412 First Ave</t>
  </si>
  <si>
    <t>fOiEnLJk4qnp8j7onjvm4A</t>
  </si>
  <si>
    <t>Ice Cream &amp; Frozen Yogurt, Food, Restaurants, Mexican</t>
  </si>
  <si>
    <t>Alquisiras Paleteria</t>
  </si>
  <si>
    <t>RFCtxMNwO_8ONYnWNDxYqg</t>
  </si>
  <si>
    <t>American (Traditional), Sandwiches, American (New), Diners, Pizza, Restaurants</t>
  </si>
  <si>
    <t>Skinny Pete's Kitchen</t>
  </si>
  <si>
    <t>538 California Ave</t>
  </si>
  <si>
    <t>mZYKqiK-9fzifbFbeEbP1w</t>
  </si>
  <si>
    <t>Seafood, American (Traditional), Restaurants, Steakhouses</t>
  </si>
  <si>
    <t>2667 Sidney St</t>
  </si>
  <si>
    <t>fKNUmyXf8iH1c2VbupIyyw</t>
  </si>
  <si>
    <t>Restaurants, Delis, Diners</t>
  </si>
  <si>
    <t>Kristopher's Place</t>
  </si>
  <si>
    <t>4239 Murray Ave</t>
  </si>
  <si>
    <t>hZ79bbzGuiU0ThbasNEALQ</t>
  </si>
  <si>
    <t>Coffee &amp; Tea, Food, Fast Food, Restaurants, Burgers</t>
  </si>
  <si>
    <t>363 Perry Hwy</t>
  </si>
  <si>
    <t>YYEm5MR6HMCQYI0k1wVnXA</t>
  </si>
  <si>
    <t>3410 William Penn Hwy</t>
  </si>
  <si>
    <t>IhbvQcaLJh80JhJA-OPv1w</t>
  </si>
  <si>
    <t>NoF90rswXBHESSyDaWeKKA</t>
  </si>
  <si>
    <t>Italian, Food, Beer, Wine &amp; Spirits, Nightlife, Restaurants, Pizza, Bars</t>
  </si>
  <si>
    <t>Proper Brick Oven &amp; Tap Room</t>
  </si>
  <si>
    <t>j3IBjxYKwh__BhA25KDeZw</t>
  </si>
  <si>
    <t>Event Planning &amp; Services, Breakfast &amp; Brunch, Restaurants, Diners, Caterers</t>
  </si>
  <si>
    <t>Sweet Peaches</t>
  </si>
  <si>
    <t>Hdnx6cZBo0JfZopnQDWVYg</t>
  </si>
  <si>
    <t>Teppanyaki Kyoto</t>
  </si>
  <si>
    <t>5808 Bryant St</t>
  </si>
  <si>
    <t>R5SvHm0lJf3hlI9R-TTyAQ</t>
  </si>
  <si>
    <t>Bella Sera Urban Trattoria</t>
  </si>
  <si>
    <t>22 Graeme St</t>
  </si>
  <si>
    <t>wXNHLkDkh0HKGJeYVnpafQ</t>
  </si>
  <si>
    <t>Angelo's Pizzeria</t>
  </si>
  <si>
    <t>4766 Liberty Ave</t>
  </si>
  <si>
    <t>ajYmOIDZUd2SZjuju3lXzw</t>
  </si>
  <si>
    <t>Siam Thai Restaurant</t>
  </si>
  <si>
    <t>410 1st Ave</t>
  </si>
  <si>
    <t>jUatA3vF7cOA45mVxDIuWA</t>
  </si>
  <si>
    <t>Restaurants, American (Traditional), Breakfast &amp; Brunch, Cafes</t>
  </si>
  <si>
    <t>215 Settlers Ridge Center Dr</t>
  </si>
  <si>
    <t>td4tiWnfeVoxIClWjZmYAA</t>
  </si>
  <si>
    <t>American (Traditional), Pubs, Bars, Nightlife, Restaurants, Fish &amp; Chips</t>
  </si>
  <si>
    <t>Perrytowne Draft House</t>
  </si>
  <si>
    <t>1002 Perry Hwy</t>
  </si>
  <si>
    <t>-7H-oXvCxJzuT42ky6Db0g</t>
  </si>
  <si>
    <t>Beer, Wine &amp; Spirits, Bars, Restaurants, American (New), Food, Beer Bar, Nightlife, Cocktail Bars</t>
  </si>
  <si>
    <t>4305 Butler St</t>
  </si>
  <si>
    <t>OPcGFLP_mRt9yvgP3ALXOQ</t>
  </si>
  <si>
    <t>Bars, Restaurants, Latin American, Nightlife, Mexican</t>
  </si>
  <si>
    <t>Totopo Mexican Kitchen and Bar</t>
  </si>
  <si>
    <t>LqEZNMIsJOWUWSxdHHCBig</t>
  </si>
  <si>
    <t>Barbeque, Restaurants, Bars, Nightlife</t>
  </si>
  <si>
    <t>Birmingham Bridge Tavern</t>
  </si>
  <si>
    <t>2901 Sarah St</t>
  </si>
  <si>
    <t>a-YTE0oKRdIq8GdQ97X-_Q</t>
  </si>
  <si>
    <t>Food, Restaurants, Breakfast &amp; Brunch, Coffee &amp; Tea, Ice Cream &amp; Frozen Yogurt</t>
  </si>
  <si>
    <t>Oh Yeah! Ice Cream &amp; Coffee</t>
  </si>
  <si>
    <t>8fKTbPc5OTcahMAuJD9E1A</t>
  </si>
  <si>
    <t>Restaurants, Asian Fusion, Filipino, Thai</t>
  </si>
  <si>
    <t>Sweet Basil and La Filipiniana</t>
  </si>
  <si>
    <t>dUeEAGxEwMv1Tafj6yr1BA</t>
  </si>
  <si>
    <t>Restaurants, Food, Cafes, Coffee &amp; Tea</t>
  </si>
  <si>
    <t>Crazy Mocha</t>
  </si>
  <si>
    <t>1836 Centre Ave</t>
  </si>
  <si>
    <t>5fyROfD0I6Xd0pTqoOcL2A</t>
  </si>
  <si>
    <t>3070 McIntyre Square Dr</t>
  </si>
  <si>
    <t>3nDxqHvf7L5AdEAAeMaQAg</t>
  </si>
  <si>
    <t>Restaurants, Sandwiches, Pizza, Chicken Wings</t>
  </si>
  <si>
    <t>119 N Sheridan Ave</t>
  </si>
  <si>
    <t>D6vRifMTw7hxUZCpNHknsw</t>
  </si>
  <si>
    <t>Soul Food Connection</t>
  </si>
  <si>
    <t>819 Wood St</t>
  </si>
  <si>
    <t>W0wraOfAWQj46ehDjCTeHw</t>
  </si>
  <si>
    <t>x9ABq0u2quurwRYlVDydVg</t>
  </si>
  <si>
    <t>American (New), Fast Food, Restaurants, Burgers</t>
  </si>
  <si>
    <t>F9IJ3EddoyW89O0DFikPTQ</t>
  </si>
  <si>
    <t>Food, Ethnic Food, Restaurants, Italian, Specialty Food, Imported Food</t>
  </si>
  <si>
    <t>Sunseri Jimmy &amp; Nino</t>
  </si>
  <si>
    <t>1901 Penn Ave</t>
  </si>
  <si>
    <t>nZDIrGshkfLZf6ImQtAasQ</t>
  </si>
  <si>
    <t>Nightlife, Restaurants, Sports Bars, Bars, American (Traditional), Burgers</t>
  </si>
  <si>
    <t>The Saloon of Mt Lebanon</t>
  </si>
  <si>
    <t>622 Washington Rd</t>
  </si>
  <si>
    <t>gzglb8NszrEtF1pWSrvjtg</t>
  </si>
  <si>
    <t>Kribel's Bakery</t>
  </si>
  <si>
    <t>546 Brookline Blvd</t>
  </si>
  <si>
    <t>v61dL5IvtgMwYBDNopvPYw</t>
  </si>
  <si>
    <t>Maximum Flavor Pizza Shop</t>
  </si>
  <si>
    <t>415 S Craig St</t>
  </si>
  <si>
    <t>6RbCJLiwNYwS6ab9vzD_zg</t>
  </si>
  <si>
    <t>Cafes, Restaurants, Food, Mediterranean, Bakeries</t>
  </si>
  <si>
    <t>Pitaland</t>
  </si>
  <si>
    <t>620 Brookline Blvd</t>
  </si>
  <si>
    <t>6eBYh0NQ80cCAmC4ajlKuQ</t>
  </si>
  <si>
    <t>Ice Cream &amp; Frozen Yogurt, Restaurants, Chicken Shop, Food, Burgers</t>
  </si>
  <si>
    <t>BurghBurgers</t>
  </si>
  <si>
    <t>Fast Food, Food, Coffee &amp; Tea, Restaurants, Burgers</t>
  </si>
  <si>
    <t>100 Davis Blvd</t>
  </si>
  <si>
    <t>w-YZ755_a3SswPSeUwCdSg</t>
  </si>
  <si>
    <t>6150 Robinson Center Dr</t>
  </si>
  <si>
    <t>0It4d0eFPJ5UnQqe6g2Z3w</t>
  </si>
  <si>
    <t>Restaurants, Buffets, Chinese</t>
  </si>
  <si>
    <t>China Buffet King</t>
  </si>
  <si>
    <t>2249 Noblestown Rd</t>
  </si>
  <si>
    <t>qpjEu9iBBzIrBGCD-6ENMg</t>
  </si>
  <si>
    <t>Pie Bar</t>
  </si>
  <si>
    <t>GAmd3nHx5TInVN26PLZj7g</t>
  </si>
  <si>
    <t>American (New), Restaurants, Italian</t>
  </si>
  <si>
    <t>Up Modern Kitchen</t>
  </si>
  <si>
    <t>K-KiGFq11yKJw6EJC9biaQ</t>
  </si>
  <si>
    <t>La Catrina</t>
  </si>
  <si>
    <t>kL5LI_GYZJkkP73wl0Qtlw</t>
  </si>
  <si>
    <t>Portofino's Pizza &amp; Pasta</t>
  </si>
  <si>
    <t>3307 Saw Mill Run Blvd</t>
  </si>
  <si>
    <t>9DxJTxiTJQdWI85MahuWPg</t>
  </si>
  <si>
    <t>Specialty Food, Restaurants, Taiwanese, Grocery, Food</t>
  </si>
  <si>
    <t>Lotus Food</t>
  </si>
  <si>
    <t>1649 Penn Ave</t>
  </si>
  <si>
    <t>1GaooxqCWHzulI2Ub3CXEw</t>
  </si>
  <si>
    <t>Mad Mex - South Hills</t>
  </si>
  <si>
    <t>Scott Towne Center, 2101 Greentree Rd</t>
  </si>
  <si>
    <t>yiX5VCEFhO7MXlmbUPwr8Q</t>
  </si>
  <si>
    <t>Fast Food, Event Planning &amp; Services, Caterers, Restaurants</t>
  </si>
  <si>
    <t>7451 McKnight Rd</t>
  </si>
  <si>
    <t>IUywieKL-xOm3tFJEY8fOw</t>
  </si>
  <si>
    <t>Cajun/Creole, Restaurants, Local Flavor, Parks, Shopping Centers, Farmers Market, Active Life, Shopping, Food</t>
  </si>
  <si>
    <t>Market Square</t>
  </si>
  <si>
    <t>2jqUYcKMYZXnpxNTkORJgQ</t>
  </si>
  <si>
    <t>Cafes, American (Traditional), Breakfast &amp; Brunch, Restaurants, Sandwiches</t>
  </si>
  <si>
    <t>Cafe Raymond</t>
  </si>
  <si>
    <t>2009 Penn Ave</t>
  </si>
  <si>
    <t>80544c9_y63PfEi9DgjtoA</t>
  </si>
  <si>
    <t>Chicken Wings, Italian, Pizza, Restaurants</t>
  </si>
  <si>
    <t>1984 Green Tree Rd</t>
  </si>
  <si>
    <t>ehaoreB8IzKY8KvRGqxcUA</t>
  </si>
  <si>
    <t>American (Traditional), Gastropubs, Restaurants</t>
  </si>
  <si>
    <t>Fuel &amp; Fuddle</t>
  </si>
  <si>
    <t>212 Oakland Ave</t>
  </si>
  <si>
    <t>jDqaz1jKdeWk_fTVCzc1Pg</t>
  </si>
  <si>
    <t>Imported Food, Food, Specialty Food, Ethnic Food, Restaurants</t>
  </si>
  <si>
    <t>Conflict Kitchen</t>
  </si>
  <si>
    <t>zuEJKjSkX-4qw8MlEcI0Xg</t>
  </si>
  <si>
    <t>Salad, Restaurants</t>
  </si>
  <si>
    <t>218 Fifth Ave</t>
  </si>
  <si>
    <t>wNnPxpAOCBk2N1KTJ2PDCw</t>
  </si>
  <si>
    <t>Bakeries, Food, Restaurants, Cafes</t>
  </si>
  <si>
    <t>Dozen Bake Shop</t>
  </si>
  <si>
    <t>3511 Butler St</t>
  </si>
  <si>
    <t>rJHMVTCjCHXfZ7AboUL5Qg</t>
  </si>
  <si>
    <t>630 Stanwix St</t>
  </si>
  <si>
    <t>ejaUQ1hYo7Q7xCL1HdPINw</t>
  </si>
  <si>
    <t>Bars, Restaurants, Nightlife, Breweries, American (Traditional), Desserts, Food</t>
  </si>
  <si>
    <t>Church Brew Works</t>
  </si>
  <si>
    <t>3525 Liberty Ave</t>
  </si>
  <si>
    <t>pSAoDrxX7Q5VRe-7gpDpOw</t>
  </si>
  <si>
    <t>Food, Pizza, Restaurants, Breweries</t>
  </si>
  <si>
    <t>Spoonwood Brewing</t>
  </si>
  <si>
    <t>GiKgsenJg25-2qBGxsg_hw</t>
  </si>
  <si>
    <t>Hanni's Place</t>
  </si>
  <si>
    <t>j54J0Ky4ruVbN_NTJ3daFg</t>
  </si>
  <si>
    <t>Girasole Restaurant</t>
  </si>
  <si>
    <t>SYkUrHf0AIcLyYBGBDM8FA</t>
  </si>
  <si>
    <t>Ethnic Food, Specialty Food, Restaurants, Cafes, Nightlife, Food, Bars, Hookah Bars, Lounges</t>
  </si>
  <si>
    <t>Perspolis Hookah Lounge</t>
  </si>
  <si>
    <t>vuDL_d3GYAtbvX9EJQqVog</t>
  </si>
  <si>
    <t>271 1/2 Clairton Blvd</t>
  </si>
  <si>
    <t>U8s4-JWjZ7bNSlVEX9JEYw</t>
  </si>
  <si>
    <t>Specialty Food, Restaurants, Pasta Shops, Food</t>
  </si>
  <si>
    <t>100 S Commons</t>
  </si>
  <si>
    <t>W6TH029-LDmCRwuDqV0TYQ</t>
  </si>
  <si>
    <t>Sandwiches, American (New), Pubs, Bars, Comfort Food, Restaurants, Nightlife</t>
  </si>
  <si>
    <t>Rupe's Roadhouse</t>
  </si>
  <si>
    <t>325 Camp Horne Rd</t>
  </si>
  <si>
    <t>RA_Q__KAdk9rJqtAByUFjA</t>
  </si>
  <si>
    <t>Tavern 245</t>
  </si>
  <si>
    <t>MwsGayIlUkXQ46mkmV3jlA</t>
  </si>
  <si>
    <t>Wok In Heaven</t>
  </si>
  <si>
    <t>415 Unity Center Rd</t>
  </si>
  <si>
    <t>lTG46zyVkZOk6RAR17kqQQ</t>
  </si>
  <si>
    <t>Chubby's Pizza &amp; Hoagies Northside</t>
  </si>
  <si>
    <t>3627 California Ave</t>
  </si>
  <si>
    <t>RKVYQ00LvK0_FO6Ll7lvOg</t>
  </si>
  <si>
    <t>Cocktail Bars, Bars, Nightlife, Cajun/Creole, Restaurants, Seafood</t>
  </si>
  <si>
    <t>Muddy Waters Oyster Bar</t>
  </si>
  <si>
    <t>zDXVGSG41uIvgk3MghurDQ</t>
  </si>
  <si>
    <t>Coffee &amp; Tea, Restaurants, Food, Convenience Stores, Automotive, Gas Stations, Sandwiches</t>
  </si>
  <si>
    <t>American Natural</t>
  </si>
  <si>
    <t>73 E Carson St</t>
  </si>
  <si>
    <t>cqPrr2uDMLP9_cPbIiOSrA</t>
  </si>
  <si>
    <t>Bakeries, Restaurants, Bagels, Food</t>
  </si>
  <si>
    <t>5825 Ellsworth Ave</t>
  </si>
  <si>
    <t>zKfTRI1_hGZoxk4ox8zW4A</t>
  </si>
  <si>
    <t>American (New), Restaurants, Food, Ice Cream &amp; Frozen Yogurt</t>
  </si>
  <si>
    <t>TCBY Yogurt</t>
  </si>
  <si>
    <t>Brentwood Towne Square, 4090 Brownsville Rd</t>
  </si>
  <si>
    <t>KTPRYqiFdLowAUEAnN7e3g</t>
  </si>
  <si>
    <t>American (Traditional), Food, Juice Bars &amp; Smoothies, Burgers, Nightlife, Cocktail Bars, Restaurants, American (New), Beer Bar, Bars, Fast Food</t>
  </si>
  <si>
    <t>932 Freeport Rd</t>
  </si>
  <si>
    <t>vMH7j7Hl36b0gmdFWyZXpQ</t>
  </si>
  <si>
    <t>Diners, American (Traditional), American (New), Restaurants, Buffets, Breakfast &amp; Brunch</t>
  </si>
  <si>
    <t>11746 Frankstown Rd</t>
  </si>
  <si>
    <t>iK_3WktnHa_YlbWdA0Axkw</t>
  </si>
  <si>
    <t>Restaurants, Korean</t>
  </si>
  <si>
    <t>Korea Garden</t>
  </si>
  <si>
    <t>414 Semple St</t>
  </si>
  <si>
    <t>IKA-wA459qPdRh7Bgl90ow</t>
  </si>
  <si>
    <t>Restaurants, Gastropubs, Chicken Wings, Burgers, American (New), Sandwiches, American (Traditional)</t>
  </si>
  <si>
    <t>The Fire Side Public House</t>
  </si>
  <si>
    <t>6290 Broad St</t>
  </si>
  <si>
    <t>nwjIvTxJt2GpMoKzuKWIBQ</t>
  </si>
  <si>
    <t>Burgers, Fast Food, Coffee &amp; Tea, Food, Restaurants</t>
  </si>
  <si>
    <t>2518 W Liberty Rd</t>
  </si>
  <si>
    <t>4RJ1TwPI9rHp0Vcc_eZCiQ</t>
  </si>
  <si>
    <t>3336 Babcock Blvd, Ste 2</t>
  </si>
  <si>
    <t>_KuufwYUWh0dha08LoCVnA</t>
  </si>
  <si>
    <t>Chicken Wings, Food, Desserts, Seafood, Restaurants</t>
  </si>
  <si>
    <t>1303 Brownsville Rd</t>
  </si>
  <si>
    <t>xoA1_vsxC0xD_fPgDZ2mbg</t>
  </si>
  <si>
    <t>Pizza, Restaurants, Gluten-Free</t>
  </si>
  <si>
    <t>11 Fifth Ave</t>
  </si>
  <si>
    <t>jf_N8zWp30usaMLXdJs9Jg</t>
  </si>
  <si>
    <t>802 W View Park Dr</t>
  </si>
  <si>
    <t>1XEFVSf5zdBFHRScvmU_zQ</t>
  </si>
  <si>
    <t>Vegan, Juice Bars &amp; Smoothies, Restaurants, Tapas Bars, Food</t>
  </si>
  <si>
    <t>Juice Up 412</t>
  </si>
  <si>
    <t>f1K6hzQecl-sJFYRUHvDDQ</t>
  </si>
  <si>
    <t>Hot Pot, Chinese, Restaurants, Sushi Bars, Japanese, Szechuan</t>
  </si>
  <si>
    <t>Szechuan Spice</t>
  </si>
  <si>
    <t>xULATz2siGXOPia614mg2A</t>
  </si>
  <si>
    <t>Chinese, Vegetarian, Pan Asian, Restaurants, Japanese, Korean, Noodles</t>
  </si>
  <si>
    <t>Lulu's Noodles</t>
  </si>
  <si>
    <t>400 S Craig St</t>
  </si>
  <si>
    <t>i6x-Wf2uvx4YydJpPmaXmg</t>
  </si>
  <si>
    <t>Restaurants, Desserts, Food, Bakeries</t>
  </si>
  <si>
    <t>Dozen Cupcakes</t>
  </si>
  <si>
    <t>CsbNmQqu9dKFrgcIItevYA</t>
  </si>
  <si>
    <t>Breakfast &amp; Brunch, Bars, Nightlife, American (New), American (Traditional), Restaurants, Steakhouses</t>
  </si>
  <si>
    <t>Revel</t>
  </si>
  <si>
    <t>242 Forbes Ave, Fl 1</t>
  </si>
  <si>
    <t>K-SsrPH0nFExdpLrTo1X1w</t>
  </si>
  <si>
    <t>Restaurants, Burgers, Bars, American (New), Nightlife, Juice Bars &amp; Smoothies, Cocktail Bars, Food, Beer Bar</t>
  </si>
  <si>
    <t>300 Mcholme Dr</t>
  </si>
  <si>
    <t>0xxW5PmeFV1MWkvDwU7XaQ</t>
  </si>
  <si>
    <t>Diners, American (New), Restaurants</t>
  </si>
  <si>
    <t>Cafe On The Strip</t>
  </si>
  <si>
    <t>1814 Penn Ave</t>
  </si>
  <si>
    <t>kT9SuRVTapbDgFGMcg1Rqg</t>
  </si>
  <si>
    <t>Murray Avenue Grill</t>
  </si>
  <si>
    <t>1720 Murray Ave</t>
  </si>
  <si>
    <t>eW6HLU-M3xJOpGyKLrWxUg</t>
  </si>
  <si>
    <t>Thai, Restaurants, Chinese</t>
  </si>
  <si>
    <t>Asian Cafe</t>
  </si>
  <si>
    <t>701 Cooke Dr</t>
  </si>
  <si>
    <t>K2Kx4NNKLfR1BnXl0gUbOA</t>
  </si>
  <si>
    <t>Bagels, Restaurants, Food</t>
  </si>
  <si>
    <t>xzR3J-4vpt6K4ZHr8nQLCA</t>
  </si>
  <si>
    <t>Beer Bar, Bars, Chicken Wings, Restaurants, Nightlife</t>
  </si>
  <si>
    <t>Archie's</t>
  </si>
  <si>
    <t>2328 E Carson St</t>
  </si>
  <si>
    <t>u6XxSPpzjlniCEbLxFpkyQ</t>
  </si>
  <si>
    <t>Restaurants, Mexican, American (New), Barbeque</t>
  </si>
  <si>
    <t>225 E 8th Ave</t>
  </si>
  <si>
    <t>But8zrzUE3-VGr5P6PLgxQ</t>
  </si>
  <si>
    <t>Restaurants, Bagels, Breakfast &amp; Brunch, Coffee &amp; Tea, Sandwiches, Food</t>
  </si>
  <si>
    <t>Bruegger's Bagels &amp; Jamba Juice</t>
  </si>
  <si>
    <t>531 Grant St</t>
  </si>
  <si>
    <t>KcFfciiA1lmui6r_h5OwTg</t>
  </si>
  <si>
    <t>Food Stands, Restaurants, Delis, Sandwiches</t>
  </si>
  <si>
    <t>Steve's Deli</t>
  </si>
  <si>
    <t>c2YDEpYQ-2IqB57tN0HKbQ</t>
  </si>
  <si>
    <t>Bars, Tapas/Small Plates, Cocktail Bars, Nightlife, Restaurants, Wine Bars</t>
  </si>
  <si>
    <t>The Livermore</t>
  </si>
  <si>
    <t>d1-X_lnO4e00Xso0LF9Zgw</t>
  </si>
  <si>
    <t>0yFe_kQiynisvahzVuq6Mw</t>
  </si>
  <si>
    <t>415 Home Dr</t>
  </si>
  <si>
    <t>_XlO-uEB3ZMA19Q8Ljbipw</t>
  </si>
  <si>
    <t>American (New), Juice Bars &amp; Smoothies, Restaurants, Food, Bakeries, Vegetarian, Cafes</t>
  </si>
  <si>
    <t>Umbrella Cafe</t>
  </si>
  <si>
    <t>eNsM5ezjhPQWI6XlUGrUhw</t>
  </si>
  <si>
    <t>Lin's Asian Fusion</t>
  </si>
  <si>
    <t>2018 E Carson St</t>
  </si>
  <si>
    <t>5p60nXyjQruKvEZix6ahVQ</t>
  </si>
  <si>
    <t>Italian, Nightlife, Bars, Wine Bars, Restaurants</t>
  </si>
  <si>
    <t>Vallozzis Pittsburgh</t>
  </si>
  <si>
    <t>FLmAxYnkZtWybuOmxVgyQA</t>
  </si>
  <si>
    <t>Mezza 663 Grill</t>
  </si>
  <si>
    <t>da62X2tpj9tF0olWTigjBg</t>
  </si>
  <si>
    <t>Sushi Bars, Restaurants, Japanese</t>
  </si>
  <si>
    <t>Little Tokyo</t>
  </si>
  <si>
    <t>636 Washington Rd</t>
  </si>
  <si>
    <t>Id4FhgQyoU5H7tb_qipP0w</t>
  </si>
  <si>
    <t>Restaurants, Sandwiches, Donuts, Salad, Food</t>
  </si>
  <si>
    <t>215 Smithfield St</t>
  </si>
  <si>
    <t>Joseph Tambellini Restaurant</t>
  </si>
  <si>
    <t>5701 Bryant St</t>
  </si>
  <si>
    <t>w2tr0PA0b3tg8pId0kjM-A</t>
  </si>
  <si>
    <t>French, Bakeries, Specialty Food, Food, Restaurants, Macarons</t>
  </si>
  <si>
    <t>Gaby Et Jules</t>
  </si>
  <si>
    <t>5837 Forbes Ave</t>
  </si>
  <si>
    <t>C-DGZG8ClR_dOMwYB19vMA</t>
  </si>
  <si>
    <t>Restaurants, Italian, Food</t>
  </si>
  <si>
    <t>Piatto Ristorante Italiano</t>
  </si>
  <si>
    <t>aJy5lNyUJjAbdsMrJz3YCg</t>
  </si>
  <si>
    <t>Bg8xZT4-NsYLYd-WPIhgXw</t>
  </si>
  <si>
    <t>Station Street Hot Dogs</t>
  </si>
  <si>
    <t>qThJY-H6Fo8HvfdIvwrjiw</t>
  </si>
  <si>
    <t>Yeung's House</t>
  </si>
  <si>
    <t>463 Perry Hwy</t>
  </si>
  <si>
    <t>u1_a84WeHWa1YlreV6RZtg</t>
  </si>
  <si>
    <t>Burgers, Restaurants, Fast Food, American (New)</t>
  </si>
  <si>
    <t>1029 Freeport Rd</t>
  </si>
  <si>
    <t>NC4_GCUAB9fuvhWgl8bu5Q</t>
  </si>
  <si>
    <t>Bars, Burgers, American (Traditional), Restaurants, Nightlife, Salad</t>
  </si>
  <si>
    <t>The Blue Goose Saloon</t>
  </si>
  <si>
    <t>605 Mt Royal Blvd</t>
  </si>
  <si>
    <t>rWBCnU-LM3IZq_xdm18PvQ</t>
  </si>
  <si>
    <t>10 Allegheny Ctr</t>
  </si>
  <si>
    <t>ESfy7oARQJaxweiARmP01Q</t>
  </si>
  <si>
    <t>308 Cochran Rd</t>
  </si>
  <si>
    <t>O40nlfiMpWAKgMx7bH9h6Q</t>
  </si>
  <si>
    <t>Burgers, American (New), Restaurants, Gastropubs</t>
  </si>
  <si>
    <t>The Yard Gastropub</t>
  </si>
  <si>
    <t>736 Bellefonte St</t>
  </si>
  <si>
    <t>2706goA6nyUtHbOrPoATCw</t>
  </si>
  <si>
    <t>Breakfast &amp; Brunch, American (Traditional), American (New), Restaurants, Burgers</t>
  </si>
  <si>
    <t>1002 Sutherland Dr</t>
  </si>
  <si>
    <t>mMzag04MJ2yH5d_SySdoBQ</t>
  </si>
  <si>
    <t>Cafes, Food, Salad, Sandwiches, Restaurants, Shopping, Coffee &amp; Tea</t>
  </si>
  <si>
    <t>Garden View Cafe</t>
  </si>
  <si>
    <t>300 Halket St</t>
  </si>
  <si>
    <t>U7W7OqdxF87uS_TB-obtvg</t>
  </si>
  <si>
    <t>Soccer, Sports Bars, Bars, Active Life, Nightlife, American (Traditional), Restaurants, Sports Clubs</t>
  </si>
  <si>
    <t>Homerun  Harry's Sports Bar &amp; Grille</t>
  </si>
  <si>
    <t>4 E Station Sq Dr, Unit 4</t>
  </si>
  <si>
    <t>Ei4voH2C7JgCyFmABY_CfA</t>
  </si>
  <si>
    <t>Mahoney's Restaurant</t>
  </si>
  <si>
    <t>949 Liberty Ave</t>
  </si>
  <si>
    <t>dd88S7tQtZeDce61KqcVyA</t>
  </si>
  <si>
    <t>Nightlife, Dive Bars, Restaurants, Polish, Arts &amp; Entertainment, Music Venues, Bars</t>
  </si>
  <si>
    <t>Bloomfield Bridge Tavern</t>
  </si>
  <si>
    <t>4412 Liberty Ave</t>
  </si>
  <si>
    <t>aJwVO17rF28WPCWes9qCkA</t>
  </si>
  <si>
    <t>Restaurants, Food, Juice Bars &amp; Smoothies, Cafes, Vegan</t>
  </si>
  <si>
    <t>Reed &amp; Co</t>
  </si>
  <si>
    <t>4113 Butler St</t>
  </si>
  <si>
    <t>wtfWKqj6B_hFCb2AZhxGlA</t>
  </si>
  <si>
    <t>Restaurants, Diners, Breakfast &amp; Brunch</t>
  </si>
  <si>
    <t>Pamelas Diner</t>
  </si>
  <si>
    <t>427 Washington Rd</t>
  </si>
  <si>
    <t>jY3wLSOmKcQTB3AjMHLpzQ</t>
  </si>
  <si>
    <t>Cafes, Diners, Restaurants</t>
  </si>
  <si>
    <t>Denise's Diner</t>
  </si>
  <si>
    <t>2332 Arlington Ave</t>
  </si>
  <si>
    <t>KUw3FH6WRpL7AEgQyPySbw</t>
  </si>
  <si>
    <t>Coppertops</t>
  </si>
  <si>
    <t>2132 E Carson St</t>
  </si>
  <si>
    <t>Qnspfy4Id5Vyd64FDQ9nxw</t>
  </si>
  <si>
    <t>Internet Cafes, Food, Cafes, Coffee &amp; Tea, Restaurants</t>
  </si>
  <si>
    <t>Caribou Coffee</t>
  </si>
  <si>
    <t>4100 Brownsville Rd</t>
  </si>
  <si>
    <t>-7teXSpi9nqy58WUd-8yfw</t>
  </si>
  <si>
    <t>American (New), Cafes, Restaurants</t>
  </si>
  <si>
    <t>Pittsburgh Pretzel Cafe</t>
  </si>
  <si>
    <t>5624 Brownsville Rd</t>
  </si>
  <si>
    <t>GgjzC6Ki7i4i_RG8pPVZnw</t>
  </si>
  <si>
    <t>107 Atwood St</t>
  </si>
  <si>
    <t>_7nELtYw3n2DzMN8252lhQ</t>
  </si>
  <si>
    <t>Village Tavern and Trattoria</t>
  </si>
  <si>
    <t>424 S Main St</t>
  </si>
  <si>
    <t>UPKWR2kaOne5d4AmdqdZlg</t>
  </si>
  <si>
    <t>Two Louie's Market</t>
  </si>
  <si>
    <t>1233 Penn Ave</t>
  </si>
  <si>
    <t>UOhDVL_aIimyHAFGOa1QGA</t>
  </si>
  <si>
    <t>Latin American, Venezuelan, Restaurants</t>
  </si>
  <si>
    <t>Cilantro &amp; Ajo</t>
  </si>
  <si>
    <t>901 E Carson St</t>
  </si>
  <si>
    <t>sH3zUEyNXNYzuaU9UomKqA</t>
  </si>
  <si>
    <t>Japanese, Restaurants, Food, Burmese</t>
  </si>
  <si>
    <t>Burma-Tokyo</t>
  </si>
  <si>
    <t>e7M2GgkCfDYTxdPN1LL1sQ</t>
  </si>
  <si>
    <t>Wai Wai Chinese Cuisine</t>
  </si>
  <si>
    <t>4717 Liberty Ave</t>
  </si>
  <si>
    <t>u540gB8nSBDZez-Kb76G9w</t>
  </si>
  <si>
    <t>Bars, Restaurants, Juice Bars &amp; Smoothies, Nightlife, Food, Chinese, Sushi Bars</t>
  </si>
  <si>
    <t>Laughing Buddha Bar</t>
  </si>
  <si>
    <t>qIyj7PNUSA1B6_rOkc8nIQ</t>
  </si>
  <si>
    <t>Salad, Restaurants, Thai, Soup</t>
  </si>
  <si>
    <t>1026 Mt Nebo Rd</t>
  </si>
  <si>
    <t>gjSOLX7d8EmbMi86Me7s1g</t>
  </si>
  <si>
    <t>Nightlife, Restaurants, Bars, American (New)</t>
  </si>
  <si>
    <t>The BeerHive</t>
  </si>
  <si>
    <t>2117 Penn Ave</t>
  </si>
  <si>
    <t>766an49Zcv1u6IR2jCx2SA</t>
  </si>
  <si>
    <t>La Felice</t>
  </si>
  <si>
    <t>n6_ah26nj9V6eo7PZNUQzg</t>
  </si>
  <si>
    <t>Mama Rose</t>
  </si>
  <si>
    <t>121 Mayflower St</t>
  </si>
  <si>
    <t>H5vlbkJ_8mFI1wCGHO3apg</t>
  </si>
  <si>
    <t>Pizza, Breakfast &amp; Brunch, Restaurants, Seafood, Italian</t>
  </si>
  <si>
    <t>Villa Italian Kitchen</t>
  </si>
  <si>
    <t>nzaEIvPWOL9UQhpGWy2fqA</t>
  </si>
  <si>
    <t>Fast Food, Diners, Restaurants, Breakfast &amp; Brunch, American (Traditional)</t>
  </si>
  <si>
    <t>2874 W Liberty Ave</t>
  </si>
  <si>
    <t>zrVScOF63r1LuZNbKr5qBg</t>
  </si>
  <si>
    <t>28 Old Clairton Rd</t>
  </si>
  <si>
    <t>QI7XeQ11U4D-A5uRcah5Iw</t>
  </si>
  <si>
    <t>Bea's Taqueria</t>
  </si>
  <si>
    <t>Een2yret0IwJUpHLwcxtRg</t>
  </si>
  <si>
    <t>Italian, Cafes, Sicilian, Desserts, Restaurants, Pizza, Food</t>
  </si>
  <si>
    <t>Arancini House</t>
  </si>
  <si>
    <t>615 Washington Rd</t>
  </si>
  <si>
    <t>X88w0XrUSIKue9Vuwtqs_g</t>
  </si>
  <si>
    <t>Food, Restaurants, Sushi Bars, Specialty Food, Seafood Markets, Seafood</t>
  </si>
  <si>
    <t>Penn Ave Fish Company</t>
  </si>
  <si>
    <t>2208 Penn Ave</t>
  </si>
  <si>
    <t>K2RRY67q6o1cDyDDCxtEVA</t>
  </si>
  <si>
    <t>Restaurants, American (Traditional), Breakfast &amp; Brunch</t>
  </si>
  <si>
    <t>6541 Steubenville Pke</t>
  </si>
  <si>
    <t>4c19YWOjPmbFUK4-V2GEvg</t>
  </si>
  <si>
    <t>The Library</t>
  </si>
  <si>
    <t>2302 E Carson St</t>
  </si>
  <si>
    <t>1uH4zHOUSzaWFzWqsVsQlQ</t>
  </si>
  <si>
    <t>Restaurants, Chicken Wings, Pizza, Salad, Soup</t>
  </si>
  <si>
    <t>Imperia Pizza</t>
  </si>
  <si>
    <t>5439 Babcock Blvd, Ste 106</t>
  </si>
  <si>
    <t>1dhPgc7E7IzzpxjHM2LphQ</t>
  </si>
  <si>
    <t>Mad Mex - Oakland</t>
  </si>
  <si>
    <t>370 Atwood St</t>
  </si>
  <si>
    <t>DnH2DJxJPAXf0RqmaPoyig</t>
  </si>
  <si>
    <t>Fish &amp; Chips, Chicken Wings, Seafood, Restaurants</t>
  </si>
  <si>
    <t>Crabs R Us</t>
  </si>
  <si>
    <t>764 Penn Ave</t>
  </si>
  <si>
    <t>OMzoxV0d1-4THKbHKTtIlQ</t>
  </si>
  <si>
    <t>Food, Restaurants, Beer, Wine &amp; Spirits</t>
  </si>
  <si>
    <t>It's Dogg'n It</t>
  </si>
  <si>
    <t>260 Atwood St</t>
  </si>
  <si>
    <t>7wMB3wMbOp0gq3l6nHfOaA</t>
  </si>
  <si>
    <t>Bars, Ramen, Nightlife, Restaurants, Japanese</t>
  </si>
  <si>
    <t>Ramen Bar</t>
  </si>
  <si>
    <t>VwCtpOYiCKA5VXbKZhCSVA</t>
  </si>
  <si>
    <t>Restaurants, Steakhouses, Nightlife, Bars, American (Traditional)</t>
  </si>
  <si>
    <t>Morton's The Steakhouse</t>
  </si>
  <si>
    <t>625 Liberty Ave, Ste 180</t>
  </si>
  <si>
    <t>_laY6Ba-VWXCR6xg7LVtuQ</t>
  </si>
  <si>
    <t>Pizza, Beer Bar, Bars, Restaurants, Sandwiches, Nightlife</t>
  </si>
  <si>
    <t>Caliente Pizza &amp; Draft House</t>
  </si>
  <si>
    <t>BHmWj2gagqO0_UHMvgOydw</t>
  </si>
  <si>
    <t>Cuzamil</t>
  </si>
  <si>
    <t>X0JIra66e1kLDraXKa2Ajg</t>
  </si>
  <si>
    <t>Bars, American (Traditional), Burgers, Nightlife, Restaurants</t>
  </si>
  <si>
    <t>Easy Street</t>
  </si>
  <si>
    <t>301 Grant St</t>
  </si>
  <si>
    <t>RSAeqTx82wSZXF6ptK5fYA</t>
  </si>
  <si>
    <t>Taste of India</t>
  </si>
  <si>
    <t>4320 Penn Ave</t>
  </si>
  <si>
    <t>N9JASBwB9kWtK0_EjTa1nw</t>
  </si>
  <si>
    <t>37 Walsh Rd</t>
  </si>
  <si>
    <t>yednPCeCKT2eQWtv5wd7Lg</t>
  </si>
  <si>
    <t>Restaurants, Nightlife, Bars, American (Traditional)</t>
  </si>
  <si>
    <t>The Boulevard Restaurant &amp; Bar</t>
  </si>
  <si>
    <t>605 Mount Royal Blvd</t>
  </si>
  <si>
    <t>T9uRUpoontO6YX-GoM4UvA</t>
  </si>
  <si>
    <t>Calabria's Italian Restaurant</t>
  </si>
  <si>
    <t>bsXRu6wXmn_pRAGToCEPjQ</t>
  </si>
  <si>
    <t>Drugstores, Shopping, Delis, Restaurants, Grocery, Food</t>
  </si>
  <si>
    <t>Giant Eagle Market District</t>
  </si>
  <si>
    <t>5550 Centre Ave</t>
  </si>
  <si>
    <t>ENcFskQBkRciPCULZrqTzg</t>
  </si>
  <si>
    <t>Food, Donuts, Restaurants</t>
  </si>
  <si>
    <t>Donut Shack</t>
  </si>
  <si>
    <t>13041 Frankstown Rd</t>
  </si>
  <si>
    <t>Eg4FCWK8MEbqSGoPbWMuaQ</t>
  </si>
  <si>
    <t>Bars, Lounges, Restaurants, American (New), Nightlife</t>
  </si>
  <si>
    <t>Kimmie's Lounge &amp; Restaurant</t>
  </si>
  <si>
    <t>900 Park Ave</t>
  </si>
  <si>
    <t>hsRjct8UiUHU54B983GmcA</t>
  </si>
  <si>
    <t>Meat Shops, Specialty Food, Seafood Markets, Restaurants, Seafood, Grocery, Food</t>
  </si>
  <si>
    <t>Robert Wholey and Co Fish Market</t>
  </si>
  <si>
    <t>1FodVSAxoKqEKYQc3QHgvg</t>
  </si>
  <si>
    <t>Bellisario's Pizza Palace</t>
  </si>
  <si>
    <t>437 McNeilly Rd</t>
  </si>
  <si>
    <t>Breakfast &amp; Brunch, Coffee &amp; Tea, Donuts, Restaurants, Food</t>
  </si>
  <si>
    <t>Donut Connection</t>
  </si>
  <si>
    <t>2414 Brownsville Rd</t>
  </si>
  <si>
    <t>WXd7r6Yvjxhyo1L6R3lQMA</t>
  </si>
  <si>
    <t>Restaurants, Nightlife, American (Traditional), Bars, American (New), Sports Bars</t>
  </si>
  <si>
    <t>Mario's South Side Saloon</t>
  </si>
  <si>
    <t>1514 E Carson St</t>
  </si>
  <si>
    <t>C3Z5nHWtpalpMJDWWqurcw</t>
  </si>
  <si>
    <t>American (Traditional), American (New), Restaurants, Fast Food</t>
  </si>
  <si>
    <t>900 Gamma Dr</t>
  </si>
  <si>
    <t>Ci8mH1OTVhH-kl2Cq8-QNQ</t>
  </si>
  <si>
    <t>2379 Noblestown Rd</t>
  </si>
  <si>
    <t>fjtmOAoiJdMCFFzrkEJESg</t>
  </si>
  <si>
    <t>Food, Bakeries, Restaurants, Diners</t>
  </si>
  <si>
    <t>Eat N Park</t>
  </si>
  <si>
    <t>285 Fort Couch Rd</t>
  </si>
  <si>
    <t>qjWiqyYCiEUnmb16TlDIyQ</t>
  </si>
  <si>
    <t>Bellisario's</t>
  </si>
  <si>
    <t>1710 Duncan Ave</t>
  </si>
  <si>
    <t>tAtIQGO0JbJFBuM_zcQ_0w</t>
  </si>
  <si>
    <t>Event Planning &amp; Services, Hotels, Hotels &amp; Travel, Restaurants</t>
  </si>
  <si>
    <t>Holiday Inn Hotel Pittsburgh North</t>
  </si>
  <si>
    <t>4859 McKnight Rd</t>
  </si>
  <si>
    <t>O5MzWfMWDeEwkzNVeKdCfg</t>
  </si>
  <si>
    <t>China Taste</t>
  </si>
  <si>
    <t>630 E Ohio St</t>
  </si>
  <si>
    <t>ATnRWnNk5iwwIbwS8VmuKg</t>
  </si>
  <si>
    <t>Taiwanese, Restaurants</t>
  </si>
  <si>
    <t>Taiwan Cafe</t>
  </si>
  <si>
    <t>3725 Forbes Ave</t>
  </si>
  <si>
    <t>yc1IZG2BL4WCYBHk5noj5g</t>
  </si>
  <si>
    <t>Restaurants, Food, Coffee &amp; Tea, Cafes</t>
  </si>
  <si>
    <t>530 William Penn Place</t>
  </si>
  <si>
    <t>OQvChaBImI8X5B3aai8btg</t>
  </si>
  <si>
    <t>Sandwiches, Breakfast &amp; Brunch, Restaurants, American (New), Waffles, American (Traditional)</t>
  </si>
  <si>
    <t>Waffles Incaffeinated</t>
  </si>
  <si>
    <t>2517 E Carson St</t>
  </si>
  <si>
    <t>kgHs-woMf_rHH4fBZx6JXg</t>
  </si>
  <si>
    <t>Restaurants, Food, Tacos, Food Trucks, Mexican</t>
  </si>
  <si>
    <t>Taquitos</t>
  </si>
  <si>
    <t>5101 Penn Ave</t>
  </si>
  <si>
    <t>1pSulg40hoGWWTMivqoaew</t>
  </si>
  <si>
    <t>Restaurants, Lounges, Burgers, Soup, Bars, Nightlife</t>
  </si>
  <si>
    <t>North Park Lounge Lawrenceville</t>
  </si>
  <si>
    <t>MPbzeBX4f98CgK0ih1rLVw</t>
  </si>
  <si>
    <t>Pizza, Nightlife, Bars, Restaurants, Sports Bars, Pubs</t>
  </si>
  <si>
    <t>Bulldog Pub</t>
  </si>
  <si>
    <t>1818 Morningside Ave</t>
  </si>
  <si>
    <t>15RvAvPxUBl3HmnGMJdtTQ</t>
  </si>
  <si>
    <t>Chinese, Cocktail Bars, Nightlife, Bars, Sushi Bars, Asian Fusion, Restaurants</t>
  </si>
  <si>
    <t>Osaka Sushi &amp; Chinese Restaurant</t>
  </si>
  <si>
    <t>2101 Green Tree Rd</t>
  </si>
  <si>
    <t>PJ2NaQ3AP5XW568kt7BEHQ</t>
  </si>
  <si>
    <t>Restaurants, Food, Barbeque, Shopping, Specialty Food, Personal Shopping</t>
  </si>
  <si>
    <t>Smokey City's 412 BBQ</t>
  </si>
  <si>
    <t>TpLbrBsHSej6Snb6LXDYxg</t>
  </si>
  <si>
    <t>Restaurants, Food, American (New), Specialty Food, Chinese, Asian Fusion</t>
  </si>
  <si>
    <t>Aseoma</t>
  </si>
  <si>
    <t>xcVanoC1mm8Yc2967qOIlw</t>
  </si>
  <si>
    <t>Food, Convenience Stores, Restaurants, Cafes, Breakfast &amp; Brunch</t>
  </si>
  <si>
    <t>26th Street Market and Cafe</t>
  </si>
  <si>
    <t>tuB82m4oIlKLyWeQjEF16g</t>
  </si>
  <si>
    <t>Food, Event Planning &amp; Services, Desserts, Greek, Falafel, Caterers, Wraps, Restaurants, Mediterranean</t>
  </si>
  <si>
    <t>Tasty N Healthy</t>
  </si>
  <si>
    <t>11633 Penn Hills Dr</t>
  </si>
  <si>
    <t>EhlOUjd2dh52SV_XfoORSA</t>
  </si>
  <si>
    <t>Chinese, Thai, Sushi Bars, Restaurants</t>
  </si>
  <si>
    <t>715 Washington Rd</t>
  </si>
  <si>
    <t>xrqzMU3dibafnu2brHq93g</t>
  </si>
  <si>
    <t>Restaurants, Cafes, Food, Bakeries</t>
  </si>
  <si>
    <t>JT's Bakery and Cafe</t>
  </si>
  <si>
    <t>8105 Perry Hwy</t>
  </si>
  <si>
    <t>sGLdSwi3zKNM3c3f5Ep8jw</t>
  </si>
  <si>
    <t>Gloria Jeans Coffees</t>
  </si>
  <si>
    <t>301 S Hills Vlg, Ste 378</t>
  </si>
  <si>
    <t>zFI3KgNgBxVVZIjICzMMoA</t>
  </si>
  <si>
    <t>Bars, Restaurants, Cocktail Bars, Nightlife, Tapas Bars, Spanish, Tapas/Small Plates, Wine Bars</t>
  </si>
  <si>
    <t>Pallantia Tapas de EspaÃƒÂ±a</t>
  </si>
  <si>
    <t>810 Ivy St</t>
  </si>
  <si>
    <t>nmBU1vK_3pkF08guLEoUjA</t>
  </si>
  <si>
    <t>Breakfast &amp; Brunch, Restaurants, Sandwiches</t>
  </si>
  <si>
    <t>Club Sandwich &amp; Deli</t>
  </si>
  <si>
    <t>Y-bFPmf15jvrE8ZP9OCTgA</t>
  </si>
  <si>
    <t>Restaurants, Beer, Wine &amp; Spirits, Food, American (Traditional)</t>
  </si>
  <si>
    <t>Calli's</t>
  </si>
  <si>
    <t>b_XIKJ2nNzksuWhfMTEehQ</t>
  </si>
  <si>
    <t>Brasseries, Restaurants, Nightlife, American (New), Bars, Belgian</t>
  </si>
  <si>
    <t>Creekhouse</t>
  </si>
  <si>
    <t>288 W Steuben St</t>
  </si>
  <si>
    <t>3PDQyGDyNitVsFj6_dYtcA</t>
  </si>
  <si>
    <t>King's Hometown Grille</t>
  </si>
  <si>
    <t>5850 Grand Ave, Fairfield Inn &amp; Suites</t>
  </si>
  <si>
    <t>pJxbs4qsbd9lVYiLLc6Eig</t>
  </si>
  <si>
    <t>Mexican, Tex-Mex, Restaurants</t>
  </si>
  <si>
    <t>210 Forbes Ave</t>
  </si>
  <si>
    <t>HVCSprTj_USR9HxIeoffZA</t>
  </si>
  <si>
    <t>Zeke's Coffee</t>
  </si>
  <si>
    <t>6015 Penn Ave</t>
  </si>
  <si>
    <t>G4tqFGRrwqQt7P_MTrhYBw</t>
  </si>
  <si>
    <t>American (Traditional), Fast Food, Sandwiches, Restaurants</t>
  </si>
  <si>
    <t>4721 Mcknight Rd</t>
  </si>
  <si>
    <t>oF6fQH8H85jo7Uv-NXzaYQ</t>
  </si>
  <si>
    <t>Hotels &amp; Travel, Hotels, Event Planning &amp; Services, American (Traditional), Nightlife, Bars, Restaurants</t>
  </si>
  <si>
    <t>Steel Towne Inn</t>
  </si>
  <si>
    <t>1251 Wilkins Ave</t>
  </si>
  <si>
    <t>L8IxNYtrSkItLbsH7giFIQ</t>
  </si>
  <si>
    <t>Cafes, Cambodian, Restaurants, Thai</t>
  </si>
  <si>
    <t>Apsara Cafe</t>
  </si>
  <si>
    <t>1703 E Carson St</t>
  </si>
  <si>
    <t>RttisSZQkaRtR7vNZTTnXw</t>
  </si>
  <si>
    <t>Bagels, Restaurants, Food, Breakfast &amp; Brunch, Bakeries, Sandwiches</t>
  </si>
  <si>
    <t>4885 McKnight Rd</t>
  </si>
  <si>
    <t>noZqYxiElPe7I1f5nlNxew</t>
  </si>
  <si>
    <t>Hostels, Hotels &amp; Travel, Restaurants, Hotels, Event Planning &amp; Services</t>
  </si>
  <si>
    <t>Radisson Hotel Pittsburgh Green Tree</t>
  </si>
  <si>
    <t>101 Radisson Dr</t>
  </si>
  <si>
    <t>CS7DuVN2YkWDU7aoeFj-og</t>
  </si>
  <si>
    <t>Food, Restaurants, Cafes, Coffee &amp; Tea</t>
  </si>
  <si>
    <t>4tJiL2mHKO-erM6xoZji9Q</t>
  </si>
  <si>
    <t>Cafe Milano</t>
  </si>
  <si>
    <t>134 6th St</t>
  </si>
  <si>
    <t>go623pgRx2nfIpsV4ePHXg</t>
  </si>
  <si>
    <t>Great Wall</t>
  </si>
  <si>
    <t>3sIEwr4LPEruEt2q8ImypQ</t>
  </si>
  <si>
    <t>Salad, Restaurants, Noodles, Ramen, Japanese</t>
  </si>
  <si>
    <t>Noodle Uchi</t>
  </si>
  <si>
    <t>575BoZY8tDPcfSRcdsUNLw</t>
  </si>
  <si>
    <t>Restaurants, American (New), American (Traditional), Diners, Breakfast &amp; Brunch</t>
  </si>
  <si>
    <t>1250 Banksville Rd</t>
  </si>
  <si>
    <t>YS1XX9AONq2hdBbU3T-uGw</t>
  </si>
  <si>
    <t>Restaurants, Burgers, Coffee &amp; Tea, Food, Fast Food</t>
  </si>
  <si>
    <t>XWRhaOGnRwHk-FICdbcCfA</t>
  </si>
  <si>
    <t>Nancy's East End Diner</t>
  </si>
  <si>
    <t>616 South Ave</t>
  </si>
  <si>
    <t>9gNko6cFCMZbvy1zhJ7-Xg</t>
  </si>
  <si>
    <t>Food, Restaurants, Japanese, Street Vendors</t>
  </si>
  <si>
    <t>Fukuda</t>
  </si>
  <si>
    <t>4770 Liberty Ave, Fl 1</t>
  </si>
  <si>
    <t>YufWhkZQPC6As55MuXTU8g</t>
  </si>
  <si>
    <t>No. 1 Kitchen</t>
  </si>
  <si>
    <t>1107 Brownsville Rd</t>
  </si>
  <si>
    <t>SpDSWxO4rLUCRAa3K6wC1Q</t>
  </si>
  <si>
    <t>Restaurants, American (Traditional), Bars, Dive Bars, Nightlife</t>
  </si>
  <si>
    <t>Sidelines Bar &amp; Grill</t>
  </si>
  <si>
    <t>621 Evergreen Ave</t>
  </si>
  <si>
    <t>KpfCj839-MPcxM8FKkW7GA</t>
  </si>
  <si>
    <t>Mexican, Fast Food, Restaurants, Tex-Mex</t>
  </si>
  <si>
    <t>2343 Noblestown Rd.</t>
  </si>
  <si>
    <t>P3-aqSPZqir35Rgs-0P94g</t>
  </si>
  <si>
    <t>Breakfast &amp; Brunch, Coffee &amp; Tea, Bagels, Sandwiches, Restaurants, Food</t>
  </si>
  <si>
    <t>429 4th Ave</t>
  </si>
  <si>
    <t>9GWfMAuAOlkt4MAZ4eZjlA</t>
  </si>
  <si>
    <t>Heavenly Espresso</t>
  </si>
  <si>
    <t>1012 Perry Hwy</t>
  </si>
  <si>
    <t>PN6YCsAdFHcHST9vPaxIuw</t>
  </si>
  <si>
    <t>Liang's Hunan Restaurant</t>
  </si>
  <si>
    <t>M-P129OlcSg_mxf8fK9ZWA</t>
  </si>
  <si>
    <t>Restaurants, Japanese, Buffets</t>
  </si>
  <si>
    <t>York Buffet</t>
  </si>
  <si>
    <t>6302 Robinson Ctr Dr</t>
  </si>
  <si>
    <t>BfIcrMq0Me0D7BBSYij7Fg</t>
  </si>
  <si>
    <t>Sandwiches, Ice Cream &amp; Frozen Yogurt, Restaurants, American (Traditional), Food</t>
  </si>
  <si>
    <t>Difiore's Ice Cream Delite</t>
  </si>
  <si>
    <t>120 Shiloh St</t>
  </si>
  <si>
    <t>nCvRJKvJnjzrSpkK79E-5Q</t>
  </si>
  <si>
    <t>Restaurants, American (New), Bars, Nightlife, Dive Bars</t>
  </si>
  <si>
    <t>Slapshots</t>
  </si>
  <si>
    <t>2999 W Liberty Ave</t>
  </si>
  <si>
    <t>0EcCWB9_VxTOoAh_1Wr_RQ</t>
  </si>
  <si>
    <t>Sports Bars, Food, Nightlife, Restaurants, American (New), Bars</t>
  </si>
  <si>
    <t>Blue Line Grille</t>
  </si>
  <si>
    <t>1014 Fifth Ave</t>
  </si>
  <si>
    <t>SmkYLXEYhzwUZdS6TAevHg</t>
  </si>
  <si>
    <t>Butcher, Bars, American (New), Cocktail Bars, Nightlife, Food, Restaurants</t>
  </si>
  <si>
    <t>Butcher and the Rye</t>
  </si>
  <si>
    <t>hF1-dtY_oXfngC8h2mY4qg</t>
  </si>
  <si>
    <t>Vue 412</t>
  </si>
  <si>
    <t>1200 Grandview Ave</t>
  </si>
  <si>
    <t>i0fAxbw4h4hMQYcitrAijA</t>
  </si>
  <si>
    <t>Cocktail Bars, Bars, American (New), Cafes, Restaurants, Nightlife</t>
  </si>
  <si>
    <t>The Iron Gate Inn</t>
  </si>
  <si>
    <t>119 1st Ave</t>
  </si>
  <si>
    <t>eulL-ktjA-YlcF3vWeW7vA</t>
  </si>
  <si>
    <t>Burgers, Restaurants, Food, Coffee &amp; Tea, Fast Food</t>
  </si>
  <si>
    <t>148 N Euclid Ave</t>
  </si>
  <si>
    <t>7-Wlpm30PGCBIZtH2rOlew</t>
  </si>
  <si>
    <t>Thai, Restaurants, Chinese, Vietnamese</t>
  </si>
  <si>
    <t>Miss Saigon88</t>
  </si>
  <si>
    <t>v50-nvBCZNf7nCNbyUlQLw</t>
  </si>
  <si>
    <t>French, Restaurants, Creperies, Breakfast &amp; Brunch</t>
  </si>
  <si>
    <t>fcdPeNgNxcgYpz--01inLg</t>
  </si>
  <si>
    <t>Dosa Place</t>
  </si>
  <si>
    <t>zc0I2evMOPKNuu1mlm_tsQ</t>
  </si>
  <si>
    <t>Say Cheese! Pizza</t>
  </si>
  <si>
    <t>ks2q-AWMx_xD0FpVIBXRzQ</t>
  </si>
  <si>
    <t>Food, Creperies, Coffee &amp; Tea, Restaurants, Breakfast &amp; Brunch</t>
  </si>
  <si>
    <t>Cafe Americano</t>
  </si>
  <si>
    <t>SV8y4bp5HmgURzvUC2Rs9w</t>
  </si>
  <si>
    <t>5440 Centre Ave, Ste 3</t>
  </si>
  <si>
    <t>eC0iLr5RxpZPmJ6NGSqijA</t>
  </si>
  <si>
    <t>Umi</t>
  </si>
  <si>
    <t>3GuqcEYaF1d1WXcwOX5xPw</t>
  </si>
  <si>
    <t>Breakfast &amp; Brunch, Vegetarian, Restaurants, Food Trucks, American (Traditional), Coffee &amp; Tea, Cafes, Food</t>
  </si>
  <si>
    <t>Square Cafe</t>
  </si>
  <si>
    <t>1137 S Braddock Ave</t>
  </si>
  <si>
    <t>4hxptOMsA-c4XAlFBwl2Ww</t>
  </si>
  <si>
    <t>Pizza, American (New), Restaurants, Mexican</t>
  </si>
  <si>
    <t>Tavern In The Hills</t>
  </si>
  <si>
    <t>pctgz0-aQh6fdUF-vKaChA</t>
  </si>
  <si>
    <t>Franco's Pizza</t>
  </si>
  <si>
    <t>138 Unity Center Rd</t>
  </si>
  <si>
    <t>h14GmWZ8rXum9fXF__wt3w</t>
  </si>
  <si>
    <t>Lounges, Nightlife, Restaurants, American (New), Bars, Sports Bars</t>
  </si>
  <si>
    <t>SoHo</t>
  </si>
  <si>
    <t>203 Federal St</t>
  </si>
  <si>
    <t>X_XFv1Ct6cznxQy9u8Yzxw</t>
  </si>
  <si>
    <t>Arts &amp; Entertainment, Restaurants, Music Venues, Nightlife, American (Traditional), Bars</t>
  </si>
  <si>
    <t>The Smiling Moose</t>
  </si>
  <si>
    <t>1306 E Carson St</t>
  </si>
  <si>
    <t>OwGCYIwyIHPMfLVOT_7-1g</t>
  </si>
  <si>
    <t>Sandwiches, Restaurants, Mediterranean</t>
  </si>
  <si>
    <t>Sam's Sun Sandwich</t>
  </si>
  <si>
    <t>2616 Brownsville Rd</t>
  </si>
  <si>
    <t>DTTOMeTryTbegANpF4JPsA</t>
  </si>
  <si>
    <t>62b0uHo9uaSsoOMQFG55jg</t>
  </si>
  <si>
    <t>420 Smithfield St</t>
  </si>
  <si>
    <t>d_xS_AZ1uqO1XHY3V51qtA</t>
  </si>
  <si>
    <t>Delis, Restaurants, Cafes</t>
  </si>
  <si>
    <t>CafÃƒÂ© Raymond</t>
  </si>
  <si>
    <t>2103 Penn Ave</t>
  </si>
  <si>
    <t>pZLOwjgfDmoOcZJAta7aFA</t>
  </si>
  <si>
    <t>io Deli</t>
  </si>
  <si>
    <t>306 Beverly Rd</t>
  </si>
  <si>
    <t>hbYY29onGCq0yux6rFhb9w</t>
  </si>
  <si>
    <t>Breakfast &amp; Brunch, Food, Bagels, Soup, Restaurants, Salad, Sandwiches</t>
  </si>
  <si>
    <t>250 McHolme Dr</t>
  </si>
  <si>
    <t>MoFGxMGtYiofRi_iVIyApQ</t>
  </si>
  <si>
    <t>Grocery, Mediterranean, Restaurants, Food, Middle Eastern</t>
  </si>
  <si>
    <t>Mediterranean Market</t>
  </si>
  <si>
    <t>2021 E Carson St</t>
  </si>
  <si>
    <t>7WHwaWg5uW3oWsEXLzQ25w</t>
  </si>
  <si>
    <t>Grocery, Food, Restaurants, Sandwiches, Imported Food, Ethnic Food, Specialty Food</t>
  </si>
  <si>
    <t>Groceria Merante</t>
  </si>
  <si>
    <t>3454 Bates St</t>
  </si>
  <si>
    <t>9yRS-SNzkfmThx2JJoilwA</t>
  </si>
  <si>
    <t>Tea Rooms, Restaurants, Food, Coffee &amp; Tea, Vegetarian</t>
  </si>
  <si>
    <t>Dobra Tea</t>
  </si>
  <si>
    <t>1937 Murray Ave</t>
  </si>
  <si>
    <t>RcpBuH5LHNj1v9MT1JK22w</t>
  </si>
  <si>
    <t>Soul Food, Event Planning &amp; Services, Food, Caterers, Chicken Wings, Convenience Stores, Restaurants, Barbeque, American (Traditional)</t>
  </si>
  <si>
    <t>Quik-It Chicken</t>
  </si>
  <si>
    <t>820 Pennsylvania Ave</t>
  </si>
  <si>
    <t>BY1_pf7FHUycHOwYEenDlQ</t>
  </si>
  <si>
    <t>Restaurants, Noodles, Soup, Chinese</t>
  </si>
  <si>
    <t>Hunan's Palace</t>
  </si>
  <si>
    <t>2360 Ardmore Blvd</t>
  </si>
  <si>
    <t>Z72HJNd2OwCOHa9XMD_REg</t>
  </si>
  <si>
    <t>3417 Forbes Ave</t>
  </si>
  <si>
    <t>I_vzg2V92U7wdD61tvGtpg</t>
  </si>
  <si>
    <t>The Tong Garden</t>
  </si>
  <si>
    <t>956 Brookline Blvd</t>
  </si>
  <si>
    <t>jwoEWuiXruWHUSB8DeesKA</t>
  </si>
  <si>
    <t>Korean, Restaurants</t>
  </si>
  <si>
    <t>Dasonii Korean Bistro</t>
  </si>
  <si>
    <t>w1YYythIAHHUXR_HrbFtew</t>
  </si>
  <si>
    <t>Cocktail Bars, Nightlife, Bars, Restaurants, Pop-Up Restaurants</t>
  </si>
  <si>
    <t>Zombie Den: Bar Of The Dead</t>
  </si>
  <si>
    <t>20 Market Square</t>
  </si>
  <si>
    <t>e1UamnCdP9DdJRF6kOk80g</t>
  </si>
  <si>
    <t>Sushi Bars, Restaurants, Asian Fusion</t>
  </si>
  <si>
    <t>TMD</t>
  </si>
  <si>
    <t>461 Melwood Ave</t>
  </si>
  <si>
    <t>i851zomQeoY7gbrkFcvM7Q</t>
  </si>
  <si>
    <t>American (New), Diners, American (Traditional), Restaurants, Breakfast &amp; Brunch</t>
  </si>
  <si>
    <t>2701 Freeport Rd</t>
  </si>
  <si>
    <t>7pyBqVHSq9uE3aODO_hhTA</t>
  </si>
  <si>
    <t>Souper Bowl</t>
  </si>
  <si>
    <t>910 5th Ave</t>
  </si>
  <si>
    <t>Y9iuqd6YoGmeJYh16BlLXw</t>
  </si>
  <si>
    <t>American (Traditional), Fast Food, Restaurants</t>
  </si>
  <si>
    <t>4067 Penn Ave</t>
  </si>
  <si>
    <t>eDuQMHorChFKUu1Au-xhjg</t>
  </si>
  <si>
    <t>Restaurants, Pizza, Nightlife, Bars</t>
  </si>
  <si>
    <t>Doc's Place</t>
  </si>
  <si>
    <t>5442 Walnut St</t>
  </si>
  <si>
    <t>8VFjKdMN1pJR7Ze3joXIHA</t>
  </si>
  <si>
    <t>Rowdy BBQ</t>
  </si>
  <si>
    <t>3900 Saw Mill Run Blvd</t>
  </si>
  <si>
    <t>xDW6OxiMFJgKNmi1Ex5wOg</t>
  </si>
  <si>
    <t>American (New), Soul Food, Restaurants</t>
  </si>
  <si>
    <t>Chris' Taste of Home</t>
  </si>
  <si>
    <t>BpU9-wcOWyKcVtkvnfRazA</t>
  </si>
  <si>
    <t>Wok &amp; Grill</t>
  </si>
  <si>
    <t>_X8Hh_lBn11s2rhEUyhrUg</t>
  </si>
  <si>
    <t>Nightlife, Sports Bars, Restaurants, Bars, American (Traditional)</t>
  </si>
  <si>
    <t>Monico's Bar &amp; Grill</t>
  </si>
  <si>
    <t>3435 Universal Rd</t>
  </si>
  <si>
    <t>9_B3nY3KlHW1WDvOeMk9GA</t>
  </si>
  <si>
    <t>Restaurants, Italian, Pizza, Salad</t>
  </si>
  <si>
    <t>The Other Place</t>
  </si>
  <si>
    <t>2500 Swallow Hill Rd</t>
  </si>
  <si>
    <t>DXP3MbE8srQITLlAuS45aQ</t>
  </si>
  <si>
    <t>Restaurants, Chinese, Szechuan</t>
  </si>
  <si>
    <t>Hunan Bar</t>
  </si>
  <si>
    <t>23gakZ_NlN3K0SqOBybwug</t>
  </si>
  <si>
    <t>American (New), Restaurants, Vegetarian</t>
  </si>
  <si>
    <t>Root 174</t>
  </si>
  <si>
    <t>LS4qdaBXNj7Q79nuMNaZ9w</t>
  </si>
  <si>
    <t>Food, Salad, Sandwiches, Breakfast &amp; Brunch, Restaurants, Cafes, Coffee &amp; Tea</t>
  </si>
  <si>
    <t>524 Grant Ave</t>
  </si>
  <si>
    <t>2d9yZ11uVa83OEQWxe4vlQ</t>
  </si>
  <si>
    <t>Conicella Pizza</t>
  </si>
  <si>
    <t>422 Greenfield Ave</t>
  </si>
  <si>
    <t>wjLgM9Ybe5shoUPRrGMmsQ</t>
  </si>
  <si>
    <t>Breakfast &amp; Brunch, Food, Restaurants, Thai, Coffee &amp; Tea, American (New)</t>
  </si>
  <si>
    <t>Coca Cafe</t>
  </si>
  <si>
    <t>3811 Butler St</t>
  </si>
  <si>
    <t>usFNFsaaHFxEbnBO4FaFHA</t>
  </si>
  <si>
    <t>Piccolo Forno</t>
  </si>
  <si>
    <t>3801 Butler St</t>
  </si>
  <si>
    <t>kt5WJ7JdB9xxuXnMoABQfQ</t>
  </si>
  <si>
    <t>Event Planning &amp; Services, Delis, Caterers, Sandwiches, Restaurants</t>
  </si>
  <si>
    <t>The Real McCoy Sandwich Shop</t>
  </si>
  <si>
    <t>1301 E Carson St</t>
  </si>
  <si>
    <t>rkGuqKxFOvxhAKaDeFVd4g</t>
  </si>
  <si>
    <t>1911 S Braddock Ave</t>
  </si>
  <si>
    <t>Tc-u6Gfbe78r6cUqWi0AzQ</t>
  </si>
  <si>
    <t>Pizzarella</t>
  </si>
  <si>
    <t>ohHDnTYRjHfp8yCjqT88UQ</t>
  </si>
  <si>
    <t>Ice Cream &amp; Frozen Yogurt, Burgers, Restaurants, Food, Sandwiches, American (Traditional)</t>
  </si>
  <si>
    <t>Crafton Ice Cream Delite</t>
  </si>
  <si>
    <t>38 W Steuben St</t>
  </si>
  <si>
    <t>FG8atOE15c8IoQH_hEb9zA</t>
  </si>
  <si>
    <t>Food, Coffee &amp; Tea, Restaurants, Creperies, Breakfast &amp; Brunch</t>
  </si>
  <si>
    <t>Geppetto Cafe</t>
  </si>
  <si>
    <t>4121 Butler St</t>
  </si>
  <si>
    <t>DId2r0a4C2ixCbuLApxx8g</t>
  </si>
  <si>
    <t>Japanese, Restaurants, Chinese</t>
  </si>
  <si>
    <t>Chopstix</t>
  </si>
  <si>
    <t>o2UAUbXSNRrqleXtSMLniA</t>
  </si>
  <si>
    <t>Forever Rosemary</t>
  </si>
  <si>
    <t>prZHC3I8JUI98n9iJVvDbw</t>
  </si>
  <si>
    <t>3618 Forbes Avenue</t>
  </si>
  <si>
    <t>F8_WdEVmUFTU1pTHBgikIg</t>
  </si>
  <si>
    <t>Coffee &amp; Tea, Restaurants, Food, Breakfast &amp; Brunch, Sandwiches</t>
  </si>
  <si>
    <t>gVr5mL60az3_rxjJwRDN9w</t>
  </si>
  <si>
    <t>Blue Grotto Pizza</t>
  </si>
  <si>
    <t>slaDx1ywy45wF7GgEp6e8g</t>
  </si>
  <si>
    <t>Food, Bakeries, Cupcakes, Restaurants</t>
  </si>
  <si>
    <t>Happiness Is Homemade</t>
  </si>
  <si>
    <t>208 Brownsville Rd</t>
  </si>
  <si>
    <t>H6skMpg_g-sOrfTQf_Q5LQ</t>
  </si>
  <si>
    <t>Sushi Bars, Thai, Japanese, Restaurants</t>
  </si>
  <si>
    <t>Thai Hana</t>
  </si>
  <si>
    <t>jHMQDeI-DwVl3Rth9ycxdw</t>
  </si>
  <si>
    <t>Richard Chen</t>
  </si>
  <si>
    <t>5996 Penn Circle South, Suite D-101</t>
  </si>
  <si>
    <t>SXR6JtrHX518bEWLcqWkXA</t>
  </si>
  <si>
    <t>Restaurants, Hot Dogs, Food Trucks, Food</t>
  </si>
  <si>
    <t>Joe's Doghouse</t>
  </si>
  <si>
    <t>Corner Of Tech St And Margaret Morrison St</t>
  </si>
  <si>
    <t>MKd_EUD0PG__cOfIbeqYAg</t>
  </si>
  <si>
    <t>Sushi Bars, Food, Coffee &amp; Tea, Restaurants</t>
  </si>
  <si>
    <t>TÃƒÂ© CafÃƒÂ©</t>
  </si>
  <si>
    <t>2000 Murray Ave</t>
  </si>
  <si>
    <t>Restaurants, Food Trucks, Food, Barbeque</t>
  </si>
  <si>
    <t>Man Beast BBQ</t>
  </si>
  <si>
    <t>gvL5fxzdrRxkS1xnis5RPA</t>
  </si>
  <si>
    <t>Typhoon</t>
  </si>
  <si>
    <t>C1ufbUim6sLOn7rKAz8kBQ</t>
  </si>
  <si>
    <t>Nightlife, Restaurants, Bars, Dive Bars</t>
  </si>
  <si>
    <t>Seven Cee's</t>
  </si>
  <si>
    <t>4741 Liberty Ave</t>
  </si>
  <si>
    <t>SvkZohb7zezIqef6oE14rA</t>
  </si>
  <si>
    <t>RR 910</t>
  </si>
  <si>
    <t>e80gyXsUZ7__eAuW7JEj_A</t>
  </si>
  <si>
    <t>Pizza, Desserts, Restaurants, Food, Italian, Salad</t>
  </si>
  <si>
    <t>Antonio's Pizzeria</t>
  </si>
  <si>
    <t>758 Brookline Blvd</t>
  </si>
  <si>
    <t>HjCCyjPiqg_cRMdwEzODUQ</t>
  </si>
  <si>
    <t>Bars, Chicken Wings, Nightlife, Restaurants, Education, Colleges &amp; Universities, American (Traditional)</t>
  </si>
  <si>
    <t>Ugly Dog Saloon</t>
  </si>
  <si>
    <t>E_IIblD1Vu9YSywrvs4vBw</t>
  </si>
  <si>
    <t>mNMVqHsgJq6YErFPfaUlig</t>
  </si>
  <si>
    <t>Bakeries, Sandwiches, Delis, Food, Restaurants</t>
  </si>
  <si>
    <t>707 Grant St</t>
  </si>
  <si>
    <t>zAzRDBl14oqhATB5KCMhXg</t>
  </si>
  <si>
    <t>Frankie's Extra Long</t>
  </si>
  <si>
    <t>3535 Butler St</t>
  </si>
  <si>
    <t>53-Y3Jw20QV6TeDkRjSyJQ</t>
  </si>
  <si>
    <t>Pizza, Food, Restaurants, Sandwiches, Juice Bars &amp; Smoothies</t>
  </si>
  <si>
    <t>6 Bailey Ave</t>
  </si>
  <si>
    <t>GnFvPN1sCMbho2ItzuPemw</t>
  </si>
  <si>
    <t>1001 E Carson St</t>
  </si>
  <si>
    <t>0PCBt3JKD6IooicImKNBzA</t>
  </si>
  <si>
    <t>Thai, Desserts, Restaurants, Seafood, Vegan, Food</t>
  </si>
  <si>
    <t>903 Penn Ave</t>
  </si>
  <si>
    <t>N0L1C5K9ViBD58vig5sahw</t>
  </si>
  <si>
    <t>Little China</t>
  </si>
  <si>
    <t>CvXyhwQTxonPR77NjOh5yg</t>
  </si>
  <si>
    <t>Nightlife, Breakfast &amp; Brunch, Lounges, Restaurants, Bars</t>
  </si>
  <si>
    <t>Uptown</t>
  </si>
  <si>
    <t>C6P4wUTuDOQNwCL_QrYapw</t>
  </si>
  <si>
    <t>Cafe Lola</t>
  </si>
  <si>
    <t>2384 Golden Mile Hwy</t>
  </si>
  <si>
    <t>pv__91LMXAbNX50NgeO55g</t>
  </si>
  <si>
    <t>Bakeries, Desserts, Restaurants, Food, Korean</t>
  </si>
  <si>
    <t>Sumi's Cakery</t>
  </si>
  <si>
    <t>2119 Murray Ave</t>
  </si>
  <si>
    <t>wDWKQR2psTIj4BZ0mf01Gg</t>
  </si>
  <si>
    <t>Willow Restaurant</t>
  </si>
  <si>
    <t>634 Camp Horne Rd</t>
  </si>
  <si>
    <t>0PtNw7RgF4JFcPyP-LqZ_Q</t>
  </si>
  <si>
    <t>Restaurants, American (New), Pizza, Sandwiches, Breakfast &amp; Brunch, Cafeteria</t>
  </si>
  <si>
    <t>jxNdYI9sQmTkqfpTsmhGtg</t>
  </si>
  <si>
    <t>Panther Hollow Inn</t>
  </si>
  <si>
    <t>4611 Forbes Ave</t>
  </si>
  <si>
    <t>ybd0nXoNpGIlkL9bRChs3A</t>
  </si>
  <si>
    <t>Food, Restaurants, Kosher, Bakeries</t>
  </si>
  <si>
    <t>Sweet Tammy's</t>
  </si>
  <si>
    <t>6595 Hamilton Ave</t>
  </si>
  <si>
    <t>FB33W3bwg3ADcIJOcLLz0w</t>
  </si>
  <si>
    <t>Sports Bars, Sandwiches, Restaurants, Nightlife, Bars</t>
  </si>
  <si>
    <t>Pittsburgh Sports Bar &amp; Grill</t>
  </si>
  <si>
    <t>3630 Library Rd</t>
  </si>
  <si>
    <t>QIELh9m9aefbDtIL_mOsMw</t>
  </si>
  <si>
    <t>Vicky's Mexican Restaurant</t>
  </si>
  <si>
    <t>111 Smitfield St</t>
  </si>
  <si>
    <t>vIyxu2PK48X8GPJ7B-z9wg</t>
  </si>
  <si>
    <t>The Pickle Barrel</t>
  </si>
  <si>
    <t>iuOK9_SBaJ5y0xzu4Fy4IQ</t>
  </si>
  <si>
    <t>Food, Pizza, Cideries, Restaurants</t>
  </si>
  <si>
    <t>Threadbare Cider House</t>
  </si>
  <si>
    <t>1291 Spring Garden Ave</t>
  </si>
  <si>
    <t>tUeYSmiIQn0WG9LN-qRLKg</t>
  </si>
  <si>
    <t>Sandwiches, Italian, American (Traditional), Restaurants, Pizza</t>
  </si>
  <si>
    <t>R&amp;B's Pizza Place</t>
  </si>
  <si>
    <t>107 Smithfield St</t>
  </si>
  <si>
    <t>oCvxJBOs-Mbg-4oanPO7lQ</t>
  </si>
  <si>
    <t>Fast Food, Greek, Breakfast &amp; Brunch, Mediterranean, Sandwiches, Restaurants</t>
  </si>
  <si>
    <t>2763 East Carson St</t>
  </si>
  <si>
    <t>aXWN4oH8W-MVDchWia084g</t>
  </si>
  <si>
    <t>American (New), Nightlife, Restaurants, Cocktail Bars, Wine Bars, Bars</t>
  </si>
  <si>
    <t>Nine on Nine</t>
  </si>
  <si>
    <t>900 Penn Ave</t>
  </si>
  <si>
    <t>KTuop99F-mrV5_1haXClbQ</t>
  </si>
  <si>
    <t>Royal Place Restaurant</t>
  </si>
  <si>
    <t>2660 Library Rd</t>
  </si>
  <si>
    <t>5b8x_kMnx_r_1_UOyD_poQ</t>
  </si>
  <si>
    <t>Crafton Pizzeria</t>
  </si>
  <si>
    <t>98 Noble Ave</t>
  </si>
  <si>
    <t>LrSzTJm9xsub2h-It9DY9w</t>
  </si>
  <si>
    <t>El Gallo De Oro</t>
  </si>
  <si>
    <t>F0-xC1-8aVxF-VdAcdouhA</t>
  </si>
  <si>
    <t>Restaurants, Japanese, Fast Food</t>
  </si>
  <si>
    <t>Hibachi Express</t>
  </si>
  <si>
    <t>0FSH-6mRF7DKjeI98snxrA</t>
  </si>
  <si>
    <t>Asian Fusion, Comfort Food, Restaurants, Noodles, Do-It-Yourself Food, Food, Italian</t>
  </si>
  <si>
    <t>301 S Hills Village Dr</t>
  </si>
  <si>
    <t>irsqHZvvMdwK5iM3mFZ5Pg</t>
  </si>
  <si>
    <t>Wine Bars, American (New), Bars, Restaurants, Nightlife</t>
  </si>
  <si>
    <t>Steelhead Brasserie and Wine Bar</t>
  </si>
  <si>
    <t>112 Washington Pl</t>
  </si>
  <si>
    <t>ukB1l0o0MfPtE5GoUzJnIg</t>
  </si>
  <si>
    <t>The Garden Cafe</t>
  </si>
  <si>
    <t>Restaurants, Wineries, Italian, Wine Bars, Bars, Arts &amp; Entertainment, Modern European, Food, Desserts, Nightlife</t>
  </si>
  <si>
    <t>Senti Restaurant</t>
  </si>
  <si>
    <t>3473 Butler St</t>
  </si>
  <si>
    <t>d0aLkD3VQ3sijckod-oSDg</t>
  </si>
  <si>
    <t>Tex-Mex, Mexican, Bars, Beer Bar, Restaurants, Nightlife</t>
  </si>
  <si>
    <t>3n_s_8CndMK7jfZsPK2INg</t>
  </si>
  <si>
    <t>Mrh6EoDcsDWmvWBPmK7ncw</t>
  </si>
  <si>
    <t>Pickles Pizza &amp; Sandwich Emporium</t>
  </si>
  <si>
    <t>424 E Ohio St</t>
  </si>
  <si>
    <t>mnI_n7A8sxgOSmtgI3wzQQ</t>
  </si>
  <si>
    <t>Food, Restaurants, Fitness &amp; Instruction, Active Life, Cafes, Yoga, Salad, Vegetarian, Vegan, Gluten-Free, Sandwiches, Juice Bars &amp; Smoothies</t>
  </si>
  <si>
    <t>Amazing Cafe</t>
  </si>
  <si>
    <t>FnZZzxaiW3j78AlAJ4OnFg</t>
  </si>
  <si>
    <t>Allegheny Sandwich Shoppe</t>
  </si>
  <si>
    <t>822 Western Ave</t>
  </si>
  <si>
    <t>LrEjsBYlqXdig7x5DFz0ow</t>
  </si>
  <si>
    <t>Restaurants, Food, Argentine, Food Trucks</t>
  </si>
  <si>
    <t>Tango Food Truck</t>
  </si>
  <si>
    <t>E Carson St</t>
  </si>
  <si>
    <t>lGshF26IzmWtvrCN3bfsew</t>
  </si>
  <si>
    <t>Restaurants, Sandwiches, Breakfast &amp; Brunch, Food, Coffee &amp; Tea</t>
  </si>
  <si>
    <t>CafÃƒÂ© 412</t>
  </si>
  <si>
    <t>q0n4I-zqiI47xispOqc1lA</t>
  </si>
  <si>
    <t>Creperies, Breakfast &amp; Brunch, Cafes, Italian, Restaurants, Coffee &amp; Tea, Food, French, Bagels</t>
  </si>
  <si>
    <t>Caffe Mona La Bistro</t>
  </si>
  <si>
    <t>pHSHm72bwR09Mt022CVvrw</t>
  </si>
  <si>
    <t>Taj Mahal</t>
  </si>
  <si>
    <t>7795 McKnight Rd</t>
  </si>
  <si>
    <t>ev4frBEgYDHiNZPcdYAIbA</t>
  </si>
  <si>
    <t>Burgers, Food, Fast Food, Coffee &amp; Tea, Restaurants</t>
  </si>
  <si>
    <t>250 Summit Park Dr</t>
  </si>
  <si>
    <t>sCODuHnzNW_s4BuxtqTCBA</t>
  </si>
  <si>
    <t>American (New), American (Traditional), Bars, Restaurants, Nightlife</t>
  </si>
  <si>
    <t>Hard Rock Cafe</t>
  </si>
  <si>
    <t>230 W Station Sq Dr</t>
  </si>
  <si>
    <t>RPe_cSOxq_qkG-LbxBlOyw</t>
  </si>
  <si>
    <t>Hyde Park Prime Steakhouse</t>
  </si>
  <si>
    <t>247 N Shore Dr</t>
  </si>
  <si>
    <t>4KBLVr3PYilTUUWj3DWwVw</t>
  </si>
  <si>
    <t>Tandoor Indian Grill</t>
  </si>
  <si>
    <t>4519 Centre Ave</t>
  </si>
  <si>
    <t>gcYwWmzzzC4raKZ5FoTsNw</t>
  </si>
  <si>
    <t>231 Commercial Ave</t>
  </si>
  <si>
    <t>Bagels, Food, Sandwiches, Restaurants, Bakeries, Breakfast &amp; Brunch</t>
  </si>
  <si>
    <t>5217 Clairton Blvd</t>
  </si>
  <si>
    <t>8xrwjD-Udv7cm_emVcVo3A</t>
  </si>
  <si>
    <t>Italian, Pizza, Caterers, Event Planning &amp; Services, Salad, Food, Food Delivery Services, Restaurants</t>
  </si>
  <si>
    <t>123 6th St</t>
  </si>
  <si>
    <t>The Tin Angel</t>
  </si>
  <si>
    <t>GbcFCQp9VmgMaW_jaMAq_Q</t>
  </si>
  <si>
    <t>Spaghetti Warehouse</t>
  </si>
  <si>
    <t>2601 Smallman St</t>
  </si>
  <si>
    <t>ZYL14FvffzTKU9BpXQt79Q</t>
  </si>
  <si>
    <t>Salad, Burgers, American (New), Restaurants</t>
  </si>
  <si>
    <t>292 Forbes Ave</t>
  </si>
  <si>
    <t>trioKWMz0NsM9v4cqmUQkg</t>
  </si>
  <si>
    <t>1019 Mount Royal Blvd</t>
  </si>
  <si>
    <t>eEeKRTNSHfbpG6E9VDnJDw</t>
  </si>
  <si>
    <t>Pizza, Kosher, Restaurants</t>
  </si>
  <si>
    <t>Milky Way</t>
  </si>
  <si>
    <t>2120 Murray Ave</t>
  </si>
  <si>
    <t>erx8tQ0Wdc5YM0FddaKqKA</t>
  </si>
  <si>
    <t>Cocktail Bars, Bars, Restaurants, Mexican, Nightlife</t>
  </si>
  <si>
    <t>Tres Rios</t>
  </si>
  <si>
    <t>T4PmlxuoVDYekaqsFEG9RA</t>
  </si>
  <si>
    <t>Salad, Restaurants, Wine Bars, Bars, Italian, Nightlife</t>
  </si>
  <si>
    <t>6000 Robinson Center Dr</t>
  </si>
  <si>
    <t>GDWZh4LMDiUXHcZV3XJRww</t>
  </si>
  <si>
    <t>Steakhouses, Restaurants, American (Traditional), Cheesesteaks</t>
  </si>
  <si>
    <t>The Groove Cheesesteak Co</t>
  </si>
  <si>
    <t>2000 E Carson St</t>
  </si>
  <si>
    <t>rKh_Nl5edIB9AevqnDmO6g</t>
  </si>
  <si>
    <t>Fish &amp; Chips, Sports Bars, American (New), Nightlife, Restaurants, Bars</t>
  </si>
  <si>
    <t>Fireside Inn</t>
  </si>
  <si>
    <t>4214 Steubenville Pike</t>
  </si>
  <si>
    <t>AThUjgEmgHgVdD242hjsAg</t>
  </si>
  <si>
    <t>Bars, American (Traditional), Restaurants, American (New), Nightlife</t>
  </si>
  <si>
    <t>Houlihan's Mt. Lebanon</t>
  </si>
  <si>
    <t>av_-ePHJwSSqMtTQbNoL7g</t>
  </si>
  <si>
    <t>Food, Restaurants, Do-It-Yourself Food, Beer, Wine &amp; Spirits, Mongolian, Asian Fusion</t>
  </si>
  <si>
    <t>BD's Mongolian Grill</t>
  </si>
  <si>
    <t>428 S 27th St</t>
  </si>
  <si>
    <t>K204Wr1Ai89USllo7KjI7w</t>
  </si>
  <si>
    <t>The Cafe</t>
  </si>
  <si>
    <t>FChZqoNWuLZr5Lj28Cq7yg</t>
  </si>
  <si>
    <t>Restaurants, Cafes, French, Breakfast &amp; Brunch</t>
  </si>
  <si>
    <t>Tartine</t>
  </si>
  <si>
    <t>p7v-DfJEtZI2WUvLP-UO-g</t>
  </si>
  <si>
    <t>Geno's Restaurant</t>
  </si>
  <si>
    <t>m59upQj5qUn-termmtxTYQ</t>
  </si>
  <si>
    <t>Waffles, Food Trucks, Comfort Food, Chicken Shop, Restaurants, Food, Southern</t>
  </si>
  <si>
    <t>The Coop Chicken and Waffles</t>
  </si>
  <si>
    <t>_IAxXD30S4ODGh92m8tLJw</t>
  </si>
  <si>
    <t>6004 Penn Cir S</t>
  </si>
  <si>
    <t>0AoLth4u_V4mOx8Az_AIYQ</t>
  </si>
  <si>
    <t>Hot Dogs, Fast Food, Restaurants, Burgers</t>
  </si>
  <si>
    <t>Brighton Hot Dog Shoppe</t>
  </si>
  <si>
    <t>2401 Noblestown Rd</t>
  </si>
  <si>
    <t>XgkTmVrlHHO5g96AfOAfpw</t>
  </si>
  <si>
    <t>Le Lyonnais</t>
  </si>
  <si>
    <t>gB7X5o33o6W_rAGgHunSCA</t>
  </si>
  <si>
    <t>Restaurants, Fast Food, Coffee &amp; Tea, Food, Burgers</t>
  </si>
  <si>
    <t>4849 Mcknight Rd</t>
  </si>
  <si>
    <t>LXlKLpKEIQt5thh_pBdbIA</t>
  </si>
  <si>
    <t>Nightlife, American (Traditional), Restaurants, Sandwiches, Bars</t>
  </si>
  <si>
    <t>Brik Room</t>
  </si>
  <si>
    <t>1209 E Carson</t>
  </si>
  <si>
    <t>P9LAh1yahQqntqTlXIVPnw</t>
  </si>
  <si>
    <t>Italian, Restaurants, Food, Pizza</t>
  </si>
  <si>
    <t>Mamma Mia Pizzeria</t>
  </si>
  <si>
    <t>KDiUpLL46cgoiWIM_UyR6g</t>
  </si>
  <si>
    <t>Restaurants, Sushi Bars, Steakhouses, Japanese</t>
  </si>
  <si>
    <t>Sushi Bomb</t>
  </si>
  <si>
    <t>vEtE2CTl3rrDpTC20RUisQ</t>
  </si>
  <si>
    <t>Bars, Chicken Wings, Nightlife, Diners, Restaurants, American (New), Chicken Shop</t>
  </si>
  <si>
    <t>Wings Over Pittsburgh</t>
  </si>
  <si>
    <t>2525 E Carson St</t>
  </si>
  <si>
    <t>g93ECYDp2JB85zSVLWgK_Q</t>
  </si>
  <si>
    <t>Thin Man Sandwich Shop</t>
  </si>
  <si>
    <t>50 21st St</t>
  </si>
  <si>
    <t>GvLgdEWhVWBahZsFiGYTgQ</t>
  </si>
  <si>
    <t>Lunardi's Ristorante</t>
  </si>
  <si>
    <t>KqZRO_ZdCQ40fGrMsUow7Q</t>
  </si>
  <si>
    <t>Restaurants, Event Planning &amp; Services, Nightlife, Venues &amp; Event Spaces, Pizza, Music Venues, Bars, Arts &amp; Entertainment, Sandwiches</t>
  </si>
  <si>
    <t>Linden Grove</t>
  </si>
  <si>
    <t>1100 Grove Rd</t>
  </si>
  <si>
    <t>5z_9_D5a-tgkmPUps7Utow</t>
  </si>
  <si>
    <t>Winner's Fast Food</t>
  </si>
  <si>
    <t>zZ7KDK3GAkBUZzsaqB1A4Q</t>
  </si>
  <si>
    <t>Noodles, Vegetarian, Restaurants, Salad, American (Traditional), Vegan</t>
  </si>
  <si>
    <t>honeygrow</t>
  </si>
  <si>
    <t>105 S Highland Ave</t>
  </si>
  <si>
    <t>88wGoNiuZlUxpyeUhwb5hQ</t>
  </si>
  <si>
    <t>Luke and Mike's Frontporch</t>
  </si>
  <si>
    <t>235 Commercial Ave</t>
  </si>
  <si>
    <t>izOvku5li7kyzY76UzLP2g</t>
  </si>
  <si>
    <t>f7M0QRKGW4jh6_zYDqFUxA</t>
  </si>
  <si>
    <t>Wheel House</t>
  </si>
  <si>
    <t>qryLVEytUXVcNX8A6JLzsA</t>
  </si>
  <si>
    <t>Cajun/Creole, Restaurants, Event Planning &amp; Services, Cocktail Bars, Bars, Caterers, Nightlife, Southern</t>
  </si>
  <si>
    <t>Sugar and Smoke</t>
  </si>
  <si>
    <t>TU2oECyx4VhCnzRzGzOlTg</t>
  </si>
  <si>
    <t>Chicken Wings, Italian, Pasta Shops, Specialty Food, Pizza, Food, Restaurants</t>
  </si>
  <si>
    <t>Vincenzo's Pizza &amp; Pasta</t>
  </si>
  <si>
    <t>2885 W Liberty Ave</t>
  </si>
  <si>
    <t>ay8R8W91B7Mm-dv4O6apEg</t>
  </si>
  <si>
    <t>3912 Perrysville Ave</t>
  </si>
  <si>
    <t>wKlH90YB5RYFvJ8N3pstVw</t>
  </si>
  <si>
    <t>American (New), Seafood, Restaurants, Bars, Nightlife, Cocktail Bars</t>
  </si>
  <si>
    <t>Union Standard</t>
  </si>
  <si>
    <t>524 William Penn Pl</t>
  </si>
  <si>
    <t>u7CxxEzx8hvjoJ8onN4zTg</t>
  </si>
  <si>
    <t>Restaurants, Airports, Fast Food, Hotels &amp; Travel</t>
  </si>
  <si>
    <t>5H1gvB-TB_sHWasXdS64Uw</t>
  </si>
  <si>
    <t>Restaurants, Food, Specialty Food, Coffee &amp; Tea, Cafes, Tea Rooms, Coffee Roasteries</t>
  </si>
  <si>
    <t>Prestogeorge Coffee &amp; Tea</t>
  </si>
  <si>
    <t>1719 Penn Ave</t>
  </si>
  <si>
    <t>4jswtizEiT3-ZMauIzWXxg</t>
  </si>
  <si>
    <t>Breakfast &amp; Brunch, Restaurants, American (New), American (Traditional), Burgers</t>
  </si>
  <si>
    <t>4656 Browns Hill Rd</t>
  </si>
  <si>
    <t>2RUfgq0oH5QOYENT6xzO4A</t>
  </si>
  <si>
    <t>Franco's Trattoria</t>
  </si>
  <si>
    <t>dCBAubKHRb2hVuAoRhEQMQ</t>
  </si>
  <si>
    <t>Restaurants, Coffee &amp; Tea, Vegan, Food</t>
  </si>
  <si>
    <t>Liliput Coffee and Cafe</t>
  </si>
  <si>
    <t>477 Melwood Ave</t>
  </si>
  <si>
    <t>p2Nr4d7-MS82opzRCNkbNA</t>
  </si>
  <si>
    <t>Fast Food, Mexican, Restaurants, Event Planning &amp; Services, Caterers</t>
  </si>
  <si>
    <t>601 Grant St</t>
  </si>
  <si>
    <t>BMR_AsSBzTQHqW-SQabI4w</t>
  </si>
  <si>
    <t>American (New), Salad, Italian, Pizza, Restaurants, Gluten-Free, American (Traditional)</t>
  </si>
  <si>
    <t>California Pizza Kitchen at Ross Park</t>
  </si>
  <si>
    <t>1000 Ross Park Mall Dr, Ross Park</t>
  </si>
  <si>
    <t>mKcCsAUf0lDtL8qWfQCDqg</t>
  </si>
  <si>
    <t>Food Delivery Services, Food, Beer, Wine &amp; Spirits, Desserts, Restaurants, Ice Cream &amp; Frozen Yogurt, Pizza</t>
  </si>
  <si>
    <t>Rialto Pizza</t>
  </si>
  <si>
    <t>623 Greenfield Ave</t>
  </si>
  <si>
    <t>DzVv_g6xsLbMh66HtiZK3A</t>
  </si>
  <si>
    <t>Coal Hill Steakhouse at Grandview Saloon</t>
  </si>
  <si>
    <t>cpRiIxqubDa4JV58ZR7-cg</t>
  </si>
  <si>
    <t>Latin American, Restaurants, Steakhouses</t>
  </si>
  <si>
    <t>WymLKyWx3t9V3VfI7itMtA</t>
  </si>
  <si>
    <t>Basque, Spanish, Tapas Bars, Restaurants</t>
  </si>
  <si>
    <t>Ibiza Tapas &amp; Wine Bar</t>
  </si>
  <si>
    <t>_Qund-w4OI9StNm8P-rk1w</t>
  </si>
  <si>
    <t>Burgers, Restaurants, Sandwiches, Food, American (Traditional)</t>
  </si>
  <si>
    <t>Hundred Wood</t>
  </si>
  <si>
    <t>gaDAgdozCoSRN23WU4PolA</t>
  </si>
  <si>
    <t>Restaurants, Food, Sandwiches, Argentine, Food Trucks, Latin American</t>
  </si>
  <si>
    <t>Lomito</t>
  </si>
  <si>
    <t>Restaurants, Delis, Sandwiches, Fast Food, Food</t>
  </si>
  <si>
    <t>1935 Settlers Ridge Center Dr</t>
  </si>
  <si>
    <t>aal0SiXVRmUoM20A1m7xDw</t>
  </si>
  <si>
    <t>Restaurants, Italian, Gastropubs</t>
  </si>
  <si>
    <t>Alchemy N' Ale</t>
  </si>
  <si>
    <t>VVTrM-J-3qSQv0mGJF5fbQ</t>
  </si>
  <si>
    <t>Bars, Nightlife, Restaurants, American (Traditional), Dance Clubs</t>
  </si>
  <si>
    <t>The Backdraft Bar &amp; Grille</t>
  </si>
  <si>
    <t>3049 Churchview Ave</t>
  </si>
  <si>
    <t>Jk9rocVjl9UTK7uArNBgrA</t>
  </si>
  <si>
    <t>Restaurants, American (Traditional), Burgers</t>
  </si>
  <si>
    <t>City Grill</t>
  </si>
  <si>
    <t>qVr2m3R3VsMmgkrFT3bPuw</t>
  </si>
  <si>
    <t>Delis, Restaurants, Sandwiches</t>
  </si>
  <si>
    <t>Cupka Richd Deli</t>
  </si>
  <si>
    <t>48 S 27th St</t>
  </si>
  <si>
    <t>ROeCBwuy5lfHUo8v0SMwSg</t>
  </si>
  <si>
    <t>Restaurants, Food, Pizza</t>
  </si>
  <si>
    <t>Stone Neapolitan Pizzeria</t>
  </si>
  <si>
    <t>300 Liberty Ave, Ste 100</t>
  </si>
  <si>
    <t>RC8NJlX3X2Eo240PU5zJWA</t>
  </si>
  <si>
    <t>Restaurants, Italian, Nightlife, Bars</t>
  </si>
  <si>
    <t>Pleasure Bar and Restaurant</t>
  </si>
  <si>
    <t>4729 Liberty Ave</t>
  </si>
  <si>
    <t>_dqtEOTelXt9tfmP_9Ar6w</t>
  </si>
  <si>
    <t>Caterers, Distilleries, Event Planning &amp; Services, Sandwiches, Food, Delis, Restaurants</t>
  </si>
  <si>
    <t>Wesley's Delicatessen &amp; Catering</t>
  </si>
  <si>
    <t>307 Fourth Ave</t>
  </si>
  <si>
    <t>hQ551hmTLbxTuMRXYGRJJg</t>
  </si>
  <si>
    <t>Restaurants, Barbeque, American (Traditional), Southern</t>
  </si>
  <si>
    <t>Spilly's Bar-B-Q</t>
  </si>
  <si>
    <t>oJ2ubid01aI4n1cdIwteYw</t>
  </si>
  <si>
    <t>Restaurants, Cafes, Italian</t>
  </si>
  <si>
    <t>Tuscan Cafe</t>
  </si>
  <si>
    <t>6 Smithfield St</t>
  </si>
  <si>
    <t>l6ZrDTwUHZebCG3C9Va3Dw</t>
  </si>
  <si>
    <t>Restaurants, Latin American, Peruvian</t>
  </si>
  <si>
    <t>La Feria</t>
  </si>
  <si>
    <t>ckZg3KVwR9FrAR1KtTavEQ</t>
  </si>
  <si>
    <t>Amato's Pizza</t>
  </si>
  <si>
    <t>376 Butler St</t>
  </si>
  <si>
    <t>BskUTTscZ1XGa9ev7TlfeQ</t>
  </si>
  <si>
    <t>Breakfast &amp; Brunch, American (New), Cocktail Bars, Bars, Nightlife, Restaurants, American (Traditional)</t>
  </si>
  <si>
    <t>The Commoner</t>
  </si>
  <si>
    <t>5dFz332M4vPK9k5gbx90aQ</t>
  </si>
  <si>
    <t>Pizza Shack</t>
  </si>
  <si>
    <t>3546 Saw Mill Run Blvd</t>
  </si>
  <si>
    <t>iuIkzvQRb4DVWOMhE4GI3g</t>
  </si>
  <si>
    <t>Asian Fusion, Sushi Bars, Restaurants, Chinese</t>
  </si>
  <si>
    <t>Ya Fei</t>
  </si>
  <si>
    <t>1980 Park Manor Blvd</t>
  </si>
  <si>
    <t>4R5P-H4bfPjkocOY1W5SZA</t>
  </si>
  <si>
    <t>Restaurants, Thai, Japanese</t>
  </si>
  <si>
    <t>Thai Hana Restaurant</t>
  </si>
  <si>
    <t>HKExCPp1uxyQY1jlfYAhkA</t>
  </si>
  <si>
    <t>The South Side BBQ Restaurant</t>
  </si>
  <si>
    <t>tFXtHPDJ9hVJEb266mpnqA</t>
  </si>
  <si>
    <t>Electricians, Sports Bars, Home Services, Nightlife, Local Services, American (Traditional), Bars, Restaurants</t>
  </si>
  <si>
    <t>William Penn Tavern</t>
  </si>
  <si>
    <t>739 Bellefonte St</t>
  </si>
  <si>
    <t>o7aBPJhTR-R4TccTSfu-Ng</t>
  </si>
  <si>
    <t>keJGpYownJ-j2zQJ5huvqg</t>
  </si>
  <si>
    <t>Nightlife, Breakfast &amp; Brunch, Pubs, Chicken Wings, American (New), Bars, Restaurants</t>
  </si>
  <si>
    <t>Bigham Tavern</t>
  </si>
  <si>
    <t>321 Bigham St</t>
  </si>
  <si>
    <t>gpaJYV8IT-oT9wOt16BlSw</t>
  </si>
  <si>
    <t>Pizza, Diners, Restaurants, Salad</t>
  </si>
  <si>
    <t>Pizza Prima</t>
  </si>
  <si>
    <t>190 N Craig St</t>
  </si>
  <si>
    <t>WAagBTVAylf-LXc3PNoRZQ</t>
  </si>
  <si>
    <t>Burgers, Beer, Wine &amp; Spirits, Food, Restaurants, American (Traditional)</t>
  </si>
  <si>
    <t>Flipt</t>
  </si>
  <si>
    <t>2LVuwl-eH-8PYikyFmqcTQ</t>
  </si>
  <si>
    <t>Papa Da Vinci</t>
  </si>
  <si>
    <t>3526 Blvd Of The Allies</t>
  </si>
  <si>
    <t>JTKzGJvIK9yuoUf-erV2qQ</t>
  </si>
  <si>
    <t>Bella Notte</t>
  </si>
  <si>
    <t>1914 Penn Ave</t>
  </si>
  <si>
    <t>7aZf5c1UNotq4MabBXMZLA</t>
  </si>
  <si>
    <t>Seafood, Szechuan, Soup, Restaurants, Chinese</t>
  </si>
  <si>
    <t>AnXCOnAFU69mQ6xzdgBleQ</t>
  </si>
  <si>
    <t>American (Traditional), Restaurants, Food, American (New), Hot Dogs</t>
  </si>
  <si>
    <t>Nana's Hot Dog Shop</t>
  </si>
  <si>
    <t>hwe7f0QthkND-H4Ekg37qw</t>
  </si>
  <si>
    <t>Chinese, Restaurants, Asian Fusion</t>
  </si>
  <si>
    <t>New Dumpling And Sushi House</t>
  </si>
  <si>
    <t>2138 Murray Ave</t>
  </si>
  <si>
    <t>TqUFwP0mQJBPFHql0tLVsQ</t>
  </si>
  <si>
    <t>The Original Gyro</t>
  </si>
  <si>
    <t>3611 Library Rd</t>
  </si>
  <si>
    <t>R06MTQpLNdsnr5wrCkMXfQ</t>
  </si>
  <si>
    <t>Sports Bars, Nightlife, Restaurants, Bars, Burgers</t>
  </si>
  <si>
    <t>Doubleday's</t>
  </si>
  <si>
    <t>121 6th St</t>
  </si>
  <si>
    <t>i-fdgshW3xovHeMZosDerw</t>
  </si>
  <si>
    <t>Salad, Restaurants, Asian Fusion, Noodles, Thai</t>
  </si>
  <si>
    <t>My Thai</t>
  </si>
  <si>
    <t>3024 W Liberty Ave</t>
  </si>
  <si>
    <t>pCwOCE-cycl6cMEa9O6bZQ</t>
  </si>
  <si>
    <t>Restaurants, American (New), Salad, Burgers, Cafes</t>
  </si>
  <si>
    <t>3605 Forbes Ave</t>
  </si>
  <si>
    <t>EBwKRtjNeTjA5viMpc5lqQ</t>
  </si>
  <si>
    <t>Lucci's Pizza and Pasta</t>
  </si>
  <si>
    <t>Fbycyr3KEjDQ4wO9AStmvQ</t>
  </si>
  <si>
    <t>Cafe Sam</t>
  </si>
  <si>
    <t>5242 Baum Blvd</t>
  </si>
  <si>
    <t>PdDpIGwBZoTYzOVasT-WuA</t>
  </si>
  <si>
    <t>Buffets, Restaurants, Sushi Bars, Japanese</t>
  </si>
  <si>
    <t>Tokyo Sushi Buffet</t>
  </si>
  <si>
    <t>JmdgFq9sgXUIzeqalwrTRA</t>
  </si>
  <si>
    <t>1691 McFarland Rd</t>
  </si>
  <si>
    <t>vKGEEQzlgzBVI-JKxnBn1Q</t>
  </si>
  <si>
    <t>Beer, Wine &amp; Spirits, Food, American (New), Burgers, Restaurants</t>
  </si>
  <si>
    <t>J &amp; L Grill Company</t>
  </si>
  <si>
    <t>2829 E Carson St</t>
  </si>
  <si>
    <t>hbXM32Np33qJYmx8HUtXXw</t>
  </si>
  <si>
    <t>Supreme Pizza</t>
  </si>
  <si>
    <t>4012 Butler St</t>
  </si>
  <si>
    <t>g9FvjJMMrxtxBkLk8VrWlQ</t>
  </si>
  <si>
    <t>Jo Jo's Restaurant</t>
  </si>
  <si>
    <t>100 24th St</t>
  </si>
  <si>
    <t>rzjn_B6bxPwyFqUcpu98gQ</t>
  </si>
  <si>
    <t>Korean, Empanadas, Restaurants, Food</t>
  </si>
  <si>
    <t>Ki Pollo</t>
  </si>
  <si>
    <t>4VIAadQ0yZGss1vNHWUk9g</t>
  </si>
  <si>
    <t>Restaurants, American (Traditional), Beer Bar, Cocktail Bars, Bars, Nightlife</t>
  </si>
  <si>
    <t>Roasted Barrelhouse &amp; Eatery</t>
  </si>
  <si>
    <t>EzcrB9DhKtezASq7fZ6ZyA</t>
  </si>
  <si>
    <t>Convenience Stores, Custom Cakes, Bakeries, Restaurants, Coffee &amp; Tea, Food, Gluten-Free</t>
  </si>
  <si>
    <t>Oakland Bakery and Market</t>
  </si>
  <si>
    <t>3925 5th Ave</t>
  </si>
  <si>
    <t>afdthOntL8hfhomIFX-NWg</t>
  </si>
  <si>
    <t>Chinese, Restaurants, Diners, Sushi Bars</t>
  </si>
  <si>
    <t>Zen Asian Diner</t>
  </si>
  <si>
    <t>S7g7QxNIYwkhgZRRymzAUg</t>
  </si>
  <si>
    <t>Restaurants, Food, Ice Cream &amp; Frozen Yogurt, Delis</t>
  </si>
  <si>
    <t>537 E Ohio St</t>
  </si>
  <si>
    <t>LhfKAGpQ12pgvQRqg-2wmw</t>
  </si>
  <si>
    <t>Meat Shops, Delis, Indian, Specialty Food, Chicken Shop, Mediterranean, Butcher, Restaurants, Food, Middle Eastern</t>
  </si>
  <si>
    <t>Salem's Market &amp; Grill</t>
  </si>
  <si>
    <t>2923 Penn Ave</t>
  </si>
  <si>
    <t>kbBULFfiYks8WekyZBfqLg</t>
  </si>
  <si>
    <t>Grocery, Bakeries, Restaurants, Food</t>
  </si>
  <si>
    <t>254 Yost Blvd</t>
  </si>
  <si>
    <t>wEm94T6y19kzp3YfilKL3Q</t>
  </si>
  <si>
    <t>Krispy Krunchy Chicken</t>
  </si>
  <si>
    <t>6109 Broad St</t>
  </si>
  <si>
    <t>AmzQP_w8CvL36HSz7T_LRA</t>
  </si>
  <si>
    <t>Restaurants, Cambodian, Thai</t>
  </si>
  <si>
    <t>Angkor Restaurant</t>
  </si>
  <si>
    <t>jTFq_9_eOTwLxI0h6qEtFQ</t>
  </si>
  <si>
    <t>J Clark's</t>
  </si>
  <si>
    <t>9805 Mcknight Rd</t>
  </si>
  <si>
    <t>xQqCpVu52dCZlsoYoKRykA</t>
  </si>
  <si>
    <t>Cafes, Food, Coffee &amp; Tea, Local Flavor, Restaurants</t>
  </si>
  <si>
    <t>CaffÃƒÂ¨ d'Amore Coffeeshop</t>
  </si>
  <si>
    <t>5400 Butler St</t>
  </si>
  <si>
    <t>1qxmO1zpYegBxV8XDLE8ZA</t>
  </si>
  <si>
    <t>Restaurants, Food, Bakeries, Grocery</t>
  </si>
  <si>
    <t>Szl3MsKnwryJGYuPRPMaIg</t>
  </si>
  <si>
    <t>Chicken Wings, Sports Bars, American (New), Restaurants, Nightlife, Steakhouses, Burgers, Bars, American (Traditional)</t>
  </si>
  <si>
    <t>4801 McKnight Rd, North Hills Village Mall</t>
  </si>
  <si>
    <t>ODTI9W7fHMKNWZ3g8VcFUg</t>
  </si>
  <si>
    <t>Restaurants, Spanish, Tapas/Small Plates, Portuguese, Seafood, Basque</t>
  </si>
  <si>
    <t>Mallorca Restaurant</t>
  </si>
  <si>
    <t>2228 E Carson St</t>
  </si>
  <si>
    <t>TbDd4tvXevqZt_9cwgw9sQ</t>
  </si>
  <si>
    <t>Portuguese, Event Planning &amp; Services, Caterers, Iberian, Restaurants, Cafes, Breakfast &amp; Brunch</t>
  </si>
  <si>
    <t>Azorean Cafe</t>
  </si>
  <si>
    <t>4715 Liberty Ave</t>
  </si>
  <si>
    <t>zJ9NdZoehzdURLEKUKcMIg</t>
  </si>
  <si>
    <t>Pizza, Italian, Desserts, Restaurants, Food</t>
  </si>
  <si>
    <t>Pizza Romano</t>
  </si>
  <si>
    <t>219 Atwood St</t>
  </si>
  <si>
    <t>w4u0y6NEPtV98SGG4wOKnQ</t>
  </si>
  <si>
    <t>Restaurants, Food, Salad, Delis, Sandwiches</t>
  </si>
  <si>
    <t>DiBella's Subs</t>
  </si>
  <si>
    <t>16 Market Sq</t>
  </si>
  <si>
    <t>5h7ra0kJKswSZEzbFSIpaw</t>
  </si>
  <si>
    <t>Beer, Wine &amp; Spirits, Desserts, Food, Restaurants, Coffee &amp; Tea, Breakfast &amp; Brunch, Vegetarian</t>
  </si>
  <si>
    <t>Beehive Coffee</t>
  </si>
  <si>
    <t>1327 E Carson St</t>
  </si>
  <si>
    <t>L1KkmY4vTgCrS1J5aUFMtA</t>
  </si>
  <si>
    <t>Sam's Market</t>
  </si>
  <si>
    <t>1712 5th Ave</t>
  </si>
  <si>
    <t>vpsc8vfnkaEd7-49_lz9Zg</t>
  </si>
  <si>
    <t>Restaurants, Belgian, Breakfast &amp; Brunch, Street Vendors, Food Trucks, Food, Creperies</t>
  </si>
  <si>
    <t>Second Breakfast</t>
  </si>
  <si>
    <t>yhoCIkTwHihWejVqGYZ4rw</t>
  </si>
  <si>
    <t>6501 Steubenville Pike</t>
  </si>
  <si>
    <t>mmvVocwFHyzNbCtYd1EH4w</t>
  </si>
  <si>
    <t>Aji Picante</t>
  </si>
  <si>
    <t>4revUiH2pE65iffL13LNMQ</t>
  </si>
  <si>
    <t>Burgers, Bars, Nightlife, Restaurants</t>
  </si>
  <si>
    <t>The Bar 2132</t>
  </si>
  <si>
    <t>8c2ObImjXJ9pW0hUccL35A</t>
  </si>
  <si>
    <t>450 Clairton Blvd</t>
  </si>
  <si>
    <t>CzqGem5OaPAk10bQK4bzbg</t>
  </si>
  <si>
    <t>Restaurants, Italian, Seafood</t>
  </si>
  <si>
    <t>DeLallo's Fort Couch Cafe</t>
  </si>
  <si>
    <t>91 Fort Couch Rd</t>
  </si>
  <si>
    <t>2XZ4g_ps_H55CmxFs4Pu8A</t>
  </si>
  <si>
    <t>Bars, American (Traditional), Restaurants, Nightlife, Tex-Mex</t>
  </si>
  <si>
    <t>855 Freeport Rd</t>
  </si>
  <si>
    <t>Japanese</t>
  </si>
  <si>
    <t>Caribbean</t>
  </si>
  <si>
    <t>Indian</t>
  </si>
  <si>
    <t>Italian</t>
  </si>
  <si>
    <t>Mediterranean</t>
  </si>
  <si>
    <t>Mexican</t>
  </si>
  <si>
    <t>Greek</t>
  </si>
  <si>
    <t>Chinese</t>
  </si>
  <si>
    <t>French</t>
  </si>
  <si>
    <t>Vietnamese</t>
  </si>
  <si>
    <t>LatinAmerican</t>
  </si>
  <si>
    <t>African</t>
  </si>
  <si>
    <t>Korean</t>
  </si>
  <si>
    <t>TypeCusine</t>
  </si>
  <si>
    <t>American</t>
  </si>
  <si>
    <t>European</t>
  </si>
  <si>
    <t>Asian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</si>
</sst>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456"/>
  <sheetViews>
    <sheetView tabSelected="1" topLeftCell="D1" workbookViewId="0">
      <selection activeCell="L13" sqref="L13"/>
    </sheetView>
  </sheetViews>
  <sheetFormatPr defaultRowHeight="15" x14ac:dyDescent="0.25"/>
  <cols>
    <col min="1" max="1" width="29.85546875" bestFit="1" customWidth="1"/>
    <col min="2" max="2" width="20.7109375" customWidth="1"/>
    <col min="3" max="3" width="47" bestFit="1" customWidth="1"/>
    <col min="4" max="4" width="70.140625" bestFit="1" customWidth="1"/>
    <col min="5" max="5" width="14.28515625" bestFit="1" customWidth="1"/>
    <col min="7" max="7" width="11.7109375" bestFit="1" customWidth="1"/>
    <col min="8" max="8" width="5.140625" bestFit="1" customWidth="1"/>
    <col min="9" max="9" width="13.28515625" bestFit="1" customWidth="1"/>
    <col min="10" max="10" width="8" bestFit="1" customWidth="1"/>
    <col min="11" max="11" width="12.710937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8130</v>
      </c>
    </row>
    <row r="2" spans="1:11" x14ac:dyDescent="0.2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>
        <v>15231</v>
      </c>
      <c r="H2" t="s">
        <v>16</v>
      </c>
      <c r="I2">
        <v>35</v>
      </c>
      <c r="J2">
        <v>1</v>
      </c>
      <c r="K2" t="s">
        <v>8131</v>
      </c>
    </row>
    <row r="3" spans="1:11" x14ac:dyDescent="0.25">
      <c r="A3" t="s">
        <v>17</v>
      </c>
      <c r="B3" t="s">
        <v>18</v>
      </c>
      <c r="C3" t="s">
        <v>19</v>
      </c>
      <c r="D3" t="s">
        <v>20</v>
      </c>
      <c r="E3" t="s">
        <v>14</v>
      </c>
      <c r="F3" t="s">
        <v>15</v>
      </c>
      <c r="G3">
        <v>15224</v>
      </c>
      <c r="H3" t="s">
        <v>21</v>
      </c>
      <c r="I3">
        <v>242</v>
      </c>
      <c r="J3">
        <v>1</v>
      </c>
      <c r="K3" t="s">
        <v>8132</v>
      </c>
    </row>
    <row r="4" spans="1:11" x14ac:dyDescent="0.25">
      <c r="A4" t="s">
        <v>22</v>
      </c>
      <c r="B4" t="s">
        <v>23</v>
      </c>
      <c r="C4" t="s">
        <v>24</v>
      </c>
      <c r="D4" t="s">
        <v>25</v>
      </c>
      <c r="E4" t="s">
        <v>14</v>
      </c>
      <c r="F4" t="s">
        <v>15</v>
      </c>
      <c r="G4">
        <v>15222</v>
      </c>
      <c r="H4" t="s">
        <v>21</v>
      </c>
      <c r="I4">
        <v>106</v>
      </c>
      <c r="J4">
        <v>1</v>
      </c>
      <c r="K4" t="s">
        <v>8117</v>
      </c>
    </row>
    <row r="5" spans="1:11" x14ac:dyDescent="0.25">
      <c r="A5" t="s">
        <v>26</v>
      </c>
      <c r="B5" t="s">
        <v>27</v>
      </c>
      <c r="C5" t="s">
        <v>28</v>
      </c>
      <c r="D5" t="s">
        <v>29</v>
      </c>
      <c r="E5" t="s">
        <v>14</v>
      </c>
      <c r="F5" t="s">
        <v>15</v>
      </c>
      <c r="G5">
        <v>15206</v>
      </c>
      <c r="H5" t="s">
        <v>21</v>
      </c>
      <c r="I5">
        <v>29</v>
      </c>
      <c r="J5">
        <v>0</v>
      </c>
      <c r="K5" t="s">
        <v>8118</v>
      </c>
    </row>
    <row r="6" spans="1:11" x14ac:dyDescent="0.25">
      <c r="A6" t="s">
        <v>30</v>
      </c>
      <c r="B6" t="s">
        <v>31</v>
      </c>
      <c r="C6" t="s">
        <v>32</v>
      </c>
      <c r="D6" t="s">
        <v>33</v>
      </c>
      <c r="E6" t="s">
        <v>14</v>
      </c>
      <c r="F6" t="s">
        <v>15</v>
      </c>
      <c r="G6">
        <v>15219</v>
      </c>
      <c r="H6" t="s">
        <v>34</v>
      </c>
      <c r="I6">
        <v>3</v>
      </c>
      <c r="J6">
        <v>1</v>
      </c>
      <c r="K6" t="s">
        <v>8131</v>
      </c>
    </row>
    <row r="7" spans="1:11" x14ac:dyDescent="0.25">
      <c r="A7" t="s">
        <v>35</v>
      </c>
      <c r="B7" t="s">
        <v>36</v>
      </c>
      <c r="C7" t="s">
        <v>37</v>
      </c>
      <c r="D7" t="s">
        <v>38</v>
      </c>
      <c r="E7" t="s">
        <v>14</v>
      </c>
      <c r="F7" t="s">
        <v>15</v>
      </c>
      <c r="G7">
        <v>15212</v>
      </c>
      <c r="H7" t="s">
        <v>34</v>
      </c>
      <c r="I7">
        <v>6</v>
      </c>
      <c r="J7">
        <v>1</v>
      </c>
      <c r="K7" t="s">
        <v>8131</v>
      </c>
    </row>
    <row r="8" spans="1:11" x14ac:dyDescent="0.25">
      <c r="A8" t="s">
        <v>39</v>
      </c>
      <c r="B8" t="s">
        <v>40</v>
      </c>
      <c r="C8" t="s">
        <v>41</v>
      </c>
      <c r="D8" t="s">
        <v>42</v>
      </c>
      <c r="E8" t="s">
        <v>14</v>
      </c>
      <c r="F8" t="s">
        <v>15</v>
      </c>
      <c r="G8">
        <v>15238</v>
      </c>
      <c r="H8" t="s">
        <v>43</v>
      </c>
      <c r="I8">
        <v>7</v>
      </c>
      <c r="J8">
        <v>1</v>
      </c>
      <c r="K8" t="s">
        <v>8131</v>
      </c>
    </row>
    <row r="9" spans="1:11" x14ac:dyDescent="0.25">
      <c r="A9" t="s">
        <v>44</v>
      </c>
      <c r="B9" t="s">
        <v>45</v>
      </c>
      <c r="C9" t="s">
        <v>46</v>
      </c>
      <c r="D9" t="s">
        <v>47</v>
      </c>
      <c r="E9" t="s">
        <v>14</v>
      </c>
      <c r="F9" t="s">
        <v>15</v>
      </c>
      <c r="G9">
        <v>15237</v>
      </c>
      <c r="H9" t="s">
        <v>48</v>
      </c>
      <c r="I9">
        <v>75</v>
      </c>
      <c r="J9">
        <v>1</v>
      </c>
      <c r="K9" t="s">
        <v>8131</v>
      </c>
    </row>
    <row r="10" spans="1:11" x14ac:dyDescent="0.25">
      <c r="A10" t="s">
        <v>49</v>
      </c>
      <c r="B10" t="s">
        <v>50</v>
      </c>
      <c r="C10" t="s">
        <v>51</v>
      </c>
      <c r="D10" t="s">
        <v>52</v>
      </c>
      <c r="E10" t="s">
        <v>14</v>
      </c>
      <c r="F10" t="s">
        <v>15</v>
      </c>
      <c r="G10">
        <v>15226</v>
      </c>
      <c r="H10" t="s">
        <v>34</v>
      </c>
      <c r="I10">
        <v>44</v>
      </c>
      <c r="J10">
        <v>0</v>
      </c>
      <c r="K10" t="s">
        <v>8131</v>
      </c>
    </row>
    <row r="11" spans="1:11" x14ac:dyDescent="0.25">
      <c r="A11" t="s">
        <v>53</v>
      </c>
      <c r="B11" t="s">
        <v>31</v>
      </c>
      <c r="C11" t="s">
        <v>54</v>
      </c>
      <c r="D11" t="s">
        <v>55</v>
      </c>
      <c r="E11" t="s">
        <v>14</v>
      </c>
      <c r="F11" t="s">
        <v>15</v>
      </c>
      <c r="G11">
        <v>15222</v>
      </c>
      <c r="H11" t="s">
        <v>16</v>
      </c>
      <c r="I11">
        <v>7</v>
      </c>
      <c r="J11">
        <v>0</v>
      </c>
      <c r="K11" t="s">
        <v>8131</v>
      </c>
    </row>
    <row r="12" spans="1:11" x14ac:dyDescent="0.25">
      <c r="A12" t="s">
        <v>56</v>
      </c>
      <c r="B12" t="s">
        <v>57</v>
      </c>
      <c r="C12" t="s">
        <v>58</v>
      </c>
      <c r="D12" t="s">
        <v>59</v>
      </c>
      <c r="E12" t="s">
        <v>14</v>
      </c>
      <c r="F12" t="s">
        <v>15</v>
      </c>
      <c r="G12">
        <v>15213</v>
      </c>
      <c r="H12" t="s">
        <v>21</v>
      </c>
      <c r="I12">
        <v>7</v>
      </c>
      <c r="J12">
        <v>0</v>
      </c>
      <c r="K12" t="s">
        <v>8131</v>
      </c>
    </row>
    <row r="13" spans="1:11" x14ac:dyDescent="0.25">
      <c r="A13" t="s">
        <v>60</v>
      </c>
      <c r="B13" t="s">
        <v>61</v>
      </c>
      <c r="C13" t="s">
        <v>62</v>
      </c>
      <c r="D13" t="s">
        <v>63</v>
      </c>
      <c r="E13" t="s">
        <v>14</v>
      </c>
      <c r="F13" t="s">
        <v>15</v>
      </c>
      <c r="G13">
        <v>15213</v>
      </c>
      <c r="H13" t="s">
        <v>34</v>
      </c>
      <c r="I13">
        <v>8</v>
      </c>
      <c r="J13">
        <v>1</v>
      </c>
      <c r="K13" t="s">
        <v>8119</v>
      </c>
    </row>
    <row r="14" spans="1:11" x14ac:dyDescent="0.25">
      <c r="A14" t="s">
        <v>64</v>
      </c>
      <c r="B14" t="s">
        <v>65</v>
      </c>
      <c r="C14" t="s">
        <v>66</v>
      </c>
      <c r="D14" t="s">
        <v>67</v>
      </c>
      <c r="E14" t="s">
        <v>14</v>
      </c>
      <c r="F14" t="s">
        <v>15</v>
      </c>
      <c r="G14">
        <v>15236</v>
      </c>
      <c r="H14" t="s">
        <v>34</v>
      </c>
      <c r="I14">
        <v>8</v>
      </c>
      <c r="J14">
        <v>1</v>
      </c>
      <c r="K14" t="s">
        <v>8131</v>
      </c>
    </row>
    <row r="15" spans="1:11" x14ac:dyDescent="0.25">
      <c r="A15" t="s">
        <v>68</v>
      </c>
      <c r="B15" t="s">
        <v>69</v>
      </c>
      <c r="C15" t="s">
        <v>70</v>
      </c>
      <c r="D15" t="s">
        <v>71</v>
      </c>
      <c r="E15" t="s">
        <v>14</v>
      </c>
      <c r="F15" t="s">
        <v>15</v>
      </c>
      <c r="G15">
        <v>15206</v>
      </c>
      <c r="H15" t="s">
        <v>48</v>
      </c>
      <c r="I15">
        <v>166</v>
      </c>
      <c r="J15">
        <v>1</v>
      </c>
      <c r="K15" t="s">
        <v>8131</v>
      </c>
    </row>
    <row r="16" spans="1:11" x14ac:dyDescent="0.25">
      <c r="A16" t="s">
        <v>72</v>
      </c>
      <c r="B16" t="s">
        <v>73</v>
      </c>
      <c r="C16" t="s">
        <v>74</v>
      </c>
      <c r="D16" t="s">
        <v>75</v>
      </c>
      <c r="E16" t="s">
        <v>14</v>
      </c>
      <c r="F16" t="s">
        <v>15</v>
      </c>
      <c r="G16">
        <v>15212</v>
      </c>
      <c r="H16" t="s">
        <v>16</v>
      </c>
      <c r="I16">
        <v>43</v>
      </c>
      <c r="J16">
        <v>1</v>
      </c>
      <c r="K16" t="s">
        <v>8131</v>
      </c>
    </row>
    <row r="17" spans="1:11" x14ac:dyDescent="0.25">
      <c r="A17" t="s">
        <v>76</v>
      </c>
      <c r="B17" t="s">
        <v>77</v>
      </c>
      <c r="C17" t="s">
        <v>78</v>
      </c>
      <c r="D17" t="s">
        <v>79</v>
      </c>
      <c r="E17" t="s">
        <v>14</v>
      </c>
      <c r="F17" t="s">
        <v>15</v>
      </c>
      <c r="G17">
        <v>15221</v>
      </c>
      <c r="H17" t="s">
        <v>34</v>
      </c>
      <c r="I17">
        <v>18</v>
      </c>
      <c r="J17">
        <v>0</v>
      </c>
      <c r="K17" t="s">
        <v>8131</v>
      </c>
    </row>
    <row r="18" spans="1:11" x14ac:dyDescent="0.25">
      <c r="A18" t="s">
        <v>80</v>
      </c>
      <c r="B18" t="s">
        <v>81</v>
      </c>
      <c r="C18" t="s">
        <v>82</v>
      </c>
      <c r="D18" t="s">
        <v>83</v>
      </c>
      <c r="E18" t="s">
        <v>14</v>
      </c>
      <c r="F18" t="s">
        <v>15</v>
      </c>
      <c r="G18">
        <v>15236</v>
      </c>
      <c r="H18" t="s">
        <v>16</v>
      </c>
      <c r="I18">
        <v>26</v>
      </c>
      <c r="J18">
        <v>1</v>
      </c>
      <c r="K18" t="s">
        <v>8131</v>
      </c>
    </row>
    <row r="19" spans="1:11" x14ac:dyDescent="0.25">
      <c r="A19" t="s">
        <v>84</v>
      </c>
      <c r="B19" t="s">
        <v>85</v>
      </c>
      <c r="C19" t="s">
        <v>86</v>
      </c>
      <c r="D19" t="s">
        <v>87</v>
      </c>
      <c r="E19" t="s">
        <v>14</v>
      </c>
      <c r="F19" t="s">
        <v>15</v>
      </c>
      <c r="G19">
        <v>15222</v>
      </c>
      <c r="H19" t="s">
        <v>16</v>
      </c>
      <c r="I19">
        <v>752</v>
      </c>
      <c r="J19">
        <v>1</v>
      </c>
      <c r="K19" t="s">
        <v>8120</v>
      </c>
    </row>
    <row r="20" spans="1:11" x14ac:dyDescent="0.25">
      <c r="A20" t="s">
        <v>88</v>
      </c>
      <c r="B20" t="s">
        <v>89</v>
      </c>
      <c r="C20" t="s">
        <v>90</v>
      </c>
      <c r="D20" t="s">
        <v>91</v>
      </c>
      <c r="E20" t="s">
        <v>14</v>
      </c>
      <c r="F20" t="s">
        <v>15</v>
      </c>
      <c r="G20">
        <v>15212</v>
      </c>
      <c r="H20" t="s">
        <v>92</v>
      </c>
      <c r="I20">
        <v>5</v>
      </c>
      <c r="J20">
        <v>0</v>
      </c>
      <c r="K20" t="s">
        <v>8131</v>
      </c>
    </row>
    <row r="21" spans="1:11" x14ac:dyDescent="0.25">
      <c r="A21" t="s">
        <v>93</v>
      </c>
      <c r="B21" t="s">
        <v>94</v>
      </c>
      <c r="C21" t="s">
        <v>95</v>
      </c>
      <c r="D21" t="s">
        <v>96</v>
      </c>
      <c r="E21" t="s">
        <v>14</v>
      </c>
      <c r="F21" t="s">
        <v>15</v>
      </c>
      <c r="G21">
        <v>15222</v>
      </c>
      <c r="H21" t="s">
        <v>16</v>
      </c>
      <c r="I21">
        <v>37</v>
      </c>
      <c r="J21">
        <v>1</v>
      </c>
      <c r="K21" t="s">
        <v>8131</v>
      </c>
    </row>
    <row r="22" spans="1:11" x14ac:dyDescent="0.25">
      <c r="A22" t="s">
        <v>97</v>
      </c>
      <c r="B22" t="s">
        <v>98</v>
      </c>
      <c r="C22" t="s">
        <v>99</v>
      </c>
      <c r="D22" t="s">
        <v>100</v>
      </c>
      <c r="E22" t="s">
        <v>14</v>
      </c>
      <c r="F22" t="s">
        <v>15</v>
      </c>
      <c r="G22">
        <v>15222</v>
      </c>
      <c r="H22" t="s">
        <v>48</v>
      </c>
      <c r="I22">
        <v>13</v>
      </c>
      <c r="J22">
        <v>0</v>
      </c>
      <c r="K22" t="s">
        <v>8131</v>
      </c>
    </row>
    <row r="23" spans="1:11" x14ac:dyDescent="0.25">
      <c r="A23" t="s">
        <v>101</v>
      </c>
      <c r="B23" t="s">
        <v>102</v>
      </c>
      <c r="C23" t="s">
        <v>103</v>
      </c>
      <c r="D23" t="s">
        <v>104</v>
      </c>
      <c r="E23" t="s">
        <v>14</v>
      </c>
      <c r="F23" t="s">
        <v>15</v>
      </c>
      <c r="G23">
        <v>15215</v>
      </c>
      <c r="H23" t="s">
        <v>48</v>
      </c>
      <c r="I23">
        <v>28</v>
      </c>
      <c r="J23">
        <v>1</v>
      </c>
      <c r="K23" t="s">
        <v>8131</v>
      </c>
    </row>
    <row r="24" spans="1:11" x14ac:dyDescent="0.25">
      <c r="A24" t="s">
        <v>105</v>
      </c>
      <c r="B24" t="s">
        <v>106</v>
      </c>
      <c r="C24" t="s">
        <v>107</v>
      </c>
      <c r="D24" t="s">
        <v>108</v>
      </c>
      <c r="E24" t="s">
        <v>14</v>
      </c>
      <c r="F24" t="s">
        <v>15</v>
      </c>
      <c r="G24">
        <v>15237</v>
      </c>
      <c r="H24" t="s">
        <v>34</v>
      </c>
      <c r="I24">
        <v>32</v>
      </c>
      <c r="J24">
        <v>1</v>
      </c>
      <c r="K24" t="s">
        <v>8131</v>
      </c>
    </row>
    <row r="25" spans="1:11" x14ac:dyDescent="0.25">
      <c r="A25" t="s">
        <v>109</v>
      </c>
      <c r="B25" t="s">
        <v>110</v>
      </c>
      <c r="C25" t="s">
        <v>111</v>
      </c>
      <c r="D25" t="s">
        <v>112</v>
      </c>
      <c r="E25" t="s">
        <v>14</v>
      </c>
      <c r="F25" t="s">
        <v>15</v>
      </c>
      <c r="G25">
        <v>15226</v>
      </c>
      <c r="H25" t="s">
        <v>113</v>
      </c>
      <c r="I25">
        <v>3</v>
      </c>
      <c r="J25">
        <v>1</v>
      </c>
      <c r="K25" t="s">
        <v>8131</v>
      </c>
    </row>
    <row r="26" spans="1:11" x14ac:dyDescent="0.25">
      <c r="A26" t="s">
        <v>114</v>
      </c>
      <c r="B26" t="s">
        <v>115</v>
      </c>
      <c r="C26" t="s">
        <v>116</v>
      </c>
      <c r="D26" t="s">
        <v>117</v>
      </c>
      <c r="E26" t="s">
        <v>14</v>
      </c>
      <c r="F26" t="s">
        <v>15</v>
      </c>
      <c r="G26">
        <v>15211</v>
      </c>
      <c r="H26" t="s">
        <v>48</v>
      </c>
      <c r="I26">
        <v>132</v>
      </c>
      <c r="J26">
        <v>1</v>
      </c>
      <c r="K26" t="s">
        <v>8120</v>
      </c>
    </row>
    <row r="27" spans="1:11" x14ac:dyDescent="0.25">
      <c r="A27" t="s">
        <v>118</v>
      </c>
      <c r="B27" t="s">
        <v>119</v>
      </c>
      <c r="C27" t="s">
        <v>120</v>
      </c>
      <c r="D27" t="s">
        <v>121</v>
      </c>
      <c r="E27" t="s">
        <v>14</v>
      </c>
      <c r="F27" t="s">
        <v>15</v>
      </c>
      <c r="G27">
        <v>15225</v>
      </c>
      <c r="H27" t="s">
        <v>16</v>
      </c>
      <c r="I27">
        <v>54</v>
      </c>
      <c r="J27">
        <v>1</v>
      </c>
      <c r="K27" t="s">
        <v>8131</v>
      </c>
    </row>
    <row r="28" spans="1:11" x14ac:dyDescent="0.25">
      <c r="A28" t="s">
        <v>122</v>
      </c>
      <c r="B28" t="s">
        <v>123</v>
      </c>
      <c r="C28" t="s">
        <v>124</v>
      </c>
      <c r="D28" t="s">
        <v>125</v>
      </c>
      <c r="E28" t="s">
        <v>14</v>
      </c>
      <c r="F28" t="s">
        <v>15</v>
      </c>
      <c r="G28">
        <v>15238</v>
      </c>
      <c r="H28" t="s">
        <v>48</v>
      </c>
      <c r="I28">
        <v>5</v>
      </c>
      <c r="J28">
        <v>1</v>
      </c>
      <c r="K28" t="s">
        <v>8131</v>
      </c>
    </row>
    <row r="29" spans="1:11" x14ac:dyDescent="0.25">
      <c r="A29" t="s">
        <v>126</v>
      </c>
      <c r="B29" t="s">
        <v>127</v>
      </c>
      <c r="C29" t="s">
        <v>128</v>
      </c>
      <c r="D29" t="s">
        <v>129</v>
      </c>
      <c r="E29" t="s">
        <v>14</v>
      </c>
      <c r="F29" t="s">
        <v>15</v>
      </c>
      <c r="G29">
        <v>15216</v>
      </c>
      <c r="H29" t="s">
        <v>16</v>
      </c>
      <c r="I29">
        <v>10</v>
      </c>
      <c r="J29">
        <v>0</v>
      </c>
      <c r="K29" t="s">
        <v>8131</v>
      </c>
    </row>
    <row r="30" spans="1:11" x14ac:dyDescent="0.25">
      <c r="A30" t="s">
        <v>130</v>
      </c>
      <c r="B30" t="s">
        <v>131</v>
      </c>
      <c r="C30" t="s">
        <v>132</v>
      </c>
      <c r="D30" t="s">
        <v>133</v>
      </c>
      <c r="E30" t="s">
        <v>14</v>
      </c>
      <c r="F30" t="s">
        <v>15</v>
      </c>
      <c r="G30">
        <v>15289</v>
      </c>
      <c r="H30" t="s">
        <v>34</v>
      </c>
      <c r="I30">
        <v>35</v>
      </c>
      <c r="J30">
        <v>0</v>
      </c>
      <c r="K30" t="s">
        <v>8131</v>
      </c>
    </row>
    <row r="31" spans="1:11" x14ac:dyDescent="0.25">
      <c r="A31" t="s">
        <v>134</v>
      </c>
      <c r="B31" t="s">
        <v>135</v>
      </c>
      <c r="C31" t="s">
        <v>136</v>
      </c>
      <c r="D31" t="s">
        <v>137</v>
      </c>
      <c r="E31" t="s">
        <v>14</v>
      </c>
      <c r="F31" t="s">
        <v>15</v>
      </c>
      <c r="G31">
        <v>15217</v>
      </c>
      <c r="H31" t="s">
        <v>21</v>
      </c>
      <c r="I31">
        <v>96</v>
      </c>
      <c r="J31">
        <v>1</v>
      </c>
      <c r="K31" t="s">
        <v>8120</v>
      </c>
    </row>
    <row r="32" spans="1:11" x14ac:dyDescent="0.25">
      <c r="A32" t="s">
        <v>138</v>
      </c>
      <c r="B32" t="s">
        <v>139</v>
      </c>
      <c r="C32" t="s">
        <v>140</v>
      </c>
      <c r="D32" t="s">
        <v>141</v>
      </c>
      <c r="E32" t="s">
        <v>14</v>
      </c>
      <c r="F32" t="s">
        <v>15</v>
      </c>
      <c r="G32">
        <v>15237</v>
      </c>
      <c r="H32" t="s">
        <v>113</v>
      </c>
      <c r="I32">
        <v>26</v>
      </c>
      <c r="J32">
        <v>0</v>
      </c>
      <c r="K32" t="s">
        <v>8131</v>
      </c>
    </row>
    <row r="33" spans="1:11" x14ac:dyDescent="0.25">
      <c r="A33" t="s">
        <v>142</v>
      </c>
      <c r="B33" t="s">
        <v>115</v>
      </c>
      <c r="C33" t="s">
        <v>143</v>
      </c>
      <c r="D33" t="s">
        <v>144</v>
      </c>
      <c r="E33" t="s">
        <v>14</v>
      </c>
      <c r="F33" t="s">
        <v>15</v>
      </c>
      <c r="G33">
        <v>15213</v>
      </c>
      <c r="H33" t="s">
        <v>48</v>
      </c>
      <c r="I33">
        <v>24</v>
      </c>
      <c r="J33">
        <v>1</v>
      </c>
      <c r="K33" t="s">
        <v>8120</v>
      </c>
    </row>
    <row r="34" spans="1:11" x14ac:dyDescent="0.25">
      <c r="A34" t="s">
        <v>145</v>
      </c>
      <c r="B34" t="s">
        <v>146</v>
      </c>
      <c r="C34" t="s">
        <v>147</v>
      </c>
      <c r="D34" t="s">
        <v>148</v>
      </c>
      <c r="E34" t="s">
        <v>14</v>
      </c>
      <c r="F34" t="s">
        <v>15</v>
      </c>
      <c r="G34">
        <v>15206</v>
      </c>
      <c r="H34" t="s">
        <v>48</v>
      </c>
      <c r="I34">
        <v>36</v>
      </c>
      <c r="J34">
        <v>1</v>
      </c>
      <c r="K34" t="s">
        <v>8131</v>
      </c>
    </row>
    <row r="35" spans="1:11" x14ac:dyDescent="0.25">
      <c r="A35" t="s">
        <v>149</v>
      </c>
      <c r="B35" t="s">
        <v>150</v>
      </c>
      <c r="C35" t="s">
        <v>151</v>
      </c>
      <c r="D35" t="s">
        <v>152</v>
      </c>
      <c r="E35" t="s">
        <v>14</v>
      </c>
      <c r="F35" t="s">
        <v>15</v>
      </c>
      <c r="G35">
        <v>15235</v>
      </c>
      <c r="H35" t="s">
        <v>34</v>
      </c>
      <c r="I35">
        <v>11</v>
      </c>
      <c r="J35">
        <v>1</v>
      </c>
      <c r="K35" t="s">
        <v>8131</v>
      </c>
    </row>
    <row r="36" spans="1:11" x14ac:dyDescent="0.25">
      <c r="A36" t="s">
        <v>153</v>
      </c>
      <c r="B36" t="s">
        <v>154</v>
      </c>
      <c r="C36" t="s">
        <v>155</v>
      </c>
      <c r="D36" t="s">
        <v>156</v>
      </c>
      <c r="E36" t="s">
        <v>14</v>
      </c>
      <c r="F36" t="s">
        <v>15</v>
      </c>
      <c r="G36">
        <v>15217</v>
      </c>
      <c r="H36" t="s">
        <v>157</v>
      </c>
      <c r="I36">
        <v>3</v>
      </c>
      <c r="J36">
        <v>0</v>
      </c>
      <c r="K36" t="s">
        <v>8120</v>
      </c>
    </row>
    <row r="37" spans="1:11" x14ac:dyDescent="0.25">
      <c r="A37" t="e">
        <f>-WVF5DKZeEWlMK8Cucto-A</f>
        <v>#NAME?</v>
      </c>
      <c r="B37" t="s">
        <v>158</v>
      </c>
      <c r="C37" t="s">
        <v>159</v>
      </c>
      <c r="D37" t="s">
        <v>160</v>
      </c>
      <c r="E37" t="s">
        <v>14</v>
      </c>
      <c r="F37" t="s">
        <v>15</v>
      </c>
      <c r="G37">
        <v>15222</v>
      </c>
      <c r="H37" t="s">
        <v>48</v>
      </c>
      <c r="I37">
        <v>138</v>
      </c>
      <c r="J37">
        <v>1</v>
      </c>
      <c r="K37" t="s">
        <v>8131</v>
      </c>
    </row>
    <row r="38" spans="1:11" x14ac:dyDescent="0.25">
      <c r="A38" t="s">
        <v>161</v>
      </c>
      <c r="B38" t="s">
        <v>162</v>
      </c>
      <c r="C38" t="s">
        <v>163</v>
      </c>
      <c r="D38" t="s">
        <v>164</v>
      </c>
      <c r="E38" t="s">
        <v>14</v>
      </c>
      <c r="F38" t="s">
        <v>15</v>
      </c>
      <c r="G38">
        <v>15222</v>
      </c>
      <c r="H38" t="s">
        <v>34</v>
      </c>
      <c r="I38">
        <v>77</v>
      </c>
      <c r="J38">
        <v>1</v>
      </c>
      <c r="K38" t="s">
        <v>8120</v>
      </c>
    </row>
    <row r="39" spans="1:11" x14ac:dyDescent="0.25">
      <c r="A39" t="s">
        <v>165</v>
      </c>
      <c r="B39" t="s">
        <v>166</v>
      </c>
      <c r="C39" t="s">
        <v>167</v>
      </c>
      <c r="D39" t="s">
        <v>168</v>
      </c>
      <c r="E39" t="s">
        <v>14</v>
      </c>
      <c r="F39" t="s">
        <v>15</v>
      </c>
      <c r="G39">
        <v>15209</v>
      </c>
      <c r="H39" t="s">
        <v>16</v>
      </c>
      <c r="I39">
        <v>22</v>
      </c>
      <c r="J39">
        <v>1</v>
      </c>
      <c r="K39" t="s">
        <v>8131</v>
      </c>
    </row>
    <row r="40" spans="1:11" x14ac:dyDescent="0.25">
      <c r="A40" t="s">
        <v>169</v>
      </c>
      <c r="B40" t="s">
        <v>170</v>
      </c>
      <c r="C40" t="s">
        <v>171</v>
      </c>
      <c r="D40" t="s">
        <v>172</v>
      </c>
      <c r="E40" t="s">
        <v>14</v>
      </c>
      <c r="F40" t="s">
        <v>15</v>
      </c>
      <c r="G40">
        <v>15213</v>
      </c>
      <c r="H40" t="s">
        <v>48</v>
      </c>
      <c r="I40">
        <v>77</v>
      </c>
      <c r="J40">
        <v>1</v>
      </c>
      <c r="K40" t="s">
        <v>8117</v>
      </c>
    </row>
    <row r="41" spans="1:11" x14ac:dyDescent="0.25">
      <c r="A41" t="s">
        <v>173</v>
      </c>
      <c r="B41" t="s">
        <v>174</v>
      </c>
      <c r="C41" t="s">
        <v>175</v>
      </c>
      <c r="D41" t="s">
        <v>176</v>
      </c>
      <c r="E41" t="s">
        <v>14</v>
      </c>
      <c r="F41" t="s">
        <v>15</v>
      </c>
      <c r="G41">
        <v>15212</v>
      </c>
      <c r="H41" t="s">
        <v>34</v>
      </c>
      <c r="I41">
        <v>79</v>
      </c>
      <c r="J41">
        <v>0</v>
      </c>
      <c r="K41" t="s">
        <v>8131</v>
      </c>
    </row>
    <row r="42" spans="1:11" x14ac:dyDescent="0.25">
      <c r="A42" t="s">
        <v>177</v>
      </c>
      <c r="B42" t="s">
        <v>65</v>
      </c>
      <c r="C42" t="s">
        <v>178</v>
      </c>
      <c r="D42" t="s">
        <v>179</v>
      </c>
      <c r="E42" t="s">
        <v>14</v>
      </c>
      <c r="F42" t="s">
        <v>15</v>
      </c>
      <c r="G42">
        <v>15205</v>
      </c>
      <c r="H42" t="s">
        <v>48</v>
      </c>
      <c r="I42">
        <v>14</v>
      </c>
      <c r="J42">
        <v>1</v>
      </c>
      <c r="K42" t="s">
        <v>8131</v>
      </c>
    </row>
    <row r="43" spans="1:11" x14ac:dyDescent="0.25">
      <c r="A43" t="s">
        <v>180</v>
      </c>
      <c r="B43" t="s">
        <v>65</v>
      </c>
      <c r="C43" t="s">
        <v>181</v>
      </c>
      <c r="D43" t="s">
        <v>182</v>
      </c>
      <c r="E43" t="s">
        <v>14</v>
      </c>
      <c r="F43" t="s">
        <v>15</v>
      </c>
      <c r="G43">
        <v>15216</v>
      </c>
      <c r="H43" t="s">
        <v>16</v>
      </c>
      <c r="I43">
        <v>54</v>
      </c>
      <c r="J43">
        <v>1</v>
      </c>
      <c r="K43" t="s">
        <v>8131</v>
      </c>
    </row>
    <row r="44" spans="1:11" x14ac:dyDescent="0.25">
      <c r="A44" t="s">
        <v>183</v>
      </c>
      <c r="B44" t="s">
        <v>184</v>
      </c>
      <c r="C44" t="s">
        <v>185</v>
      </c>
      <c r="D44" t="s">
        <v>186</v>
      </c>
      <c r="E44" t="s">
        <v>14</v>
      </c>
      <c r="F44" t="s">
        <v>15</v>
      </c>
      <c r="G44">
        <v>15201</v>
      </c>
      <c r="H44" t="s">
        <v>21</v>
      </c>
      <c r="I44">
        <v>9</v>
      </c>
      <c r="J44">
        <v>0</v>
      </c>
      <c r="K44" t="s">
        <v>8121</v>
      </c>
    </row>
    <row r="45" spans="1:11" x14ac:dyDescent="0.25">
      <c r="A45" t="s">
        <v>187</v>
      </c>
      <c r="B45" t="s">
        <v>188</v>
      </c>
      <c r="C45" t="s">
        <v>189</v>
      </c>
      <c r="D45" t="s">
        <v>190</v>
      </c>
      <c r="E45" t="s">
        <v>14</v>
      </c>
      <c r="F45" t="s">
        <v>15</v>
      </c>
      <c r="G45">
        <v>15208</v>
      </c>
      <c r="H45" t="s">
        <v>21</v>
      </c>
      <c r="I45">
        <v>9</v>
      </c>
      <c r="J45">
        <v>1</v>
      </c>
      <c r="K45" t="s">
        <v>8131</v>
      </c>
    </row>
    <row r="46" spans="1:11" x14ac:dyDescent="0.25">
      <c r="A46" t="s">
        <v>191</v>
      </c>
      <c r="B46" t="s">
        <v>192</v>
      </c>
      <c r="C46" t="s">
        <v>193</v>
      </c>
      <c r="D46" t="s">
        <v>194</v>
      </c>
      <c r="E46" t="s">
        <v>14</v>
      </c>
      <c r="F46" t="s">
        <v>15</v>
      </c>
      <c r="G46">
        <v>15234</v>
      </c>
      <c r="H46" t="s">
        <v>16</v>
      </c>
      <c r="I46">
        <v>4</v>
      </c>
      <c r="J46">
        <v>1</v>
      </c>
      <c r="K46" t="s">
        <v>8131</v>
      </c>
    </row>
    <row r="47" spans="1:11" x14ac:dyDescent="0.25">
      <c r="A47" t="s">
        <v>195</v>
      </c>
      <c r="B47" t="s">
        <v>196</v>
      </c>
      <c r="C47" t="s">
        <v>197</v>
      </c>
      <c r="D47" t="s">
        <v>198</v>
      </c>
      <c r="E47" t="s">
        <v>14</v>
      </c>
      <c r="F47" t="s">
        <v>15</v>
      </c>
      <c r="G47">
        <v>15222</v>
      </c>
      <c r="H47" t="s">
        <v>21</v>
      </c>
      <c r="I47">
        <v>18</v>
      </c>
      <c r="J47">
        <v>0</v>
      </c>
      <c r="K47" t="s">
        <v>8131</v>
      </c>
    </row>
    <row r="48" spans="1:11" x14ac:dyDescent="0.25">
      <c r="A48" t="s">
        <v>199</v>
      </c>
      <c r="B48" t="s">
        <v>200</v>
      </c>
      <c r="C48" t="s">
        <v>201</v>
      </c>
      <c r="D48" t="s">
        <v>202</v>
      </c>
      <c r="E48" t="s">
        <v>14</v>
      </c>
      <c r="F48" t="s">
        <v>15</v>
      </c>
      <c r="G48">
        <v>15224</v>
      </c>
      <c r="H48" t="s">
        <v>21</v>
      </c>
      <c r="I48">
        <v>15</v>
      </c>
      <c r="J48">
        <v>1</v>
      </c>
      <c r="K48" t="s">
        <v>8120</v>
      </c>
    </row>
    <row r="49" spans="1:11" x14ac:dyDescent="0.25">
      <c r="A49" t="s">
        <v>203</v>
      </c>
      <c r="B49" t="s">
        <v>204</v>
      </c>
      <c r="C49" t="s">
        <v>205</v>
      </c>
      <c r="D49" t="s">
        <v>206</v>
      </c>
      <c r="E49" t="s">
        <v>14</v>
      </c>
      <c r="F49" t="s">
        <v>15</v>
      </c>
      <c r="G49">
        <v>15229</v>
      </c>
      <c r="H49" t="s">
        <v>21</v>
      </c>
      <c r="I49">
        <v>39</v>
      </c>
      <c r="J49">
        <v>0</v>
      </c>
      <c r="K49" t="s">
        <v>8131</v>
      </c>
    </row>
    <row r="50" spans="1:11" x14ac:dyDescent="0.25">
      <c r="A50" t="s">
        <v>207</v>
      </c>
      <c r="B50" t="s">
        <v>36</v>
      </c>
      <c r="C50" t="s">
        <v>208</v>
      </c>
      <c r="D50" t="s">
        <v>209</v>
      </c>
      <c r="E50" t="s">
        <v>14</v>
      </c>
      <c r="F50" t="s">
        <v>15</v>
      </c>
      <c r="G50">
        <v>15210</v>
      </c>
      <c r="H50" t="s">
        <v>21</v>
      </c>
      <c r="I50">
        <v>7</v>
      </c>
      <c r="J50">
        <v>1</v>
      </c>
      <c r="K50" t="s">
        <v>8131</v>
      </c>
    </row>
    <row r="51" spans="1:11" x14ac:dyDescent="0.25">
      <c r="A51" t="s">
        <v>210</v>
      </c>
      <c r="B51" t="s">
        <v>211</v>
      </c>
      <c r="C51" t="s">
        <v>212</v>
      </c>
      <c r="D51" t="s">
        <v>213</v>
      </c>
      <c r="E51" t="s">
        <v>14</v>
      </c>
      <c r="F51" t="s">
        <v>15</v>
      </c>
      <c r="G51">
        <v>15218</v>
      </c>
      <c r="H51" t="s">
        <v>92</v>
      </c>
      <c r="I51">
        <v>9</v>
      </c>
      <c r="J51">
        <v>1</v>
      </c>
      <c r="K51" t="s">
        <v>8131</v>
      </c>
    </row>
    <row r="52" spans="1:11" x14ac:dyDescent="0.25">
      <c r="A52" t="s">
        <v>214</v>
      </c>
      <c r="B52" t="s">
        <v>215</v>
      </c>
      <c r="C52" t="s">
        <v>216</v>
      </c>
      <c r="D52" t="s">
        <v>217</v>
      </c>
      <c r="E52" t="s">
        <v>14</v>
      </c>
      <c r="F52" t="s">
        <v>15</v>
      </c>
      <c r="G52">
        <v>15234</v>
      </c>
      <c r="H52" t="s">
        <v>16</v>
      </c>
      <c r="I52">
        <v>69</v>
      </c>
      <c r="J52">
        <v>1</v>
      </c>
      <c r="K52" t="s">
        <v>8131</v>
      </c>
    </row>
    <row r="53" spans="1:11" x14ac:dyDescent="0.25">
      <c r="A53" t="s">
        <v>218</v>
      </c>
      <c r="B53" t="s">
        <v>219</v>
      </c>
      <c r="C53" t="s">
        <v>220</v>
      </c>
      <c r="D53" t="s">
        <v>221</v>
      </c>
      <c r="E53" t="s">
        <v>14</v>
      </c>
      <c r="F53" t="s">
        <v>15</v>
      </c>
      <c r="G53">
        <v>15228</v>
      </c>
      <c r="H53" t="s">
        <v>16</v>
      </c>
      <c r="I53">
        <v>163</v>
      </c>
      <c r="J53">
        <v>1</v>
      </c>
      <c r="K53" t="s">
        <v>8131</v>
      </c>
    </row>
    <row r="54" spans="1:11" x14ac:dyDescent="0.25">
      <c r="A54" t="s">
        <v>222</v>
      </c>
      <c r="B54" t="s">
        <v>223</v>
      </c>
      <c r="C54" t="s">
        <v>224</v>
      </c>
      <c r="D54" t="s">
        <v>225</v>
      </c>
      <c r="E54" t="s">
        <v>14</v>
      </c>
      <c r="F54" t="s">
        <v>15</v>
      </c>
      <c r="G54">
        <v>15237</v>
      </c>
      <c r="H54" t="s">
        <v>34</v>
      </c>
      <c r="I54">
        <v>59</v>
      </c>
      <c r="J54">
        <v>1</v>
      </c>
      <c r="K54" t="s">
        <v>8131</v>
      </c>
    </row>
    <row r="55" spans="1:11" x14ac:dyDescent="0.25">
      <c r="A55" t="s">
        <v>226</v>
      </c>
      <c r="B55" t="s">
        <v>227</v>
      </c>
      <c r="C55" t="s">
        <v>228</v>
      </c>
      <c r="D55" t="s">
        <v>229</v>
      </c>
      <c r="E55" t="s">
        <v>14</v>
      </c>
      <c r="F55" t="s">
        <v>15</v>
      </c>
      <c r="G55">
        <v>15232</v>
      </c>
      <c r="H55" t="s">
        <v>113</v>
      </c>
      <c r="I55">
        <v>37</v>
      </c>
      <c r="J55">
        <v>1</v>
      </c>
      <c r="K55" t="s">
        <v>8131</v>
      </c>
    </row>
    <row r="56" spans="1:11" x14ac:dyDescent="0.25">
      <c r="A56" t="s">
        <v>230</v>
      </c>
      <c r="B56" t="s">
        <v>231</v>
      </c>
      <c r="C56" t="s">
        <v>232</v>
      </c>
      <c r="D56" t="s">
        <v>233</v>
      </c>
      <c r="E56" t="s">
        <v>14</v>
      </c>
      <c r="F56" t="s">
        <v>15</v>
      </c>
      <c r="G56">
        <v>15222</v>
      </c>
      <c r="H56" t="s">
        <v>48</v>
      </c>
      <c r="I56">
        <v>61</v>
      </c>
      <c r="J56">
        <v>1</v>
      </c>
      <c r="K56" t="s">
        <v>8131</v>
      </c>
    </row>
    <row r="57" spans="1:11" x14ac:dyDescent="0.25">
      <c r="A57" t="s">
        <v>234</v>
      </c>
      <c r="B57" t="s">
        <v>235</v>
      </c>
      <c r="C57" t="s">
        <v>236</v>
      </c>
      <c r="D57" t="s">
        <v>237</v>
      </c>
      <c r="E57" t="s">
        <v>14</v>
      </c>
      <c r="F57" t="s">
        <v>15</v>
      </c>
      <c r="G57">
        <v>15237</v>
      </c>
      <c r="H57" t="s">
        <v>16</v>
      </c>
      <c r="I57">
        <v>117</v>
      </c>
      <c r="J57">
        <v>1</v>
      </c>
      <c r="K57" t="s">
        <v>8117</v>
      </c>
    </row>
    <row r="58" spans="1:11" x14ac:dyDescent="0.25">
      <c r="A58" t="s">
        <v>238</v>
      </c>
      <c r="B58" t="s">
        <v>239</v>
      </c>
      <c r="C58" t="s">
        <v>240</v>
      </c>
      <c r="D58" t="s">
        <v>241</v>
      </c>
      <c r="E58" t="s">
        <v>14</v>
      </c>
      <c r="F58" t="s">
        <v>15</v>
      </c>
      <c r="G58">
        <v>15243</v>
      </c>
      <c r="H58" t="s">
        <v>34</v>
      </c>
      <c r="I58">
        <v>42</v>
      </c>
      <c r="J58">
        <v>0</v>
      </c>
      <c r="K58" t="s">
        <v>8122</v>
      </c>
    </row>
    <row r="59" spans="1:11" x14ac:dyDescent="0.25">
      <c r="A59" t="s">
        <v>242</v>
      </c>
      <c r="B59" t="s">
        <v>243</v>
      </c>
      <c r="C59" t="s">
        <v>244</v>
      </c>
      <c r="D59" t="s">
        <v>245</v>
      </c>
      <c r="E59" t="s">
        <v>14</v>
      </c>
      <c r="F59" t="s">
        <v>15</v>
      </c>
      <c r="G59">
        <v>15275</v>
      </c>
      <c r="H59" t="s">
        <v>16</v>
      </c>
      <c r="I59">
        <v>34</v>
      </c>
      <c r="J59">
        <v>1</v>
      </c>
      <c r="K59" t="s">
        <v>8131</v>
      </c>
    </row>
    <row r="60" spans="1:11" x14ac:dyDescent="0.25">
      <c r="A60" t="s">
        <v>246</v>
      </c>
      <c r="B60" t="s">
        <v>247</v>
      </c>
      <c r="C60" t="s">
        <v>248</v>
      </c>
      <c r="D60" t="s">
        <v>249</v>
      </c>
      <c r="E60" t="s">
        <v>14</v>
      </c>
      <c r="F60" t="s">
        <v>15</v>
      </c>
      <c r="G60">
        <v>15216</v>
      </c>
      <c r="H60" t="s">
        <v>48</v>
      </c>
      <c r="I60">
        <v>107</v>
      </c>
      <c r="J60">
        <v>0</v>
      </c>
      <c r="K60" t="s">
        <v>8118</v>
      </c>
    </row>
    <row r="61" spans="1:11" x14ac:dyDescent="0.25">
      <c r="A61" t="s">
        <v>250</v>
      </c>
      <c r="B61" t="s">
        <v>251</v>
      </c>
      <c r="C61" t="s">
        <v>252</v>
      </c>
      <c r="D61" t="s">
        <v>253</v>
      </c>
      <c r="E61" t="s">
        <v>14</v>
      </c>
      <c r="F61" t="s">
        <v>15</v>
      </c>
      <c r="G61">
        <v>15205</v>
      </c>
      <c r="H61" t="s">
        <v>16</v>
      </c>
      <c r="I61">
        <v>18</v>
      </c>
      <c r="J61">
        <v>1</v>
      </c>
      <c r="K61" t="s">
        <v>8131</v>
      </c>
    </row>
    <row r="62" spans="1:11" x14ac:dyDescent="0.25">
      <c r="A62" t="s">
        <v>254</v>
      </c>
      <c r="B62" t="s">
        <v>255</v>
      </c>
      <c r="C62" t="s">
        <v>256</v>
      </c>
      <c r="D62" t="s">
        <v>257</v>
      </c>
      <c r="E62" t="s">
        <v>14</v>
      </c>
      <c r="F62" t="s">
        <v>15</v>
      </c>
      <c r="G62">
        <v>15289</v>
      </c>
      <c r="H62" t="s">
        <v>16</v>
      </c>
      <c r="I62">
        <v>30</v>
      </c>
      <c r="J62">
        <v>0</v>
      </c>
      <c r="K62" t="s">
        <v>8121</v>
      </c>
    </row>
    <row r="63" spans="1:11" x14ac:dyDescent="0.25">
      <c r="A63" t="s">
        <v>258</v>
      </c>
      <c r="B63" t="s">
        <v>259</v>
      </c>
      <c r="C63" t="s">
        <v>260</v>
      </c>
      <c r="D63" t="s">
        <v>261</v>
      </c>
      <c r="E63" t="s">
        <v>14</v>
      </c>
      <c r="F63" t="s">
        <v>15</v>
      </c>
      <c r="G63">
        <v>15213</v>
      </c>
      <c r="H63" t="s">
        <v>48</v>
      </c>
      <c r="I63">
        <v>65</v>
      </c>
      <c r="J63">
        <v>1</v>
      </c>
      <c r="K63" t="s">
        <v>8122</v>
      </c>
    </row>
    <row r="64" spans="1:11" x14ac:dyDescent="0.25">
      <c r="A64" t="s">
        <v>262</v>
      </c>
      <c r="B64" t="s">
        <v>263</v>
      </c>
      <c r="C64" t="s">
        <v>264</v>
      </c>
      <c r="D64" t="s">
        <v>265</v>
      </c>
      <c r="E64" t="s">
        <v>14</v>
      </c>
      <c r="F64" t="s">
        <v>15</v>
      </c>
      <c r="G64">
        <v>15212</v>
      </c>
      <c r="H64" t="s">
        <v>16</v>
      </c>
      <c r="I64">
        <v>5</v>
      </c>
      <c r="J64">
        <v>1</v>
      </c>
      <c r="K64" t="s">
        <v>8131</v>
      </c>
    </row>
    <row r="65" spans="1:11" x14ac:dyDescent="0.25">
      <c r="A65" t="s">
        <v>266</v>
      </c>
      <c r="B65" t="s">
        <v>267</v>
      </c>
      <c r="C65" t="s">
        <v>268</v>
      </c>
      <c r="D65" t="s">
        <v>269</v>
      </c>
      <c r="E65" t="s">
        <v>14</v>
      </c>
      <c r="F65" t="s">
        <v>15</v>
      </c>
      <c r="G65">
        <v>15203</v>
      </c>
      <c r="H65" t="s">
        <v>34</v>
      </c>
      <c r="I65">
        <v>10</v>
      </c>
      <c r="J65">
        <v>0</v>
      </c>
      <c r="K65" t="s">
        <v>8131</v>
      </c>
    </row>
    <row r="66" spans="1:11" x14ac:dyDescent="0.25">
      <c r="A66" t="s">
        <v>270</v>
      </c>
      <c r="B66" t="s">
        <v>36</v>
      </c>
      <c r="C66" t="s">
        <v>271</v>
      </c>
      <c r="D66" t="s">
        <v>272</v>
      </c>
      <c r="E66" t="s">
        <v>14</v>
      </c>
      <c r="F66" t="s">
        <v>15</v>
      </c>
      <c r="G66">
        <v>15232</v>
      </c>
      <c r="H66" t="s">
        <v>113</v>
      </c>
      <c r="I66">
        <v>11</v>
      </c>
      <c r="J66">
        <v>0</v>
      </c>
      <c r="K66" t="s">
        <v>8131</v>
      </c>
    </row>
    <row r="67" spans="1:11" x14ac:dyDescent="0.25">
      <c r="A67" t="s">
        <v>273</v>
      </c>
      <c r="B67" t="s">
        <v>274</v>
      </c>
      <c r="C67" t="s">
        <v>275</v>
      </c>
      <c r="D67" t="s">
        <v>276</v>
      </c>
      <c r="E67" t="s">
        <v>14</v>
      </c>
      <c r="F67" t="s">
        <v>15</v>
      </c>
      <c r="G67">
        <v>15226</v>
      </c>
      <c r="H67" t="s">
        <v>48</v>
      </c>
      <c r="I67">
        <v>6</v>
      </c>
      <c r="J67">
        <v>0</v>
      </c>
      <c r="K67" t="s">
        <v>8120</v>
      </c>
    </row>
    <row r="68" spans="1:11" x14ac:dyDescent="0.25">
      <c r="A68" t="s">
        <v>277</v>
      </c>
      <c r="B68" t="s">
        <v>278</v>
      </c>
      <c r="C68" t="s">
        <v>279</v>
      </c>
      <c r="D68" t="s">
        <v>280</v>
      </c>
      <c r="E68" t="s">
        <v>14</v>
      </c>
      <c r="F68" t="s">
        <v>15</v>
      </c>
      <c r="G68">
        <v>15224</v>
      </c>
      <c r="H68" t="s">
        <v>16</v>
      </c>
      <c r="I68">
        <v>8</v>
      </c>
      <c r="J68">
        <v>0</v>
      </c>
      <c r="K68" t="s">
        <v>8131</v>
      </c>
    </row>
    <row r="69" spans="1:11" x14ac:dyDescent="0.25">
      <c r="A69" t="s">
        <v>281</v>
      </c>
      <c r="B69" t="s">
        <v>282</v>
      </c>
      <c r="C69" t="s">
        <v>283</v>
      </c>
      <c r="D69" t="s">
        <v>284</v>
      </c>
      <c r="E69" t="s">
        <v>14</v>
      </c>
      <c r="F69" t="s">
        <v>15</v>
      </c>
      <c r="G69">
        <v>15234</v>
      </c>
      <c r="H69" t="s">
        <v>48</v>
      </c>
      <c r="I69">
        <v>14</v>
      </c>
      <c r="J69">
        <v>0</v>
      </c>
      <c r="K69" t="s">
        <v>8124</v>
      </c>
    </row>
    <row r="70" spans="1:11" x14ac:dyDescent="0.25">
      <c r="A70" t="s">
        <v>285</v>
      </c>
      <c r="B70" t="s">
        <v>286</v>
      </c>
      <c r="C70" t="s">
        <v>287</v>
      </c>
      <c r="D70" t="s">
        <v>288</v>
      </c>
      <c r="E70" t="s">
        <v>14</v>
      </c>
      <c r="F70" t="s">
        <v>15</v>
      </c>
      <c r="G70">
        <v>15222</v>
      </c>
      <c r="H70" t="s">
        <v>16</v>
      </c>
      <c r="I70">
        <v>57</v>
      </c>
      <c r="J70">
        <v>1</v>
      </c>
      <c r="K70" t="s">
        <v>8131</v>
      </c>
    </row>
    <row r="71" spans="1:11" x14ac:dyDescent="0.25">
      <c r="A71" t="s">
        <v>289</v>
      </c>
      <c r="B71" t="s">
        <v>290</v>
      </c>
      <c r="C71" t="s">
        <v>291</v>
      </c>
      <c r="D71" t="s">
        <v>292</v>
      </c>
      <c r="E71" t="s">
        <v>14</v>
      </c>
      <c r="F71" t="s">
        <v>15</v>
      </c>
      <c r="G71">
        <v>15237</v>
      </c>
      <c r="H71" t="s">
        <v>48</v>
      </c>
      <c r="I71">
        <v>19</v>
      </c>
      <c r="J71">
        <v>1</v>
      </c>
      <c r="K71" t="s">
        <v>8131</v>
      </c>
    </row>
    <row r="72" spans="1:11" x14ac:dyDescent="0.25">
      <c r="A72" t="s">
        <v>293</v>
      </c>
      <c r="B72" t="s">
        <v>294</v>
      </c>
      <c r="C72" t="s">
        <v>295</v>
      </c>
      <c r="D72" t="s">
        <v>296</v>
      </c>
      <c r="E72" t="s">
        <v>14</v>
      </c>
      <c r="F72" t="s">
        <v>15</v>
      </c>
      <c r="G72">
        <v>15216</v>
      </c>
      <c r="H72" t="s">
        <v>113</v>
      </c>
      <c r="I72">
        <v>3</v>
      </c>
      <c r="J72">
        <v>1</v>
      </c>
      <c r="K72" t="s">
        <v>8120</v>
      </c>
    </row>
    <row r="73" spans="1:11" x14ac:dyDescent="0.25">
      <c r="A73" t="s">
        <v>297</v>
      </c>
      <c r="B73" t="s">
        <v>298</v>
      </c>
      <c r="C73" t="s">
        <v>32</v>
      </c>
      <c r="D73" t="s">
        <v>299</v>
      </c>
      <c r="E73" t="s">
        <v>14</v>
      </c>
      <c r="F73" t="s">
        <v>15</v>
      </c>
      <c r="G73">
        <v>15213</v>
      </c>
      <c r="H73" t="s">
        <v>48</v>
      </c>
      <c r="I73">
        <v>4</v>
      </c>
      <c r="J73">
        <v>1</v>
      </c>
      <c r="K73" t="s">
        <v>8131</v>
      </c>
    </row>
    <row r="74" spans="1:11" x14ac:dyDescent="0.25">
      <c r="A74" t="s">
        <v>300</v>
      </c>
      <c r="B74" t="s">
        <v>301</v>
      </c>
      <c r="C74" t="s">
        <v>302</v>
      </c>
      <c r="D74" t="s">
        <v>303</v>
      </c>
      <c r="E74" t="s">
        <v>14</v>
      </c>
      <c r="F74" t="s">
        <v>15</v>
      </c>
      <c r="G74">
        <v>15240</v>
      </c>
      <c r="H74" t="s">
        <v>16</v>
      </c>
      <c r="I74">
        <v>67</v>
      </c>
      <c r="J74">
        <v>1</v>
      </c>
      <c r="K74" t="s">
        <v>8121</v>
      </c>
    </row>
    <row r="75" spans="1:11" x14ac:dyDescent="0.25">
      <c r="A75" t="s">
        <v>304</v>
      </c>
      <c r="B75" t="s">
        <v>305</v>
      </c>
      <c r="C75" t="s">
        <v>306</v>
      </c>
      <c r="D75" t="s">
        <v>307</v>
      </c>
      <c r="E75" t="s">
        <v>14</v>
      </c>
      <c r="F75" t="s">
        <v>15</v>
      </c>
      <c r="G75">
        <v>15213</v>
      </c>
      <c r="H75" t="s">
        <v>48</v>
      </c>
      <c r="I75">
        <v>4</v>
      </c>
      <c r="J75">
        <v>0</v>
      </c>
      <c r="K75" t="s">
        <v>8132</v>
      </c>
    </row>
    <row r="76" spans="1:11" x14ac:dyDescent="0.25">
      <c r="A76" t="s">
        <v>308</v>
      </c>
      <c r="B76" t="s">
        <v>309</v>
      </c>
      <c r="C76" t="s">
        <v>228</v>
      </c>
      <c r="D76" t="s">
        <v>310</v>
      </c>
      <c r="E76" t="s">
        <v>14</v>
      </c>
      <c r="F76" t="s">
        <v>15</v>
      </c>
      <c r="G76">
        <v>15205</v>
      </c>
      <c r="H76" t="s">
        <v>43</v>
      </c>
      <c r="I76">
        <v>3</v>
      </c>
      <c r="J76">
        <v>1</v>
      </c>
      <c r="K76" t="s">
        <v>8131</v>
      </c>
    </row>
    <row r="77" spans="1:11" x14ac:dyDescent="0.25">
      <c r="A77" t="s">
        <v>311</v>
      </c>
      <c r="B77" t="s">
        <v>312</v>
      </c>
      <c r="C77" t="s">
        <v>313</v>
      </c>
      <c r="D77" t="s">
        <v>314</v>
      </c>
      <c r="E77" t="s">
        <v>14</v>
      </c>
      <c r="F77" t="s">
        <v>15</v>
      </c>
      <c r="G77">
        <v>15213</v>
      </c>
      <c r="H77" t="s">
        <v>48</v>
      </c>
      <c r="I77">
        <v>3</v>
      </c>
      <c r="J77">
        <v>1</v>
      </c>
      <c r="K77" t="s">
        <v>8121</v>
      </c>
    </row>
    <row r="78" spans="1:11" x14ac:dyDescent="0.25">
      <c r="A78" t="s">
        <v>315</v>
      </c>
      <c r="B78" t="s">
        <v>316</v>
      </c>
      <c r="C78" t="s">
        <v>260</v>
      </c>
      <c r="D78" t="s">
        <v>317</v>
      </c>
      <c r="E78" t="s">
        <v>14</v>
      </c>
      <c r="F78" t="s">
        <v>15</v>
      </c>
      <c r="G78">
        <v>15237</v>
      </c>
      <c r="H78" t="s">
        <v>48</v>
      </c>
      <c r="I78">
        <v>10</v>
      </c>
      <c r="J78">
        <v>1</v>
      </c>
      <c r="K78" t="s">
        <v>8122</v>
      </c>
    </row>
    <row r="79" spans="1:11" x14ac:dyDescent="0.25">
      <c r="A79" t="s">
        <v>318</v>
      </c>
      <c r="B79" t="s">
        <v>319</v>
      </c>
      <c r="C79" t="s">
        <v>320</v>
      </c>
      <c r="D79" t="s">
        <v>321</v>
      </c>
      <c r="E79" t="s">
        <v>14</v>
      </c>
      <c r="F79" t="s">
        <v>15</v>
      </c>
      <c r="G79">
        <v>15219</v>
      </c>
      <c r="H79" t="s">
        <v>113</v>
      </c>
      <c r="I79">
        <v>4</v>
      </c>
      <c r="J79">
        <v>0</v>
      </c>
      <c r="K79" t="s">
        <v>8120</v>
      </c>
    </row>
    <row r="80" spans="1:11" x14ac:dyDescent="0.25">
      <c r="A80" t="s">
        <v>322</v>
      </c>
      <c r="B80" t="s">
        <v>323</v>
      </c>
      <c r="C80" t="s">
        <v>324</v>
      </c>
      <c r="D80" t="s">
        <v>325</v>
      </c>
      <c r="E80" t="s">
        <v>14</v>
      </c>
      <c r="F80" t="s">
        <v>15</v>
      </c>
      <c r="G80">
        <v>15219</v>
      </c>
      <c r="H80" t="s">
        <v>48</v>
      </c>
      <c r="I80">
        <v>8</v>
      </c>
      <c r="J80">
        <v>1</v>
      </c>
      <c r="K80" t="s">
        <v>8124</v>
      </c>
    </row>
    <row r="81" spans="1:11" x14ac:dyDescent="0.25">
      <c r="A81" t="s">
        <v>326</v>
      </c>
      <c r="B81" t="s">
        <v>327</v>
      </c>
      <c r="C81" t="s">
        <v>328</v>
      </c>
      <c r="D81" t="s">
        <v>329</v>
      </c>
      <c r="E81" t="s">
        <v>14</v>
      </c>
      <c r="F81" t="s">
        <v>15</v>
      </c>
      <c r="G81">
        <v>15213</v>
      </c>
      <c r="H81" t="s">
        <v>92</v>
      </c>
      <c r="I81">
        <v>12</v>
      </c>
      <c r="J81">
        <v>1</v>
      </c>
      <c r="K81" t="s">
        <v>8131</v>
      </c>
    </row>
    <row r="82" spans="1:11" x14ac:dyDescent="0.25">
      <c r="A82" t="s">
        <v>330</v>
      </c>
      <c r="B82" t="s">
        <v>331</v>
      </c>
      <c r="C82" t="s">
        <v>332</v>
      </c>
      <c r="D82" t="s">
        <v>333</v>
      </c>
      <c r="E82" t="s">
        <v>14</v>
      </c>
      <c r="F82" t="s">
        <v>15</v>
      </c>
      <c r="G82">
        <v>15222</v>
      </c>
      <c r="H82" t="s">
        <v>48</v>
      </c>
      <c r="I82">
        <v>81</v>
      </c>
      <c r="J82">
        <v>1</v>
      </c>
      <c r="K82" t="s">
        <v>8123</v>
      </c>
    </row>
    <row r="83" spans="1:11" x14ac:dyDescent="0.25">
      <c r="A83" t="s">
        <v>334</v>
      </c>
      <c r="B83" t="s">
        <v>335</v>
      </c>
      <c r="C83" t="s">
        <v>336</v>
      </c>
      <c r="D83" t="s">
        <v>337</v>
      </c>
      <c r="E83" t="s">
        <v>14</v>
      </c>
      <c r="F83" t="s">
        <v>15</v>
      </c>
      <c r="G83">
        <v>15222</v>
      </c>
      <c r="H83" t="s">
        <v>48</v>
      </c>
      <c r="I83">
        <v>7</v>
      </c>
      <c r="J83">
        <v>0</v>
      </c>
      <c r="K83" t="s">
        <v>8131</v>
      </c>
    </row>
    <row r="84" spans="1:11" x14ac:dyDescent="0.25">
      <c r="A84" t="s">
        <v>338</v>
      </c>
      <c r="B84" t="s">
        <v>339</v>
      </c>
      <c r="C84" t="s">
        <v>340</v>
      </c>
      <c r="D84" t="s">
        <v>341</v>
      </c>
      <c r="E84" t="s">
        <v>14</v>
      </c>
      <c r="F84" t="s">
        <v>15</v>
      </c>
      <c r="G84">
        <v>15205</v>
      </c>
      <c r="H84" t="s">
        <v>43</v>
      </c>
      <c r="I84">
        <v>27</v>
      </c>
      <c r="J84">
        <v>1</v>
      </c>
      <c r="K84" t="s">
        <v>8131</v>
      </c>
    </row>
    <row r="85" spans="1:11" x14ac:dyDescent="0.25">
      <c r="A85" t="s">
        <v>342</v>
      </c>
      <c r="B85" t="s">
        <v>343</v>
      </c>
      <c r="C85" t="s">
        <v>344</v>
      </c>
      <c r="D85" t="s">
        <v>345</v>
      </c>
      <c r="E85" t="s">
        <v>14</v>
      </c>
      <c r="F85" t="s">
        <v>15</v>
      </c>
      <c r="G85">
        <v>15235</v>
      </c>
      <c r="H85" t="s">
        <v>21</v>
      </c>
      <c r="I85">
        <v>5</v>
      </c>
      <c r="J85">
        <v>1</v>
      </c>
      <c r="K85" t="s">
        <v>8131</v>
      </c>
    </row>
    <row r="86" spans="1:11" x14ac:dyDescent="0.25">
      <c r="A86" t="s">
        <v>346</v>
      </c>
      <c r="B86" t="s">
        <v>347</v>
      </c>
      <c r="C86" t="s">
        <v>348</v>
      </c>
      <c r="D86" t="s">
        <v>349</v>
      </c>
      <c r="E86" t="s">
        <v>14</v>
      </c>
      <c r="F86" t="s">
        <v>15</v>
      </c>
      <c r="G86">
        <v>15232</v>
      </c>
      <c r="H86" t="s">
        <v>16</v>
      </c>
      <c r="I86">
        <v>61</v>
      </c>
      <c r="J86">
        <v>1</v>
      </c>
      <c r="K86" t="s">
        <v>8131</v>
      </c>
    </row>
    <row r="87" spans="1:11" x14ac:dyDescent="0.25">
      <c r="A87" t="s">
        <v>350</v>
      </c>
      <c r="B87" t="s">
        <v>309</v>
      </c>
      <c r="C87" t="s">
        <v>228</v>
      </c>
      <c r="D87" t="s">
        <v>351</v>
      </c>
      <c r="E87" t="s">
        <v>14</v>
      </c>
      <c r="F87" t="s">
        <v>15</v>
      </c>
      <c r="G87">
        <v>15226</v>
      </c>
      <c r="H87" t="s">
        <v>113</v>
      </c>
      <c r="I87">
        <v>16</v>
      </c>
      <c r="J87">
        <v>1</v>
      </c>
      <c r="K87" t="s">
        <v>8131</v>
      </c>
    </row>
    <row r="88" spans="1:11" x14ac:dyDescent="0.25">
      <c r="A88" t="s">
        <v>352</v>
      </c>
      <c r="B88" t="s">
        <v>353</v>
      </c>
      <c r="C88" t="s">
        <v>354</v>
      </c>
      <c r="D88" t="s">
        <v>355</v>
      </c>
      <c r="E88" t="s">
        <v>14</v>
      </c>
      <c r="F88" t="s">
        <v>15</v>
      </c>
      <c r="G88">
        <v>15212</v>
      </c>
      <c r="H88" t="s">
        <v>34</v>
      </c>
      <c r="I88">
        <v>20</v>
      </c>
      <c r="J88">
        <v>1</v>
      </c>
      <c r="K88" t="s">
        <v>8131</v>
      </c>
    </row>
    <row r="89" spans="1:11" x14ac:dyDescent="0.25">
      <c r="A89" t="s">
        <v>356</v>
      </c>
      <c r="B89" t="s">
        <v>65</v>
      </c>
      <c r="C89" t="s">
        <v>357</v>
      </c>
      <c r="D89" t="s">
        <v>179</v>
      </c>
      <c r="E89" t="s">
        <v>14</v>
      </c>
      <c r="F89" t="s">
        <v>15</v>
      </c>
      <c r="G89">
        <v>15205</v>
      </c>
      <c r="H89" t="s">
        <v>113</v>
      </c>
      <c r="I89">
        <v>20</v>
      </c>
      <c r="J89">
        <v>1</v>
      </c>
      <c r="K89" t="s">
        <v>8131</v>
      </c>
    </row>
    <row r="90" spans="1:11" x14ac:dyDescent="0.25">
      <c r="A90" t="s">
        <v>358</v>
      </c>
      <c r="B90" t="s">
        <v>65</v>
      </c>
      <c r="C90" t="s">
        <v>359</v>
      </c>
      <c r="D90" t="s">
        <v>360</v>
      </c>
      <c r="E90" t="s">
        <v>14</v>
      </c>
      <c r="F90" t="s">
        <v>15</v>
      </c>
      <c r="G90">
        <v>15218</v>
      </c>
      <c r="H90" t="s">
        <v>43</v>
      </c>
      <c r="I90">
        <v>3</v>
      </c>
      <c r="J90">
        <v>0</v>
      </c>
      <c r="K90" t="s">
        <v>8131</v>
      </c>
    </row>
    <row r="91" spans="1:11" x14ac:dyDescent="0.25">
      <c r="A91" t="s">
        <v>361</v>
      </c>
      <c r="B91" t="s">
        <v>267</v>
      </c>
      <c r="C91" t="s">
        <v>362</v>
      </c>
      <c r="D91" t="s">
        <v>363</v>
      </c>
      <c r="E91" t="s">
        <v>14</v>
      </c>
      <c r="F91" t="s">
        <v>15</v>
      </c>
      <c r="G91">
        <v>15222</v>
      </c>
      <c r="H91" t="s">
        <v>34</v>
      </c>
      <c r="I91">
        <v>5</v>
      </c>
      <c r="J91">
        <v>1</v>
      </c>
      <c r="K91" t="s">
        <v>8131</v>
      </c>
    </row>
    <row r="92" spans="1:11" x14ac:dyDescent="0.25">
      <c r="A92" t="s">
        <v>364</v>
      </c>
      <c r="B92" t="s">
        <v>365</v>
      </c>
      <c r="C92" t="s">
        <v>366</v>
      </c>
      <c r="D92" t="s">
        <v>367</v>
      </c>
      <c r="E92" t="s">
        <v>14</v>
      </c>
      <c r="F92" t="s">
        <v>15</v>
      </c>
      <c r="G92">
        <v>15241</v>
      </c>
      <c r="H92" t="s">
        <v>43</v>
      </c>
      <c r="I92">
        <v>5</v>
      </c>
      <c r="J92">
        <v>0</v>
      </c>
      <c r="K92" t="s">
        <v>8131</v>
      </c>
    </row>
    <row r="93" spans="1:11" x14ac:dyDescent="0.25">
      <c r="A93" t="s">
        <v>368</v>
      </c>
      <c r="B93" t="s">
        <v>369</v>
      </c>
      <c r="C93" t="s">
        <v>370</v>
      </c>
      <c r="D93" t="s">
        <v>371</v>
      </c>
      <c r="E93" t="s">
        <v>14</v>
      </c>
      <c r="F93" t="s">
        <v>15</v>
      </c>
      <c r="G93">
        <v>15203</v>
      </c>
      <c r="H93" t="s">
        <v>113</v>
      </c>
      <c r="I93">
        <v>27</v>
      </c>
      <c r="J93">
        <v>0</v>
      </c>
      <c r="K93" t="s">
        <v>8131</v>
      </c>
    </row>
    <row r="94" spans="1:11" x14ac:dyDescent="0.25">
      <c r="A94" t="s">
        <v>372</v>
      </c>
      <c r="B94" t="s">
        <v>373</v>
      </c>
      <c r="C94" t="s">
        <v>374</v>
      </c>
      <c r="D94" t="s">
        <v>375</v>
      </c>
      <c r="E94" t="s">
        <v>14</v>
      </c>
      <c r="F94" t="s">
        <v>15</v>
      </c>
      <c r="G94">
        <v>15228</v>
      </c>
      <c r="H94" t="s">
        <v>34</v>
      </c>
      <c r="I94">
        <v>25</v>
      </c>
      <c r="J94">
        <v>0</v>
      </c>
      <c r="K94" t="s">
        <v>8131</v>
      </c>
    </row>
    <row r="95" spans="1:11" x14ac:dyDescent="0.25">
      <c r="A95" t="s">
        <v>376</v>
      </c>
      <c r="B95" t="s">
        <v>377</v>
      </c>
      <c r="C95" t="s">
        <v>378</v>
      </c>
      <c r="D95" t="s">
        <v>379</v>
      </c>
      <c r="E95" t="s">
        <v>14</v>
      </c>
      <c r="F95" t="s">
        <v>15</v>
      </c>
      <c r="G95">
        <v>15217</v>
      </c>
      <c r="H95" t="s">
        <v>34</v>
      </c>
      <c r="I95">
        <v>4</v>
      </c>
      <c r="J95">
        <v>0</v>
      </c>
      <c r="K95" t="s">
        <v>8124</v>
      </c>
    </row>
    <row r="96" spans="1:11" x14ac:dyDescent="0.25">
      <c r="A96" t="s">
        <v>380</v>
      </c>
      <c r="B96" t="s">
        <v>65</v>
      </c>
      <c r="C96" t="s">
        <v>381</v>
      </c>
      <c r="D96" t="s">
        <v>382</v>
      </c>
      <c r="E96" t="s">
        <v>14</v>
      </c>
      <c r="F96" t="s">
        <v>15</v>
      </c>
      <c r="G96">
        <v>15216</v>
      </c>
      <c r="H96" t="s">
        <v>34</v>
      </c>
      <c r="I96">
        <v>48</v>
      </c>
      <c r="J96">
        <v>1</v>
      </c>
      <c r="K96" t="s">
        <v>8131</v>
      </c>
    </row>
    <row r="97" spans="1:11" x14ac:dyDescent="0.25">
      <c r="A97" t="s">
        <v>383</v>
      </c>
      <c r="B97" t="s">
        <v>384</v>
      </c>
      <c r="C97" t="s">
        <v>385</v>
      </c>
      <c r="D97" t="s">
        <v>386</v>
      </c>
      <c r="E97" t="s">
        <v>14</v>
      </c>
      <c r="F97" t="s">
        <v>15</v>
      </c>
      <c r="G97">
        <v>15289</v>
      </c>
      <c r="H97" t="s">
        <v>48</v>
      </c>
      <c r="I97">
        <v>307</v>
      </c>
      <c r="J97">
        <v>0</v>
      </c>
      <c r="K97" t="s">
        <v>8131</v>
      </c>
    </row>
    <row r="98" spans="1:11" x14ac:dyDescent="0.25">
      <c r="A98" t="s">
        <v>387</v>
      </c>
      <c r="B98" t="s">
        <v>388</v>
      </c>
      <c r="C98" t="s">
        <v>389</v>
      </c>
      <c r="D98" t="s">
        <v>390</v>
      </c>
      <c r="E98" t="s">
        <v>14</v>
      </c>
      <c r="F98" t="s">
        <v>15</v>
      </c>
      <c r="G98">
        <v>15232</v>
      </c>
      <c r="H98" t="s">
        <v>16</v>
      </c>
      <c r="I98">
        <v>156</v>
      </c>
      <c r="J98">
        <v>1</v>
      </c>
      <c r="K98" t="s">
        <v>8131</v>
      </c>
    </row>
    <row r="99" spans="1:11" x14ac:dyDescent="0.25">
      <c r="A99" t="s">
        <v>391</v>
      </c>
      <c r="B99" t="s">
        <v>392</v>
      </c>
      <c r="C99" t="s">
        <v>393</v>
      </c>
      <c r="D99" t="s">
        <v>394</v>
      </c>
      <c r="E99" t="s">
        <v>14</v>
      </c>
      <c r="F99" t="s">
        <v>15</v>
      </c>
      <c r="G99">
        <v>15232</v>
      </c>
      <c r="H99" t="s">
        <v>16</v>
      </c>
      <c r="I99">
        <v>219</v>
      </c>
      <c r="J99">
        <v>1</v>
      </c>
      <c r="K99" t="s">
        <v>8125</v>
      </c>
    </row>
    <row r="100" spans="1:11" x14ac:dyDescent="0.25">
      <c r="A100" t="s">
        <v>395</v>
      </c>
      <c r="B100" t="s">
        <v>396</v>
      </c>
      <c r="C100" t="s">
        <v>397</v>
      </c>
      <c r="D100" t="s">
        <v>398</v>
      </c>
      <c r="E100" t="s">
        <v>14</v>
      </c>
      <c r="F100" t="s">
        <v>15</v>
      </c>
      <c r="G100">
        <v>15219</v>
      </c>
      <c r="H100" t="s">
        <v>43</v>
      </c>
      <c r="I100">
        <v>123</v>
      </c>
      <c r="J100">
        <v>0</v>
      </c>
      <c r="K100" t="s">
        <v>8131</v>
      </c>
    </row>
    <row r="101" spans="1:11" x14ac:dyDescent="0.25">
      <c r="A101" t="s">
        <v>399</v>
      </c>
      <c r="B101" t="s">
        <v>400</v>
      </c>
      <c r="C101" t="s">
        <v>401</v>
      </c>
      <c r="D101" t="s">
        <v>402</v>
      </c>
      <c r="E101" t="s">
        <v>14</v>
      </c>
      <c r="F101" t="s">
        <v>15</v>
      </c>
      <c r="G101">
        <v>15216</v>
      </c>
      <c r="H101" t="s">
        <v>48</v>
      </c>
      <c r="I101">
        <v>65</v>
      </c>
      <c r="J101">
        <v>1</v>
      </c>
      <c r="K101" t="s">
        <v>8133</v>
      </c>
    </row>
    <row r="102" spans="1:11" x14ac:dyDescent="0.25">
      <c r="A102" t="s">
        <v>403</v>
      </c>
      <c r="B102" t="s">
        <v>282</v>
      </c>
      <c r="C102" t="s">
        <v>404</v>
      </c>
      <c r="D102" t="s">
        <v>405</v>
      </c>
      <c r="E102" t="s">
        <v>14</v>
      </c>
      <c r="F102" t="s">
        <v>15</v>
      </c>
      <c r="G102">
        <v>15237</v>
      </c>
      <c r="H102" t="s">
        <v>48</v>
      </c>
      <c r="I102">
        <v>27</v>
      </c>
      <c r="J102">
        <v>1</v>
      </c>
      <c r="K102" t="s">
        <v>8124</v>
      </c>
    </row>
    <row r="103" spans="1:11" x14ac:dyDescent="0.25">
      <c r="A103" t="s">
        <v>406</v>
      </c>
      <c r="B103" t="s">
        <v>407</v>
      </c>
      <c r="C103" t="s">
        <v>408</v>
      </c>
      <c r="D103" t="s">
        <v>409</v>
      </c>
      <c r="E103" t="s">
        <v>14</v>
      </c>
      <c r="F103" t="s">
        <v>15</v>
      </c>
      <c r="G103">
        <v>15223</v>
      </c>
      <c r="H103" t="s">
        <v>16</v>
      </c>
      <c r="I103">
        <v>5</v>
      </c>
      <c r="J103">
        <v>0</v>
      </c>
      <c r="K103" t="s">
        <v>8131</v>
      </c>
    </row>
    <row r="104" spans="1:11" x14ac:dyDescent="0.25">
      <c r="A104" t="s">
        <v>410</v>
      </c>
      <c r="B104" t="s">
        <v>411</v>
      </c>
      <c r="C104" t="s">
        <v>208</v>
      </c>
      <c r="D104" t="s">
        <v>412</v>
      </c>
      <c r="E104" t="s">
        <v>14</v>
      </c>
      <c r="F104" t="s">
        <v>15</v>
      </c>
      <c r="G104">
        <v>15213</v>
      </c>
      <c r="H104" t="s">
        <v>43</v>
      </c>
      <c r="I104">
        <v>22</v>
      </c>
      <c r="J104">
        <v>1</v>
      </c>
      <c r="K104" t="s">
        <v>8131</v>
      </c>
    </row>
    <row r="105" spans="1:11" x14ac:dyDescent="0.25">
      <c r="A105" t="s">
        <v>413</v>
      </c>
      <c r="B105" t="s">
        <v>414</v>
      </c>
      <c r="C105" t="s">
        <v>415</v>
      </c>
      <c r="D105" t="s">
        <v>416</v>
      </c>
      <c r="E105" t="s">
        <v>14</v>
      </c>
      <c r="F105" t="s">
        <v>15</v>
      </c>
      <c r="G105">
        <v>15222</v>
      </c>
      <c r="H105" t="s">
        <v>48</v>
      </c>
      <c r="I105">
        <v>115</v>
      </c>
      <c r="J105">
        <v>1</v>
      </c>
      <c r="K105" t="s">
        <v>8132</v>
      </c>
    </row>
    <row r="106" spans="1:11" x14ac:dyDescent="0.25">
      <c r="A106" t="s">
        <v>417</v>
      </c>
      <c r="B106" t="s">
        <v>418</v>
      </c>
      <c r="C106" t="s">
        <v>419</v>
      </c>
      <c r="D106" t="s">
        <v>420</v>
      </c>
      <c r="E106" t="s">
        <v>14</v>
      </c>
      <c r="F106" t="s">
        <v>15</v>
      </c>
      <c r="G106">
        <v>15213</v>
      </c>
      <c r="H106" t="s">
        <v>157</v>
      </c>
      <c r="I106">
        <v>20</v>
      </c>
      <c r="J106">
        <v>1</v>
      </c>
      <c r="K106" t="s">
        <v>8131</v>
      </c>
    </row>
    <row r="107" spans="1:11" x14ac:dyDescent="0.25">
      <c r="A107" t="s">
        <v>421</v>
      </c>
      <c r="B107" t="s">
        <v>422</v>
      </c>
      <c r="C107" t="s">
        <v>423</v>
      </c>
      <c r="D107" t="s">
        <v>424</v>
      </c>
      <c r="E107" t="s">
        <v>14</v>
      </c>
      <c r="F107" t="s">
        <v>15</v>
      </c>
      <c r="G107">
        <v>15217</v>
      </c>
      <c r="H107" t="s">
        <v>21</v>
      </c>
      <c r="I107">
        <v>205</v>
      </c>
      <c r="J107">
        <v>1</v>
      </c>
      <c r="K107" t="s">
        <v>8124</v>
      </c>
    </row>
    <row r="108" spans="1:11" x14ac:dyDescent="0.25">
      <c r="A108" t="s">
        <v>425</v>
      </c>
      <c r="B108" t="s">
        <v>426</v>
      </c>
      <c r="C108" t="s">
        <v>427</v>
      </c>
      <c r="D108" t="s">
        <v>428</v>
      </c>
      <c r="E108" t="s">
        <v>14</v>
      </c>
      <c r="F108" t="s">
        <v>15</v>
      </c>
      <c r="G108">
        <v>15201</v>
      </c>
      <c r="H108" t="s">
        <v>16</v>
      </c>
      <c r="I108">
        <v>38</v>
      </c>
      <c r="J108">
        <v>1</v>
      </c>
      <c r="K108" t="s">
        <v>8120</v>
      </c>
    </row>
    <row r="109" spans="1:11" x14ac:dyDescent="0.25">
      <c r="A109" t="s">
        <v>429</v>
      </c>
      <c r="B109" t="s">
        <v>430</v>
      </c>
      <c r="C109" t="s">
        <v>431</v>
      </c>
      <c r="D109" t="s">
        <v>432</v>
      </c>
      <c r="E109" t="s">
        <v>14</v>
      </c>
      <c r="F109" t="s">
        <v>15</v>
      </c>
      <c r="G109">
        <v>15237</v>
      </c>
      <c r="H109" t="s">
        <v>21</v>
      </c>
      <c r="I109">
        <v>11</v>
      </c>
      <c r="J109">
        <v>1</v>
      </c>
      <c r="K109" t="s">
        <v>8131</v>
      </c>
    </row>
    <row r="110" spans="1:11" x14ac:dyDescent="0.25">
      <c r="A110" t="s">
        <v>433</v>
      </c>
      <c r="B110" t="s">
        <v>434</v>
      </c>
      <c r="C110" t="s">
        <v>435</v>
      </c>
      <c r="D110" t="s">
        <v>436</v>
      </c>
      <c r="E110" t="s">
        <v>14</v>
      </c>
      <c r="F110" t="s">
        <v>15</v>
      </c>
      <c r="G110">
        <v>15203</v>
      </c>
      <c r="H110" t="s">
        <v>48</v>
      </c>
      <c r="I110">
        <v>14</v>
      </c>
      <c r="J110">
        <v>0</v>
      </c>
      <c r="K110" t="s">
        <v>8131</v>
      </c>
    </row>
    <row r="111" spans="1:11" x14ac:dyDescent="0.25">
      <c r="A111" t="s">
        <v>437</v>
      </c>
      <c r="B111" t="s">
        <v>407</v>
      </c>
      <c r="C111" t="s">
        <v>438</v>
      </c>
      <c r="D111" t="s">
        <v>321</v>
      </c>
      <c r="E111" t="s">
        <v>14</v>
      </c>
      <c r="F111" t="s">
        <v>15</v>
      </c>
      <c r="G111">
        <v>15219</v>
      </c>
      <c r="H111" t="s">
        <v>113</v>
      </c>
      <c r="I111">
        <v>4</v>
      </c>
      <c r="J111">
        <v>0</v>
      </c>
      <c r="K111" t="s">
        <v>8131</v>
      </c>
    </row>
    <row r="112" spans="1:11" x14ac:dyDescent="0.25">
      <c r="A112" t="s">
        <v>439</v>
      </c>
      <c r="B112" t="s">
        <v>440</v>
      </c>
      <c r="C112" t="s">
        <v>441</v>
      </c>
      <c r="D112" t="s">
        <v>442</v>
      </c>
      <c r="E112" t="s">
        <v>14</v>
      </c>
      <c r="F112" t="s">
        <v>15</v>
      </c>
      <c r="G112">
        <v>15219</v>
      </c>
      <c r="H112" t="s">
        <v>48</v>
      </c>
      <c r="I112">
        <v>36</v>
      </c>
      <c r="J112">
        <v>1</v>
      </c>
      <c r="K112" t="s">
        <v>8131</v>
      </c>
    </row>
    <row r="113" spans="1:11" x14ac:dyDescent="0.25">
      <c r="A113" t="s">
        <v>443</v>
      </c>
      <c r="B113" t="s">
        <v>335</v>
      </c>
      <c r="C113" t="s">
        <v>444</v>
      </c>
      <c r="D113" t="s">
        <v>445</v>
      </c>
      <c r="E113" t="s">
        <v>14</v>
      </c>
      <c r="F113" t="s">
        <v>15</v>
      </c>
      <c r="G113">
        <v>15219</v>
      </c>
      <c r="H113" t="s">
        <v>34</v>
      </c>
      <c r="I113">
        <v>6</v>
      </c>
      <c r="J113">
        <v>0</v>
      </c>
      <c r="K113" t="s">
        <v>8131</v>
      </c>
    </row>
    <row r="114" spans="1:11" x14ac:dyDescent="0.25">
      <c r="A114" t="s">
        <v>446</v>
      </c>
      <c r="B114" t="s">
        <v>447</v>
      </c>
      <c r="C114" t="s">
        <v>448</v>
      </c>
      <c r="D114" t="s">
        <v>449</v>
      </c>
      <c r="E114" t="s">
        <v>14</v>
      </c>
      <c r="F114" t="s">
        <v>15</v>
      </c>
      <c r="G114">
        <v>15203</v>
      </c>
      <c r="H114" t="s">
        <v>48</v>
      </c>
      <c r="I114">
        <v>3</v>
      </c>
      <c r="J114">
        <v>0</v>
      </c>
      <c r="K114" t="s">
        <v>8122</v>
      </c>
    </row>
    <row r="115" spans="1:11" x14ac:dyDescent="0.25">
      <c r="A115" t="s">
        <v>450</v>
      </c>
      <c r="B115" t="s">
        <v>451</v>
      </c>
      <c r="C115" t="s">
        <v>452</v>
      </c>
      <c r="D115" t="s">
        <v>453</v>
      </c>
      <c r="E115" t="s">
        <v>14</v>
      </c>
      <c r="F115" t="s">
        <v>15</v>
      </c>
      <c r="G115">
        <v>15243</v>
      </c>
      <c r="H115" t="s">
        <v>16</v>
      </c>
      <c r="I115">
        <v>3</v>
      </c>
      <c r="J115">
        <v>0</v>
      </c>
      <c r="K115" t="s">
        <v>8120</v>
      </c>
    </row>
    <row r="116" spans="1:11" x14ac:dyDescent="0.25">
      <c r="A116" t="s">
        <v>454</v>
      </c>
      <c r="B116" t="s">
        <v>455</v>
      </c>
      <c r="C116" t="s">
        <v>456</v>
      </c>
      <c r="D116" t="s">
        <v>457</v>
      </c>
      <c r="E116" t="s">
        <v>14</v>
      </c>
      <c r="F116" t="s">
        <v>15</v>
      </c>
      <c r="G116">
        <v>15226</v>
      </c>
      <c r="H116" t="s">
        <v>21</v>
      </c>
      <c r="I116">
        <v>21</v>
      </c>
      <c r="J116">
        <v>0</v>
      </c>
      <c r="K116" t="s">
        <v>8123</v>
      </c>
    </row>
    <row r="117" spans="1:11" x14ac:dyDescent="0.25">
      <c r="A117" t="s">
        <v>458</v>
      </c>
      <c r="B117" t="s">
        <v>459</v>
      </c>
      <c r="C117" t="s">
        <v>460</v>
      </c>
      <c r="D117" t="s">
        <v>461</v>
      </c>
      <c r="E117" t="s">
        <v>14</v>
      </c>
      <c r="F117" t="s">
        <v>15</v>
      </c>
      <c r="G117">
        <v>15236</v>
      </c>
      <c r="H117" t="s">
        <v>48</v>
      </c>
      <c r="I117">
        <v>3</v>
      </c>
      <c r="J117">
        <v>0</v>
      </c>
      <c r="K117" t="s">
        <v>8131</v>
      </c>
    </row>
    <row r="118" spans="1:11" x14ac:dyDescent="0.25">
      <c r="A118" t="s">
        <v>462</v>
      </c>
      <c r="B118" t="s">
        <v>463</v>
      </c>
      <c r="C118" t="s">
        <v>464</v>
      </c>
      <c r="D118" t="s">
        <v>465</v>
      </c>
      <c r="E118" t="s">
        <v>14</v>
      </c>
      <c r="F118" t="s">
        <v>15</v>
      </c>
      <c r="G118">
        <v>15201</v>
      </c>
      <c r="H118" t="s">
        <v>16</v>
      </c>
      <c r="I118">
        <v>41</v>
      </c>
      <c r="J118">
        <v>0</v>
      </c>
      <c r="K118" t="s">
        <v>8118</v>
      </c>
    </row>
    <row r="119" spans="1:11" x14ac:dyDescent="0.25">
      <c r="A119" t="s">
        <v>466</v>
      </c>
      <c r="B119" t="s">
        <v>467</v>
      </c>
      <c r="C119" t="s">
        <v>468</v>
      </c>
      <c r="D119" t="s">
        <v>469</v>
      </c>
      <c r="E119" t="s">
        <v>14</v>
      </c>
      <c r="F119" t="s">
        <v>15</v>
      </c>
      <c r="G119">
        <v>15203</v>
      </c>
      <c r="H119" t="s">
        <v>16</v>
      </c>
      <c r="I119">
        <v>184</v>
      </c>
      <c r="J119">
        <v>1</v>
      </c>
      <c r="K119" t="s">
        <v>8131</v>
      </c>
    </row>
    <row r="120" spans="1:11" x14ac:dyDescent="0.25">
      <c r="A120" t="s">
        <v>470</v>
      </c>
      <c r="B120" t="s">
        <v>282</v>
      </c>
      <c r="C120" t="s">
        <v>471</v>
      </c>
      <c r="D120" t="s">
        <v>472</v>
      </c>
      <c r="E120" t="s">
        <v>14</v>
      </c>
      <c r="F120" t="s">
        <v>15</v>
      </c>
      <c r="G120">
        <v>15223</v>
      </c>
      <c r="H120" t="s">
        <v>34</v>
      </c>
      <c r="I120">
        <v>9</v>
      </c>
      <c r="J120">
        <v>1</v>
      </c>
      <c r="K120" t="s">
        <v>8124</v>
      </c>
    </row>
    <row r="121" spans="1:11" x14ac:dyDescent="0.25">
      <c r="A121" t="s">
        <v>473</v>
      </c>
      <c r="B121" t="s">
        <v>474</v>
      </c>
      <c r="C121" t="s">
        <v>475</v>
      </c>
      <c r="D121" t="s">
        <v>476</v>
      </c>
      <c r="E121" t="s">
        <v>14</v>
      </c>
      <c r="F121" t="s">
        <v>15</v>
      </c>
      <c r="G121">
        <v>15236</v>
      </c>
      <c r="H121" t="s">
        <v>16</v>
      </c>
      <c r="I121">
        <v>13</v>
      </c>
      <c r="J121">
        <v>1</v>
      </c>
      <c r="K121" t="s">
        <v>8120</v>
      </c>
    </row>
    <row r="122" spans="1:11" x14ac:dyDescent="0.25">
      <c r="A122" t="s">
        <v>477</v>
      </c>
      <c r="B122" t="s">
        <v>478</v>
      </c>
      <c r="C122" t="s">
        <v>479</v>
      </c>
      <c r="D122" t="s">
        <v>480</v>
      </c>
      <c r="E122" t="s">
        <v>14</v>
      </c>
      <c r="F122" t="s">
        <v>15</v>
      </c>
      <c r="G122">
        <v>15219</v>
      </c>
      <c r="H122" t="s">
        <v>34</v>
      </c>
      <c r="I122">
        <v>14</v>
      </c>
      <c r="J122">
        <v>0</v>
      </c>
      <c r="K122" t="s">
        <v>8131</v>
      </c>
    </row>
    <row r="123" spans="1:11" x14ac:dyDescent="0.25">
      <c r="A123" t="s">
        <v>481</v>
      </c>
      <c r="B123" t="s">
        <v>482</v>
      </c>
      <c r="C123" t="s">
        <v>483</v>
      </c>
      <c r="D123" t="s">
        <v>484</v>
      </c>
      <c r="E123" t="s">
        <v>14</v>
      </c>
      <c r="F123" t="s">
        <v>15</v>
      </c>
      <c r="G123">
        <v>15219</v>
      </c>
      <c r="H123" t="s">
        <v>21</v>
      </c>
      <c r="I123">
        <v>38</v>
      </c>
      <c r="J123">
        <v>1</v>
      </c>
      <c r="K123" t="s">
        <v>8131</v>
      </c>
    </row>
    <row r="124" spans="1:11" x14ac:dyDescent="0.25">
      <c r="A124" t="s">
        <v>485</v>
      </c>
      <c r="B124" t="s">
        <v>486</v>
      </c>
      <c r="C124" t="s">
        <v>487</v>
      </c>
      <c r="D124" t="s">
        <v>488</v>
      </c>
      <c r="E124" t="s">
        <v>14</v>
      </c>
      <c r="F124" t="s">
        <v>15</v>
      </c>
      <c r="G124">
        <v>15203</v>
      </c>
      <c r="H124" t="s">
        <v>48</v>
      </c>
      <c r="I124">
        <v>28</v>
      </c>
      <c r="J124">
        <v>0</v>
      </c>
      <c r="K124" t="s">
        <v>8131</v>
      </c>
    </row>
    <row r="125" spans="1:11" x14ac:dyDescent="0.25">
      <c r="A125" t="s">
        <v>489</v>
      </c>
      <c r="B125" t="s">
        <v>490</v>
      </c>
      <c r="C125" t="s">
        <v>491</v>
      </c>
      <c r="D125" t="s">
        <v>492</v>
      </c>
      <c r="E125" t="s">
        <v>14</v>
      </c>
      <c r="F125" t="s">
        <v>15</v>
      </c>
      <c r="G125">
        <v>15235</v>
      </c>
      <c r="H125" t="s">
        <v>113</v>
      </c>
      <c r="I125">
        <v>29</v>
      </c>
      <c r="J125">
        <v>1</v>
      </c>
      <c r="K125" t="s">
        <v>8131</v>
      </c>
    </row>
    <row r="126" spans="1:11" x14ac:dyDescent="0.25">
      <c r="A126" t="s">
        <v>493</v>
      </c>
      <c r="B126" t="s">
        <v>494</v>
      </c>
      <c r="C126" t="s">
        <v>495</v>
      </c>
      <c r="D126" t="s">
        <v>496</v>
      </c>
      <c r="E126" t="s">
        <v>14</v>
      </c>
      <c r="F126" t="s">
        <v>15</v>
      </c>
      <c r="G126">
        <v>15222</v>
      </c>
      <c r="H126" t="s">
        <v>21</v>
      </c>
      <c r="I126">
        <v>29</v>
      </c>
      <c r="J126">
        <v>1</v>
      </c>
      <c r="K126" t="s">
        <v>8131</v>
      </c>
    </row>
    <row r="127" spans="1:11" x14ac:dyDescent="0.25">
      <c r="A127" t="s">
        <v>497</v>
      </c>
      <c r="B127" t="s">
        <v>498</v>
      </c>
      <c r="C127" t="s">
        <v>499</v>
      </c>
      <c r="D127" t="s">
        <v>500</v>
      </c>
      <c r="E127" t="s">
        <v>14</v>
      </c>
      <c r="F127" t="s">
        <v>15</v>
      </c>
      <c r="G127">
        <v>15212</v>
      </c>
      <c r="H127" t="s">
        <v>92</v>
      </c>
      <c r="I127">
        <v>11</v>
      </c>
      <c r="J127">
        <v>1</v>
      </c>
      <c r="K127" t="s">
        <v>8131</v>
      </c>
    </row>
    <row r="128" spans="1:11" x14ac:dyDescent="0.25">
      <c r="A128" t="s">
        <v>501</v>
      </c>
      <c r="B128" t="s">
        <v>502</v>
      </c>
      <c r="C128" t="s">
        <v>503</v>
      </c>
      <c r="D128" t="s">
        <v>504</v>
      </c>
      <c r="E128" t="s">
        <v>14</v>
      </c>
      <c r="F128" t="s">
        <v>15</v>
      </c>
      <c r="G128">
        <v>15237</v>
      </c>
      <c r="H128" t="s">
        <v>48</v>
      </c>
      <c r="I128">
        <v>113</v>
      </c>
      <c r="J128">
        <v>1</v>
      </c>
      <c r="K128" t="s">
        <v>8131</v>
      </c>
    </row>
    <row r="129" spans="1:11" x14ac:dyDescent="0.25">
      <c r="A129" t="s">
        <v>505</v>
      </c>
      <c r="B129" t="s">
        <v>506</v>
      </c>
      <c r="C129" t="s">
        <v>507</v>
      </c>
      <c r="D129" t="s">
        <v>508</v>
      </c>
      <c r="E129" t="s">
        <v>14</v>
      </c>
      <c r="F129" t="s">
        <v>15</v>
      </c>
      <c r="G129">
        <v>15222</v>
      </c>
      <c r="H129" t="s">
        <v>16</v>
      </c>
      <c r="I129">
        <v>232</v>
      </c>
      <c r="J129">
        <v>1</v>
      </c>
      <c r="K129" t="s">
        <v>8131</v>
      </c>
    </row>
    <row r="130" spans="1:11" x14ac:dyDescent="0.25">
      <c r="A130" t="s">
        <v>509</v>
      </c>
      <c r="B130" t="s">
        <v>510</v>
      </c>
      <c r="C130" t="s">
        <v>208</v>
      </c>
      <c r="D130" t="s">
        <v>511</v>
      </c>
      <c r="E130" t="s">
        <v>14</v>
      </c>
      <c r="F130" t="s">
        <v>15</v>
      </c>
      <c r="G130">
        <v>15216</v>
      </c>
      <c r="H130" t="s">
        <v>16</v>
      </c>
      <c r="I130">
        <v>9</v>
      </c>
      <c r="J130">
        <v>1</v>
      </c>
      <c r="K130" t="s">
        <v>8131</v>
      </c>
    </row>
    <row r="131" spans="1:11" x14ac:dyDescent="0.25">
      <c r="A131" t="s">
        <v>512</v>
      </c>
      <c r="B131" t="s">
        <v>513</v>
      </c>
      <c r="C131" t="s">
        <v>514</v>
      </c>
      <c r="D131" t="s">
        <v>515</v>
      </c>
      <c r="E131" t="s">
        <v>14</v>
      </c>
      <c r="F131" t="s">
        <v>15</v>
      </c>
      <c r="G131">
        <v>15213</v>
      </c>
      <c r="H131" t="s">
        <v>48</v>
      </c>
      <c r="I131">
        <v>101</v>
      </c>
      <c r="J131">
        <v>1</v>
      </c>
      <c r="K131" t="s">
        <v>8120</v>
      </c>
    </row>
    <row r="132" spans="1:11" x14ac:dyDescent="0.25">
      <c r="A132" t="s">
        <v>516</v>
      </c>
      <c r="B132" t="s">
        <v>517</v>
      </c>
      <c r="C132" t="s">
        <v>518</v>
      </c>
      <c r="D132" t="s">
        <v>519</v>
      </c>
      <c r="E132" t="s">
        <v>14</v>
      </c>
      <c r="F132" t="s">
        <v>15</v>
      </c>
      <c r="G132">
        <v>15238</v>
      </c>
      <c r="H132" t="s">
        <v>48</v>
      </c>
      <c r="I132">
        <v>3</v>
      </c>
      <c r="J132">
        <v>1</v>
      </c>
      <c r="K132" t="s">
        <v>8131</v>
      </c>
    </row>
    <row r="133" spans="1:11" x14ac:dyDescent="0.25">
      <c r="A133" t="s">
        <v>520</v>
      </c>
      <c r="B133" t="s">
        <v>521</v>
      </c>
      <c r="C133" t="s">
        <v>522</v>
      </c>
      <c r="D133" t="s">
        <v>523</v>
      </c>
      <c r="E133" t="s">
        <v>14</v>
      </c>
      <c r="F133" t="s">
        <v>15</v>
      </c>
      <c r="G133">
        <v>15217</v>
      </c>
      <c r="H133" t="s">
        <v>48</v>
      </c>
      <c r="I133">
        <v>31</v>
      </c>
      <c r="J133">
        <v>0</v>
      </c>
      <c r="K133" t="s">
        <v>8131</v>
      </c>
    </row>
    <row r="134" spans="1:11" x14ac:dyDescent="0.25">
      <c r="A134" t="s">
        <v>524</v>
      </c>
      <c r="B134" t="s">
        <v>407</v>
      </c>
      <c r="C134" t="s">
        <v>525</v>
      </c>
      <c r="D134" t="s">
        <v>526</v>
      </c>
      <c r="E134" t="s">
        <v>14</v>
      </c>
      <c r="F134" t="s">
        <v>15</v>
      </c>
      <c r="G134">
        <v>15219</v>
      </c>
      <c r="H134" t="s">
        <v>48</v>
      </c>
      <c r="I134">
        <v>5</v>
      </c>
      <c r="J134">
        <v>1</v>
      </c>
      <c r="K134" t="s">
        <v>8131</v>
      </c>
    </row>
    <row r="135" spans="1:11" x14ac:dyDescent="0.25">
      <c r="A135" t="s">
        <v>527</v>
      </c>
      <c r="B135" t="s">
        <v>528</v>
      </c>
      <c r="C135" t="s">
        <v>529</v>
      </c>
      <c r="D135" t="s">
        <v>530</v>
      </c>
      <c r="E135" t="s">
        <v>14</v>
      </c>
      <c r="F135" t="s">
        <v>15</v>
      </c>
      <c r="G135">
        <v>15211</v>
      </c>
      <c r="H135" t="s">
        <v>113</v>
      </c>
      <c r="I135">
        <v>45</v>
      </c>
      <c r="J135">
        <v>0</v>
      </c>
      <c r="K135" t="s">
        <v>8131</v>
      </c>
    </row>
    <row r="136" spans="1:11" x14ac:dyDescent="0.25">
      <c r="A136" t="s">
        <v>531</v>
      </c>
      <c r="B136" t="s">
        <v>532</v>
      </c>
      <c r="C136" t="s">
        <v>533</v>
      </c>
      <c r="D136" t="s">
        <v>534</v>
      </c>
      <c r="E136" t="s">
        <v>14</v>
      </c>
      <c r="F136" t="s">
        <v>15</v>
      </c>
      <c r="G136">
        <v>15233</v>
      </c>
      <c r="H136" t="s">
        <v>21</v>
      </c>
      <c r="I136">
        <v>60</v>
      </c>
      <c r="J136">
        <v>1</v>
      </c>
      <c r="K136" t="s">
        <v>8131</v>
      </c>
    </row>
    <row r="137" spans="1:11" x14ac:dyDescent="0.25">
      <c r="A137" t="s">
        <v>535</v>
      </c>
      <c r="B137" t="s">
        <v>536</v>
      </c>
      <c r="C137" t="s">
        <v>537</v>
      </c>
      <c r="D137" t="s">
        <v>538</v>
      </c>
      <c r="E137" t="s">
        <v>14</v>
      </c>
      <c r="F137" t="s">
        <v>15</v>
      </c>
      <c r="G137">
        <v>15201</v>
      </c>
      <c r="H137" t="s">
        <v>16</v>
      </c>
      <c r="I137">
        <v>5</v>
      </c>
      <c r="J137">
        <v>0</v>
      </c>
      <c r="K137" t="s">
        <v>8131</v>
      </c>
    </row>
    <row r="138" spans="1:11" x14ac:dyDescent="0.25">
      <c r="A138" t="s">
        <v>539</v>
      </c>
      <c r="B138" t="s">
        <v>540</v>
      </c>
      <c r="C138" t="s">
        <v>248</v>
      </c>
      <c r="D138" t="s">
        <v>541</v>
      </c>
      <c r="E138" t="s">
        <v>14</v>
      </c>
      <c r="F138" t="s">
        <v>15</v>
      </c>
      <c r="G138">
        <v>15216</v>
      </c>
      <c r="H138" t="s">
        <v>21</v>
      </c>
      <c r="I138">
        <v>25</v>
      </c>
      <c r="J138">
        <v>0</v>
      </c>
      <c r="K138" t="s">
        <v>8122</v>
      </c>
    </row>
    <row r="139" spans="1:11" x14ac:dyDescent="0.25">
      <c r="A139" t="s">
        <v>542</v>
      </c>
      <c r="B139" t="s">
        <v>543</v>
      </c>
      <c r="C139" t="s">
        <v>544</v>
      </c>
      <c r="D139" t="s">
        <v>545</v>
      </c>
      <c r="E139" t="s">
        <v>14</v>
      </c>
      <c r="F139" t="s">
        <v>15</v>
      </c>
      <c r="G139">
        <v>15220</v>
      </c>
      <c r="H139" t="s">
        <v>16</v>
      </c>
      <c r="I139">
        <v>156</v>
      </c>
      <c r="J139">
        <v>1</v>
      </c>
      <c r="K139" t="s">
        <v>8119</v>
      </c>
    </row>
    <row r="140" spans="1:11" x14ac:dyDescent="0.25">
      <c r="A140" t="s">
        <v>546</v>
      </c>
      <c r="B140" t="s">
        <v>547</v>
      </c>
      <c r="C140" t="s">
        <v>548</v>
      </c>
      <c r="D140" t="s">
        <v>549</v>
      </c>
      <c r="E140" t="s">
        <v>14</v>
      </c>
      <c r="F140" t="s">
        <v>15</v>
      </c>
      <c r="G140">
        <v>15241</v>
      </c>
      <c r="H140" t="s">
        <v>43</v>
      </c>
      <c r="I140">
        <v>9</v>
      </c>
      <c r="J140">
        <v>1</v>
      </c>
      <c r="K140" t="s">
        <v>8131</v>
      </c>
    </row>
    <row r="141" spans="1:11" x14ac:dyDescent="0.25">
      <c r="A141" t="s">
        <v>550</v>
      </c>
      <c r="B141" t="s">
        <v>551</v>
      </c>
      <c r="C141" t="s">
        <v>552</v>
      </c>
      <c r="D141" t="s">
        <v>553</v>
      </c>
      <c r="E141" t="s">
        <v>14</v>
      </c>
      <c r="F141" t="s">
        <v>15</v>
      </c>
      <c r="G141">
        <v>15213</v>
      </c>
      <c r="H141" t="s">
        <v>16</v>
      </c>
      <c r="I141">
        <v>8</v>
      </c>
      <c r="J141">
        <v>1</v>
      </c>
      <c r="K141" t="s">
        <v>8126</v>
      </c>
    </row>
    <row r="142" spans="1:11" x14ac:dyDescent="0.25">
      <c r="A142" t="s">
        <v>554</v>
      </c>
      <c r="B142" t="s">
        <v>555</v>
      </c>
      <c r="C142" t="s">
        <v>556</v>
      </c>
      <c r="D142" t="s">
        <v>557</v>
      </c>
      <c r="E142" t="s">
        <v>14</v>
      </c>
      <c r="F142" t="s">
        <v>15</v>
      </c>
      <c r="G142">
        <v>15222</v>
      </c>
      <c r="H142" t="s">
        <v>16</v>
      </c>
      <c r="I142">
        <v>184</v>
      </c>
      <c r="J142">
        <v>1</v>
      </c>
      <c r="K142" t="s">
        <v>8127</v>
      </c>
    </row>
    <row r="143" spans="1:11" x14ac:dyDescent="0.25">
      <c r="A143" t="s">
        <v>558</v>
      </c>
      <c r="B143" t="s">
        <v>559</v>
      </c>
      <c r="C143" t="s">
        <v>560</v>
      </c>
      <c r="D143" t="s">
        <v>561</v>
      </c>
      <c r="E143" t="s">
        <v>14</v>
      </c>
      <c r="F143" t="s">
        <v>15</v>
      </c>
      <c r="G143">
        <v>15213</v>
      </c>
      <c r="H143" t="s">
        <v>34</v>
      </c>
      <c r="I143">
        <v>121</v>
      </c>
      <c r="J143">
        <v>1</v>
      </c>
      <c r="K143" t="s">
        <v>8133</v>
      </c>
    </row>
    <row r="144" spans="1:11" x14ac:dyDescent="0.25">
      <c r="A144" t="s">
        <v>562</v>
      </c>
      <c r="B144" t="s">
        <v>563</v>
      </c>
      <c r="C144" t="s">
        <v>564</v>
      </c>
      <c r="D144" t="s">
        <v>565</v>
      </c>
      <c r="E144" t="s">
        <v>14</v>
      </c>
      <c r="F144" t="s">
        <v>15</v>
      </c>
      <c r="G144">
        <v>15221</v>
      </c>
      <c r="H144" t="s">
        <v>16</v>
      </c>
      <c r="I144">
        <v>83</v>
      </c>
      <c r="J144">
        <v>1</v>
      </c>
      <c r="K144" t="s">
        <v>8131</v>
      </c>
    </row>
    <row r="145" spans="1:11" x14ac:dyDescent="0.25">
      <c r="A145" t="s">
        <v>566</v>
      </c>
      <c r="B145" t="s">
        <v>36</v>
      </c>
      <c r="C145" t="s">
        <v>567</v>
      </c>
      <c r="D145" t="s">
        <v>568</v>
      </c>
      <c r="E145" t="s">
        <v>14</v>
      </c>
      <c r="F145" t="s">
        <v>15</v>
      </c>
      <c r="G145">
        <v>15224</v>
      </c>
      <c r="H145" t="s">
        <v>16</v>
      </c>
      <c r="I145">
        <v>62</v>
      </c>
      <c r="J145">
        <v>1</v>
      </c>
      <c r="K145" t="s">
        <v>8131</v>
      </c>
    </row>
    <row r="146" spans="1:11" x14ac:dyDescent="0.25">
      <c r="A146" t="s">
        <v>569</v>
      </c>
      <c r="B146" t="s">
        <v>570</v>
      </c>
      <c r="C146" t="s">
        <v>571</v>
      </c>
      <c r="D146" t="s">
        <v>572</v>
      </c>
      <c r="E146" t="s">
        <v>14</v>
      </c>
      <c r="F146" t="s">
        <v>15</v>
      </c>
      <c r="G146">
        <v>15224</v>
      </c>
      <c r="H146" t="s">
        <v>16</v>
      </c>
      <c r="I146">
        <v>46</v>
      </c>
      <c r="J146">
        <v>0</v>
      </c>
      <c r="K146" t="s">
        <v>8131</v>
      </c>
    </row>
    <row r="147" spans="1:11" x14ac:dyDescent="0.25">
      <c r="A147" t="s">
        <v>573</v>
      </c>
      <c r="B147" t="s">
        <v>574</v>
      </c>
      <c r="C147" t="s">
        <v>575</v>
      </c>
      <c r="D147" t="s">
        <v>576</v>
      </c>
      <c r="E147" t="s">
        <v>14</v>
      </c>
      <c r="F147" t="s">
        <v>15</v>
      </c>
      <c r="G147">
        <v>15219</v>
      </c>
      <c r="H147" t="s">
        <v>21</v>
      </c>
      <c r="I147">
        <v>37</v>
      </c>
      <c r="J147">
        <v>1</v>
      </c>
      <c r="K147" t="s">
        <v>8131</v>
      </c>
    </row>
    <row r="148" spans="1:11" x14ac:dyDescent="0.25">
      <c r="A148" t="s">
        <v>577</v>
      </c>
      <c r="B148" t="s">
        <v>578</v>
      </c>
      <c r="C148" t="s">
        <v>579</v>
      </c>
      <c r="D148" t="s">
        <v>580</v>
      </c>
      <c r="E148" t="s">
        <v>14</v>
      </c>
      <c r="F148" t="s">
        <v>15</v>
      </c>
      <c r="G148">
        <v>15232</v>
      </c>
      <c r="H148" t="s">
        <v>16</v>
      </c>
      <c r="I148">
        <v>228</v>
      </c>
      <c r="J148">
        <v>0</v>
      </c>
      <c r="K148" t="s">
        <v>8131</v>
      </c>
    </row>
    <row r="149" spans="1:11" x14ac:dyDescent="0.25">
      <c r="A149" t="s">
        <v>581</v>
      </c>
      <c r="B149" t="s">
        <v>582</v>
      </c>
      <c r="C149" t="s">
        <v>583</v>
      </c>
      <c r="D149" t="s">
        <v>584</v>
      </c>
      <c r="E149" t="s">
        <v>14</v>
      </c>
      <c r="F149" t="s">
        <v>15</v>
      </c>
      <c r="G149">
        <v>15233</v>
      </c>
      <c r="H149" t="s">
        <v>48</v>
      </c>
      <c r="I149">
        <v>48</v>
      </c>
      <c r="J149">
        <v>1</v>
      </c>
      <c r="K149" t="s">
        <v>8123</v>
      </c>
    </row>
    <row r="150" spans="1:11" x14ac:dyDescent="0.25">
      <c r="A150" t="s">
        <v>585</v>
      </c>
      <c r="B150" t="s">
        <v>586</v>
      </c>
      <c r="C150" t="s">
        <v>587</v>
      </c>
      <c r="D150" t="s">
        <v>588</v>
      </c>
      <c r="E150" t="s">
        <v>14</v>
      </c>
      <c r="F150" t="s">
        <v>15</v>
      </c>
      <c r="G150">
        <v>15219</v>
      </c>
      <c r="H150" t="s">
        <v>48</v>
      </c>
      <c r="I150">
        <v>8</v>
      </c>
      <c r="J150">
        <v>0</v>
      </c>
      <c r="K150" t="s">
        <v>8120</v>
      </c>
    </row>
    <row r="151" spans="1:11" x14ac:dyDescent="0.25">
      <c r="A151" t="s">
        <v>589</v>
      </c>
      <c r="B151" t="s">
        <v>590</v>
      </c>
      <c r="C151" t="s">
        <v>591</v>
      </c>
      <c r="D151" t="s">
        <v>592</v>
      </c>
      <c r="E151" t="s">
        <v>14</v>
      </c>
      <c r="F151" t="s">
        <v>15</v>
      </c>
      <c r="G151">
        <v>15275</v>
      </c>
      <c r="H151" t="s">
        <v>113</v>
      </c>
      <c r="I151">
        <v>13</v>
      </c>
      <c r="J151">
        <v>1</v>
      </c>
      <c r="K151" t="s">
        <v>8131</v>
      </c>
    </row>
    <row r="152" spans="1:11" x14ac:dyDescent="0.25">
      <c r="A152" t="s">
        <v>593</v>
      </c>
      <c r="B152" t="s">
        <v>65</v>
      </c>
      <c r="C152" t="s">
        <v>594</v>
      </c>
      <c r="D152" t="s">
        <v>595</v>
      </c>
      <c r="E152" t="s">
        <v>14</v>
      </c>
      <c r="F152" t="s">
        <v>15</v>
      </c>
      <c r="G152">
        <v>15224</v>
      </c>
      <c r="H152" t="s">
        <v>16</v>
      </c>
      <c r="I152">
        <v>64</v>
      </c>
      <c r="J152">
        <v>1</v>
      </c>
      <c r="K152" t="s">
        <v>8131</v>
      </c>
    </row>
    <row r="153" spans="1:11" x14ac:dyDescent="0.25">
      <c r="A153" t="s">
        <v>596</v>
      </c>
      <c r="B153" t="s">
        <v>597</v>
      </c>
      <c r="C153" t="s">
        <v>598</v>
      </c>
      <c r="D153" t="s">
        <v>599</v>
      </c>
      <c r="E153" t="s">
        <v>14</v>
      </c>
      <c r="F153" t="s">
        <v>15</v>
      </c>
      <c r="G153">
        <v>15219</v>
      </c>
      <c r="H153" t="s">
        <v>48</v>
      </c>
      <c r="I153">
        <v>3</v>
      </c>
      <c r="J153">
        <v>1</v>
      </c>
      <c r="K153" t="s">
        <v>8131</v>
      </c>
    </row>
    <row r="154" spans="1:11" x14ac:dyDescent="0.25">
      <c r="A154" t="s">
        <v>600</v>
      </c>
      <c r="B154" t="s">
        <v>578</v>
      </c>
      <c r="C154" t="s">
        <v>601</v>
      </c>
      <c r="D154" t="s">
        <v>602</v>
      </c>
      <c r="E154" t="s">
        <v>14</v>
      </c>
      <c r="F154" t="s">
        <v>15</v>
      </c>
      <c r="G154">
        <v>15232</v>
      </c>
      <c r="H154" t="s">
        <v>34</v>
      </c>
      <c r="I154">
        <v>6</v>
      </c>
      <c r="J154">
        <v>0</v>
      </c>
      <c r="K154" t="s">
        <v>8131</v>
      </c>
    </row>
    <row r="155" spans="1:11" x14ac:dyDescent="0.25">
      <c r="A155" t="s">
        <v>603</v>
      </c>
      <c r="B155" t="s">
        <v>604</v>
      </c>
      <c r="C155" t="s">
        <v>605</v>
      </c>
      <c r="D155" t="s">
        <v>606</v>
      </c>
      <c r="E155" t="s">
        <v>14</v>
      </c>
      <c r="F155" t="s">
        <v>15</v>
      </c>
      <c r="G155">
        <v>15224</v>
      </c>
      <c r="H155" t="s">
        <v>16</v>
      </c>
      <c r="I155">
        <v>5</v>
      </c>
      <c r="J155">
        <v>1</v>
      </c>
      <c r="K155" t="s">
        <v>8131</v>
      </c>
    </row>
    <row r="156" spans="1:11" x14ac:dyDescent="0.25">
      <c r="A156" t="s">
        <v>607</v>
      </c>
      <c r="B156" t="s">
        <v>447</v>
      </c>
      <c r="C156" t="s">
        <v>608</v>
      </c>
      <c r="D156" t="s">
        <v>609</v>
      </c>
      <c r="E156" t="s">
        <v>14</v>
      </c>
      <c r="F156" t="s">
        <v>15</v>
      </c>
      <c r="G156">
        <v>15206</v>
      </c>
      <c r="H156" t="s">
        <v>48</v>
      </c>
      <c r="I156">
        <v>126</v>
      </c>
      <c r="J156">
        <v>1</v>
      </c>
      <c r="K156" t="s">
        <v>8122</v>
      </c>
    </row>
    <row r="157" spans="1:11" x14ac:dyDescent="0.25">
      <c r="A157" t="s">
        <v>610</v>
      </c>
      <c r="B157" t="s">
        <v>377</v>
      </c>
      <c r="C157" t="s">
        <v>611</v>
      </c>
      <c r="D157" t="s">
        <v>612</v>
      </c>
      <c r="E157" t="s">
        <v>14</v>
      </c>
      <c r="F157" t="s">
        <v>15</v>
      </c>
      <c r="G157">
        <v>15217</v>
      </c>
      <c r="H157" t="s">
        <v>16</v>
      </c>
      <c r="I157">
        <v>10</v>
      </c>
      <c r="J157">
        <v>1</v>
      </c>
      <c r="K157" t="s">
        <v>8124</v>
      </c>
    </row>
    <row r="158" spans="1:11" x14ac:dyDescent="0.25">
      <c r="A158" t="s">
        <v>613</v>
      </c>
      <c r="B158" t="s">
        <v>614</v>
      </c>
      <c r="C158" t="s">
        <v>615</v>
      </c>
      <c r="D158" t="s">
        <v>616</v>
      </c>
      <c r="E158" t="s">
        <v>14</v>
      </c>
      <c r="F158" t="s">
        <v>15</v>
      </c>
      <c r="G158">
        <v>15219</v>
      </c>
      <c r="H158" t="s">
        <v>16</v>
      </c>
      <c r="I158">
        <v>10</v>
      </c>
      <c r="J158">
        <v>0</v>
      </c>
      <c r="K158" t="s">
        <v>8131</v>
      </c>
    </row>
    <row r="159" spans="1:11" x14ac:dyDescent="0.25">
      <c r="A159" t="s">
        <v>617</v>
      </c>
      <c r="B159" t="s">
        <v>267</v>
      </c>
      <c r="C159" t="s">
        <v>618</v>
      </c>
      <c r="D159" t="s">
        <v>619</v>
      </c>
      <c r="E159" t="s">
        <v>14</v>
      </c>
      <c r="F159" t="s">
        <v>15</v>
      </c>
      <c r="G159">
        <v>15205</v>
      </c>
      <c r="H159" t="s">
        <v>34</v>
      </c>
      <c r="I159">
        <v>44</v>
      </c>
      <c r="J159">
        <v>1</v>
      </c>
      <c r="K159" t="s">
        <v>8131</v>
      </c>
    </row>
    <row r="160" spans="1:11" x14ac:dyDescent="0.25">
      <c r="A160" t="s">
        <v>620</v>
      </c>
      <c r="B160" t="s">
        <v>621</v>
      </c>
      <c r="C160" t="s">
        <v>622</v>
      </c>
      <c r="D160" t="s">
        <v>623</v>
      </c>
      <c r="E160" t="s">
        <v>14</v>
      </c>
      <c r="F160" t="s">
        <v>15</v>
      </c>
      <c r="G160">
        <v>15220</v>
      </c>
      <c r="H160" t="s">
        <v>43</v>
      </c>
      <c r="I160">
        <v>11</v>
      </c>
      <c r="J160">
        <v>1</v>
      </c>
      <c r="K160" t="s">
        <v>8131</v>
      </c>
    </row>
    <row r="161" spans="1:11" x14ac:dyDescent="0.25">
      <c r="A161" t="e">
        <f>-IFq5ULEK4Fl8ZzrArtB5g</f>
        <v>#NAME?</v>
      </c>
      <c r="B161" t="s">
        <v>624</v>
      </c>
      <c r="C161" t="s">
        <v>625</v>
      </c>
      <c r="D161" t="s">
        <v>626</v>
      </c>
      <c r="E161" t="s">
        <v>14</v>
      </c>
      <c r="F161" t="s">
        <v>15</v>
      </c>
      <c r="G161">
        <v>15213</v>
      </c>
      <c r="H161" t="s">
        <v>16</v>
      </c>
      <c r="I161">
        <v>4</v>
      </c>
      <c r="J161">
        <v>0</v>
      </c>
      <c r="K161" t="s">
        <v>8119</v>
      </c>
    </row>
    <row r="162" spans="1:11" x14ac:dyDescent="0.25">
      <c r="A162" t="s">
        <v>627</v>
      </c>
      <c r="B162" t="s">
        <v>628</v>
      </c>
      <c r="C162" t="s">
        <v>32</v>
      </c>
      <c r="D162" t="s">
        <v>629</v>
      </c>
      <c r="E162" t="s">
        <v>14</v>
      </c>
      <c r="F162" t="s">
        <v>15</v>
      </c>
      <c r="G162">
        <v>15219</v>
      </c>
      <c r="H162" t="s">
        <v>43</v>
      </c>
      <c r="I162">
        <v>7</v>
      </c>
      <c r="J162">
        <v>1</v>
      </c>
      <c r="K162" t="s">
        <v>8131</v>
      </c>
    </row>
    <row r="163" spans="1:11" x14ac:dyDescent="0.25">
      <c r="A163" t="s">
        <v>630</v>
      </c>
      <c r="B163" t="s">
        <v>631</v>
      </c>
      <c r="C163" t="s">
        <v>632</v>
      </c>
      <c r="D163" t="s">
        <v>633</v>
      </c>
      <c r="E163" t="s">
        <v>14</v>
      </c>
      <c r="F163" t="s">
        <v>15</v>
      </c>
      <c r="G163">
        <v>15203</v>
      </c>
      <c r="H163" t="s">
        <v>43</v>
      </c>
      <c r="I163">
        <v>15</v>
      </c>
      <c r="J163">
        <v>1</v>
      </c>
      <c r="K163" t="s">
        <v>8131</v>
      </c>
    </row>
    <row r="164" spans="1:11" x14ac:dyDescent="0.25">
      <c r="A164" t="s">
        <v>634</v>
      </c>
      <c r="B164" t="s">
        <v>119</v>
      </c>
      <c r="C164" t="s">
        <v>635</v>
      </c>
      <c r="D164" t="s">
        <v>636</v>
      </c>
      <c r="E164" t="s">
        <v>14</v>
      </c>
      <c r="F164" t="s">
        <v>15</v>
      </c>
      <c r="G164">
        <v>15213</v>
      </c>
      <c r="H164" t="s">
        <v>48</v>
      </c>
      <c r="I164">
        <v>3</v>
      </c>
      <c r="J164">
        <v>1</v>
      </c>
      <c r="K164" t="s">
        <v>8131</v>
      </c>
    </row>
    <row r="165" spans="1:11" x14ac:dyDescent="0.25">
      <c r="A165" t="s">
        <v>637</v>
      </c>
      <c r="B165" t="s">
        <v>638</v>
      </c>
      <c r="C165" t="s">
        <v>639</v>
      </c>
      <c r="D165" t="s">
        <v>640</v>
      </c>
      <c r="E165" t="s">
        <v>14</v>
      </c>
      <c r="F165" t="s">
        <v>15</v>
      </c>
      <c r="G165">
        <v>15213</v>
      </c>
      <c r="H165" t="s">
        <v>16</v>
      </c>
      <c r="I165">
        <v>7</v>
      </c>
      <c r="J165">
        <v>0</v>
      </c>
      <c r="K165" t="s">
        <v>8131</v>
      </c>
    </row>
    <row r="166" spans="1:11" x14ac:dyDescent="0.25">
      <c r="A166" t="s">
        <v>641</v>
      </c>
      <c r="B166" t="s">
        <v>447</v>
      </c>
      <c r="C166" t="s">
        <v>642</v>
      </c>
      <c r="D166" t="s">
        <v>643</v>
      </c>
      <c r="E166" t="s">
        <v>14</v>
      </c>
      <c r="F166" t="s">
        <v>15</v>
      </c>
      <c r="G166">
        <v>15212</v>
      </c>
      <c r="H166" t="s">
        <v>16</v>
      </c>
      <c r="I166">
        <v>6</v>
      </c>
      <c r="J166">
        <v>1</v>
      </c>
      <c r="K166" t="s">
        <v>8122</v>
      </c>
    </row>
    <row r="167" spans="1:11" x14ac:dyDescent="0.25">
      <c r="A167" t="s">
        <v>644</v>
      </c>
      <c r="B167" t="s">
        <v>645</v>
      </c>
      <c r="C167" t="s">
        <v>646</v>
      </c>
      <c r="D167" t="s">
        <v>647</v>
      </c>
      <c r="E167" t="s">
        <v>14</v>
      </c>
      <c r="F167" t="s">
        <v>15</v>
      </c>
      <c r="G167">
        <v>15237</v>
      </c>
      <c r="H167" t="s">
        <v>34</v>
      </c>
      <c r="I167">
        <v>66</v>
      </c>
      <c r="J167">
        <v>0</v>
      </c>
      <c r="K167" t="s">
        <v>8120</v>
      </c>
    </row>
    <row r="168" spans="1:11" x14ac:dyDescent="0.25">
      <c r="A168" t="s">
        <v>648</v>
      </c>
      <c r="B168" t="s">
        <v>649</v>
      </c>
      <c r="C168" t="s">
        <v>650</v>
      </c>
      <c r="D168" t="s">
        <v>651</v>
      </c>
      <c r="E168" t="s">
        <v>14</v>
      </c>
      <c r="F168" t="s">
        <v>15</v>
      </c>
      <c r="G168">
        <v>15222</v>
      </c>
      <c r="H168" t="s">
        <v>113</v>
      </c>
      <c r="I168">
        <v>3</v>
      </c>
      <c r="J168">
        <v>0</v>
      </c>
      <c r="K168" t="s">
        <v>8131</v>
      </c>
    </row>
    <row r="169" spans="1:11" x14ac:dyDescent="0.25">
      <c r="A169" t="s">
        <v>652</v>
      </c>
      <c r="B169" t="s">
        <v>447</v>
      </c>
      <c r="C169" t="s">
        <v>653</v>
      </c>
      <c r="D169" t="s">
        <v>654</v>
      </c>
      <c r="E169" t="s">
        <v>14</v>
      </c>
      <c r="F169" t="s">
        <v>15</v>
      </c>
      <c r="G169">
        <v>15227</v>
      </c>
      <c r="H169" t="s">
        <v>48</v>
      </c>
      <c r="I169">
        <v>29</v>
      </c>
      <c r="J169">
        <v>0</v>
      </c>
      <c r="K169" t="s">
        <v>8122</v>
      </c>
    </row>
    <row r="170" spans="1:11" x14ac:dyDescent="0.25">
      <c r="A170" t="s">
        <v>655</v>
      </c>
      <c r="B170" t="s">
        <v>656</v>
      </c>
      <c r="C170" t="s">
        <v>657</v>
      </c>
      <c r="D170" t="s">
        <v>658</v>
      </c>
      <c r="E170" t="s">
        <v>14</v>
      </c>
      <c r="F170" t="s">
        <v>15</v>
      </c>
      <c r="G170">
        <v>15219</v>
      </c>
      <c r="H170" t="s">
        <v>21</v>
      </c>
      <c r="I170">
        <v>27</v>
      </c>
      <c r="J170">
        <v>0</v>
      </c>
      <c r="K170" t="s">
        <v>8128</v>
      </c>
    </row>
    <row r="171" spans="1:11" x14ac:dyDescent="0.25">
      <c r="A171" t="s">
        <v>659</v>
      </c>
      <c r="B171" t="s">
        <v>660</v>
      </c>
      <c r="C171" t="s">
        <v>661</v>
      </c>
      <c r="D171" t="s">
        <v>662</v>
      </c>
      <c r="E171" t="s">
        <v>14</v>
      </c>
      <c r="F171" t="s">
        <v>15</v>
      </c>
      <c r="G171">
        <v>15231</v>
      </c>
      <c r="H171" t="s">
        <v>48</v>
      </c>
      <c r="I171">
        <v>18</v>
      </c>
      <c r="J171">
        <v>1</v>
      </c>
      <c r="K171" t="s">
        <v>8131</v>
      </c>
    </row>
    <row r="172" spans="1:11" x14ac:dyDescent="0.25">
      <c r="A172" t="s">
        <v>663</v>
      </c>
      <c r="B172" t="s">
        <v>664</v>
      </c>
      <c r="C172" t="s">
        <v>228</v>
      </c>
      <c r="D172" t="s">
        <v>665</v>
      </c>
      <c r="E172" t="s">
        <v>14</v>
      </c>
      <c r="F172" t="s">
        <v>15</v>
      </c>
      <c r="G172">
        <v>15233</v>
      </c>
      <c r="H172" t="s">
        <v>43</v>
      </c>
      <c r="I172">
        <v>10</v>
      </c>
      <c r="J172">
        <v>1</v>
      </c>
      <c r="K172" t="s">
        <v>8131</v>
      </c>
    </row>
    <row r="173" spans="1:11" x14ac:dyDescent="0.25">
      <c r="A173" t="s">
        <v>666</v>
      </c>
      <c r="B173" t="s">
        <v>667</v>
      </c>
      <c r="C173" t="s">
        <v>668</v>
      </c>
      <c r="D173" t="s">
        <v>669</v>
      </c>
      <c r="E173" t="s">
        <v>14</v>
      </c>
      <c r="F173" t="s">
        <v>15</v>
      </c>
      <c r="G173">
        <v>15203</v>
      </c>
      <c r="H173" t="s">
        <v>48</v>
      </c>
      <c r="I173">
        <v>45</v>
      </c>
      <c r="J173">
        <v>1</v>
      </c>
      <c r="K173" t="s">
        <v>8131</v>
      </c>
    </row>
    <row r="174" spans="1:11" x14ac:dyDescent="0.25">
      <c r="A174" t="s">
        <v>670</v>
      </c>
      <c r="B174" t="s">
        <v>671</v>
      </c>
      <c r="C174" t="s">
        <v>672</v>
      </c>
      <c r="D174" t="s">
        <v>673</v>
      </c>
      <c r="E174" t="s">
        <v>14</v>
      </c>
      <c r="F174" t="s">
        <v>15</v>
      </c>
      <c r="G174">
        <v>15238</v>
      </c>
      <c r="H174" t="s">
        <v>48</v>
      </c>
      <c r="I174">
        <v>23</v>
      </c>
      <c r="J174">
        <v>1</v>
      </c>
      <c r="K174" t="s">
        <v>8131</v>
      </c>
    </row>
    <row r="175" spans="1:11" x14ac:dyDescent="0.25">
      <c r="A175" t="s">
        <v>674</v>
      </c>
      <c r="B175" t="s">
        <v>675</v>
      </c>
      <c r="C175" t="s">
        <v>676</v>
      </c>
      <c r="D175" t="s">
        <v>677</v>
      </c>
      <c r="E175" t="s">
        <v>14</v>
      </c>
      <c r="F175" t="s">
        <v>15</v>
      </c>
      <c r="G175">
        <v>15216</v>
      </c>
      <c r="H175" t="s">
        <v>48</v>
      </c>
      <c r="I175">
        <v>41</v>
      </c>
      <c r="J175">
        <v>1</v>
      </c>
      <c r="K175" t="s">
        <v>8131</v>
      </c>
    </row>
    <row r="176" spans="1:11" x14ac:dyDescent="0.25">
      <c r="A176" t="s">
        <v>678</v>
      </c>
      <c r="B176" t="s">
        <v>679</v>
      </c>
      <c r="C176" t="s">
        <v>680</v>
      </c>
      <c r="D176" t="s">
        <v>681</v>
      </c>
      <c r="E176" t="s">
        <v>14</v>
      </c>
      <c r="F176" t="s">
        <v>15</v>
      </c>
      <c r="G176">
        <v>15206</v>
      </c>
      <c r="H176" t="s">
        <v>48</v>
      </c>
      <c r="I176">
        <v>14</v>
      </c>
      <c r="J176">
        <v>0</v>
      </c>
      <c r="K176" t="s">
        <v>8131</v>
      </c>
    </row>
    <row r="177" spans="1:11" x14ac:dyDescent="0.25">
      <c r="A177" t="s">
        <v>682</v>
      </c>
      <c r="B177" t="s">
        <v>683</v>
      </c>
      <c r="C177" t="s">
        <v>419</v>
      </c>
      <c r="D177" t="s">
        <v>684</v>
      </c>
      <c r="E177" t="s">
        <v>14</v>
      </c>
      <c r="F177" t="s">
        <v>15</v>
      </c>
      <c r="G177">
        <v>15236</v>
      </c>
      <c r="H177" t="s">
        <v>157</v>
      </c>
      <c r="I177">
        <v>3</v>
      </c>
      <c r="J177">
        <v>1</v>
      </c>
      <c r="K177" t="s">
        <v>8131</v>
      </c>
    </row>
    <row r="178" spans="1:11" x14ac:dyDescent="0.25">
      <c r="A178" t="s">
        <v>685</v>
      </c>
      <c r="B178" t="s">
        <v>235</v>
      </c>
      <c r="C178" t="s">
        <v>686</v>
      </c>
      <c r="D178" t="s">
        <v>687</v>
      </c>
      <c r="E178" t="s">
        <v>14</v>
      </c>
      <c r="F178" t="s">
        <v>15</v>
      </c>
      <c r="G178">
        <v>15235</v>
      </c>
      <c r="H178" t="s">
        <v>16</v>
      </c>
      <c r="I178">
        <v>42</v>
      </c>
      <c r="J178">
        <v>0</v>
      </c>
      <c r="K178" t="s">
        <v>8117</v>
      </c>
    </row>
    <row r="179" spans="1:11" x14ac:dyDescent="0.25">
      <c r="A179" t="s">
        <v>688</v>
      </c>
      <c r="B179" t="s">
        <v>689</v>
      </c>
      <c r="C179" t="s">
        <v>690</v>
      </c>
      <c r="D179" t="s">
        <v>691</v>
      </c>
      <c r="E179" t="s">
        <v>14</v>
      </c>
      <c r="F179" t="s">
        <v>15</v>
      </c>
      <c r="G179">
        <v>15213</v>
      </c>
      <c r="H179" t="s">
        <v>21</v>
      </c>
      <c r="I179">
        <v>3</v>
      </c>
      <c r="J179">
        <v>1</v>
      </c>
      <c r="K179" t="s">
        <v>8131</v>
      </c>
    </row>
    <row r="180" spans="1:11" x14ac:dyDescent="0.25">
      <c r="A180" t="s">
        <v>692</v>
      </c>
      <c r="B180" t="s">
        <v>693</v>
      </c>
      <c r="C180" t="s">
        <v>147</v>
      </c>
      <c r="D180" t="s">
        <v>694</v>
      </c>
      <c r="E180" t="s">
        <v>14</v>
      </c>
      <c r="F180" t="s">
        <v>15</v>
      </c>
      <c r="G180">
        <v>15238</v>
      </c>
      <c r="H180" t="s">
        <v>34</v>
      </c>
      <c r="I180">
        <v>86</v>
      </c>
      <c r="J180">
        <v>1</v>
      </c>
      <c r="K180" t="s">
        <v>8131</v>
      </c>
    </row>
    <row r="181" spans="1:11" x14ac:dyDescent="0.25">
      <c r="A181" t="s">
        <v>695</v>
      </c>
      <c r="B181" t="s">
        <v>696</v>
      </c>
      <c r="C181" t="s">
        <v>697</v>
      </c>
      <c r="D181" t="s">
        <v>698</v>
      </c>
      <c r="E181" t="s">
        <v>14</v>
      </c>
      <c r="F181" t="s">
        <v>15</v>
      </c>
      <c r="G181">
        <v>15215</v>
      </c>
      <c r="H181" t="s">
        <v>48</v>
      </c>
      <c r="I181">
        <v>124</v>
      </c>
      <c r="J181">
        <v>1</v>
      </c>
      <c r="K181" t="s">
        <v>8131</v>
      </c>
    </row>
    <row r="182" spans="1:11" x14ac:dyDescent="0.25">
      <c r="A182" t="s">
        <v>699</v>
      </c>
      <c r="B182" t="s">
        <v>700</v>
      </c>
      <c r="C182" t="s">
        <v>701</v>
      </c>
      <c r="D182" t="s">
        <v>702</v>
      </c>
      <c r="E182" t="s">
        <v>14</v>
      </c>
      <c r="F182" t="s">
        <v>15</v>
      </c>
      <c r="G182">
        <v>15219</v>
      </c>
      <c r="H182" t="s">
        <v>48</v>
      </c>
      <c r="I182">
        <v>95</v>
      </c>
      <c r="J182">
        <v>1</v>
      </c>
      <c r="K182" t="s">
        <v>8131</v>
      </c>
    </row>
    <row r="183" spans="1:11" x14ac:dyDescent="0.25">
      <c r="A183" t="s">
        <v>703</v>
      </c>
      <c r="B183" t="s">
        <v>704</v>
      </c>
      <c r="C183" t="s">
        <v>705</v>
      </c>
      <c r="D183" t="s">
        <v>706</v>
      </c>
      <c r="E183" t="s">
        <v>14</v>
      </c>
      <c r="F183" t="s">
        <v>15</v>
      </c>
      <c r="G183">
        <v>15238</v>
      </c>
      <c r="H183" t="s">
        <v>48</v>
      </c>
      <c r="I183">
        <v>94</v>
      </c>
      <c r="J183">
        <v>1</v>
      </c>
      <c r="K183" t="s">
        <v>8124</v>
      </c>
    </row>
    <row r="184" spans="1:11" x14ac:dyDescent="0.25">
      <c r="A184" t="s">
        <v>707</v>
      </c>
      <c r="B184" t="s">
        <v>708</v>
      </c>
      <c r="C184" t="s">
        <v>709</v>
      </c>
      <c r="D184" t="s">
        <v>710</v>
      </c>
      <c r="E184" t="s">
        <v>14</v>
      </c>
      <c r="F184" t="s">
        <v>15</v>
      </c>
      <c r="G184">
        <v>15238</v>
      </c>
      <c r="H184" t="s">
        <v>21</v>
      </c>
      <c r="I184">
        <v>14</v>
      </c>
      <c r="J184">
        <v>1</v>
      </c>
      <c r="K184" t="s">
        <v>8131</v>
      </c>
    </row>
    <row r="185" spans="1:11" x14ac:dyDescent="0.25">
      <c r="A185" t="s">
        <v>711</v>
      </c>
      <c r="B185" t="s">
        <v>712</v>
      </c>
      <c r="C185" t="s">
        <v>713</v>
      </c>
      <c r="D185" t="s">
        <v>714</v>
      </c>
      <c r="E185" t="s">
        <v>14</v>
      </c>
      <c r="F185" t="s">
        <v>15</v>
      </c>
      <c r="G185">
        <v>15203</v>
      </c>
      <c r="H185" t="s">
        <v>16</v>
      </c>
      <c r="I185">
        <v>218</v>
      </c>
      <c r="J185">
        <v>1</v>
      </c>
      <c r="K185" t="s">
        <v>8122</v>
      </c>
    </row>
    <row r="186" spans="1:11" x14ac:dyDescent="0.25">
      <c r="A186" t="s">
        <v>715</v>
      </c>
      <c r="B186" t="s">
        <v>716</v>
      </c>
      <c r="C186" t="s">
        <v>717</v>
      </c>
      <c r="D186" t="s">
        <v>718</v>
      </c>
      <c r="E186" t="s">
        <v>14</v>
      </c>
      <c r="F186" t="s">
        <v>15</v>
      </c>
      <c r="G186">
        <v>15203</v>
      </c>
      <c r="H186" t="s">
        <v>16</v>
      </c>
      <c r="I186">
        <v>76</v>
      </c>
      <c r="J186">
        <v>1</v>
      </c>
      <c r="K186" t="s">
        <v>8121</v>
      </c>
    </row>
    <row r="187" spans="1:11" x14ac:dyDescent="0.25">
      <c r="A187" t="s">
        <v>719</v>
      </c>
      <c r="B187" t="s">
        <v>720</v>
      </c>
      <c r="C187" t="s">
        <v>721</v>
      </c>
      <c r="D187" t="s">
        <v>722</v>
      </c>
      <c r="E187" t="s">
        <v>14</v>
      </c>
      <c r="F187" t="s">
        <v>15</v>
      </c>
      <c r="G187">
        <v>15218</v>
      </c>
      <c r="H187" t="s">
        <v>16</v>
      </c>
      <c r="I187">
        <v>95</v>
      </c>
      <c r="J187">
        <v>1</v>
      </c>
      <c r="K187" t="s">
        <v>8131</v>
      </c>
    </row>
    <row r="188" spans="1:11" x14ac:dyDescent="0.25">
      <c r="A188" t="s">
        <v>723</v>
      </c>
      <c r="B188" t="s">
        <v>724</v>
      </c>
      <c r="C188" t="s">
        <v>725</v>
      </c>
      <c r="D188" t="s">
        <v>726</v>
      </c>
      <c r="E188" t="s">
        <v>14</v>
      </c>
      <c r="F188" t="s">
        <v>15</v>
      </c>
      <c r="G188">
        <v>15234</v>
      </c>
      <c r="H188" t="s">
        <v>21</v>
      </c>
      <c r="I188">
        <v>74</v>
      </c>
      <c r="J188">
        <v>1</v>
      </c>
      <c r="K188" t="s">
        <v>8117</v>
      </c>
    </row>
    <row r="189" spans="1:11" x14ac:dyDescent="0.25">
      <c r="A189" t="s">
        <v>727</v>
      </c>
      <c r="B189" t="s">
        <v>728</v>
      </c>
      <c r="C189" t="s">
        <v>729</v>
      </c>
      <c r="D189" t="s">
        <v>730</v>
      </c>
      <c r="E189" t="s">
        <v>14</v>
      </c>
      <c r="F189" t="s">
        <v>15</v>
      </c>
      <c r="G189">
        <v>15203</v>
      </c>
      <c r="H189" t="s">
        <v>34</v>
      </c>
      <c r="I189">
        <v>331</v>
      </c>
      <c r="J189">
        <v>1</v>
      </c>
      <c r="K189" t="s">
        <v>8117</v>
      </c>
    </row>
    <row r="190" spans="1:11" x14ac:dyDescent="0.25">
      <c r="A190" t="s">
        <v>731</v>
      </c>
      <c r="B190" t="s">
        <v>36</v>
      </c>
      <c r="C190" t="s">
        <v>732</v>
      </c>
      <c r="D190" t="s">
        <v>733</v>
      </c>
      <c r="E190" t="s">
        <v>14</v>
      </c>
      <c r="F190" t="s">
        <v>15</v>
      </c>
      <c r="G190">
        <v>15205</v>
      </c>
      <c r="H190" t="s">
        <v>48</v>
      </c>
      <c r="I190">
        <v>31</v>
      </c>
      <c r="J190">
        <v>1</v>
      </c>
      <c r="K190" t="s">
        <v>8131</v>
      </c>
    </row>
    <row r="191" spans="1:11" x14ac:dyDescent="0.25">
      <c r="A191" t="s">
        <v>734</v>
      </c>
      <c r="B191" t="s">
        <v>735</v>
      </c>
      <c r="C191" t="s">
        <v>736</v>
      </c>
      <c r="D191" t="s">
        <v>737</v>
      </c>
      <c r="E191" t="s">
        <v>14</v>
      </c>
      <c r="F191" t="s">
        <v>15</v>
      </c>
      <c r="G191">
        <v>15219</v>
      </c>
      <c r="H191" t="s">
        <v>16</v>
      </c>
      <c r="I191">
        <v>21</v>
      </c>
      <c r="J191">
        <v>1</v>
      </c>
      <c r="K191" t="s">
        <v>8131</v>
      </c>
    </row>
    <row r="192" spans="1:11" x14ac:dyDescent="0.25">
      <c r="A192" t="s">
        <v>738</v>
      </c>
      <c r="B192" t="s">
        <v>474</v>
      </c>
      <c r="C192" t="s">
        <v>739</v>
      </c>
      <c r="D192" t="s">
        <v>740</v>
      </c>
      <c r="E192" t="s">
        <v>14</v>
      </c>
      <c r="F192" t="s">
        <v>15</v>
      </c>
      <c r="G192">
        <v>15234</v>
      </c>
      <c r="H192" t="s">
        <v>48</v>
      </c>
      <c r="I192">
        <v>58</v>
      </c>
      <c r="J192">
        <v>1</v>
      </c>
      <c r="K192" t="s">
        <v>8120</v>
      </c>
    </row>
    <row r="193" spans="1:11" x14ac:dyDescent="0.25">
      <c r="A193" t="s">
        <v>741</v>
      </c>
      <c r="B193" t="s">
        <v>742</v>
      </c>
      <c r="C193" t="s">
        <v>743</v>
      </c>
      <c r="D193" t="s">
        <v>744</v>
      </c>
      <c r="E193" t="s">
        <v>14</v>
      </c>
      <c r="F193" t="s">
        <v>15</v>
      </c>
      <c r="G193">
        <v>15222</v>
      </c>
      <c r="H193" t="s">
        <v>48</v>
      </c>
      <c r="I193">
        <v>20</v>
      </c>
      <c r="J193">
        <v>0</v>
      </c>
      <c r="K193" t="s">
        <v>8131</v>
      </c>
    </row>
    <row r="194" spans="1:11" x14ac:dyDescent="0.25">
      <c r="A194" t="s">
        <v>745</v>
      </c>
      <c r="B194" t="s">
        <v>319</v>
      </c>
      <c r="C194" t="s">
        <v>746</v>
      </c>
      <c r="D194" t="s">
        <v>747</v>
      </c>
      <c r="E194" t="s">
        <v>14</v>
      </c>
      <c r="F194" t="s">
        <v>15</v>
      </c>
      <c r="G194">
        <v>15205</v>
      </c>
      <c r="H194" t="s">
        <v>16</v>
      </c>
      <c r="I194">
        <v>7</v>
      </c>
      <c r="J194">
        <v>0</v>
      </c>
      <c r="K194" t="s">
        <v>8120</v>
      </c>
    </row>
    <row r="195" spans="1:11" x14ac:dyDescent="0.25">
      <c r="A195" t="s">
        <v>748</v>
      </c>
      <c r="B195" t="s">
        <v>749</v>
      </c>
      <c r="C195" t="s">
        <v>750</v>
      </c>
      <c r="D195" t="s">
        <v>751</v>
      </c>
      <c r="E195" t="s">
        <v>14</v>
      </c>
      <c r="F195" t="s">
        <v>15</v>
      </c>
      <c r="G195">
        <v>15234</v>
      </c>
      <c r="H195" t="s">
        <v>48</v>
      </c>
      <c r="I195">
        <v>3</v>
      </c>
      <c r="J195">
        <v>0</v>
      </c>
      <c r="K195" t="s">
        <v>8131</v>
      </c>
    </row>
    <row r="196" spans="1:11" x14ac:dyDescent="0.25">
      <c r="A196" t="s">
        <v>752</v>
      </c>
      <c r="B196" t="s">
        <v>753</v>
      </c>
      <c r="C196" t="s">
        <v>754</v>
      </c>
      <c r="D196" t="s">
        <v>755</v>
      </c>
      <c r="E196" t="s">
        <v>14</v>
      </c>
      <c r="F196" t="s">
        <v>15</v>
      </c>
      <c r="G196">
        <v>15212</v>
      </c>
      <c r="H196" t="s">
        <v>43</v>
      </c>
      <c r="I196">
        <v>110</v>
      </c>
      <c r="J196">
        <v>1</v>
      </c>
      <c r="K196" t="s">
        <v>8132</v>
      </c>
    </row>
    <row r="197" spans="1:11" x14ac:dyDescent="0.25">
      <c r="A197" t="s">
        <v>756</v>
      </c>
      <c r="B197" t="s">
        <v>757</v>
      </c>
      <c r="C197" t="s">
        <v>758</v>
      </c>
      <c r="D197" t="s">
        <v>759</v>
      </c>
      <c r="E197" t="s">
        <v>14</v>
      </c>
      <c r="F197" t="s">
        <v>15</v>
      </c>
      <c r="G197">
        <v>15201</v>
      </c>
      <c r="H197" t="s">
        <v>21</v>
      </c>
      <c r="I197">
        <v>103</v>
      </c>
      <c r="J197">
        <v>1</v>
      </c>
      <c r="K197" t="s">
        <v>8125</v>
      </c>
    </row>
    <row r="198" spans="1:11" x14ac:dyDescent="0.25">
      <c r="A198" t="s">
        <v>760</v>
      </c>
      <c r="B198" t="s">
        <v>761</v>
      </c>
      <c r="C198" t="s">
        <v>762</v>
      </c>
      <c r="D198" t="s">
        <v>763</v>
      </c>
      <c r="E198" t="s">
        <v>14</v>
      </c>
      <c r="F198" t="s">
        <v>15</v>
      </c>
      <c r="G198">
        <v>15237</v>
      </c>
      <c r="H198" t="s">
        <v>48</v>
      </c>
      <c r="I198">
        <v>20</v>
      </c>
      <c r="J198">
        <v>1</v>
      </c>
      <c r="K198" t="s">
        <v>8131</v>
      </c>
    </row>
    <row r="199" spans="1:11" x14ac:dyDescent="0.25">
      <c r="A199" t="s">
        <v>764</v>
      </c>
      <c r="B199" t="s">
        <v>765</v>
      </c>
      <c r="C199" t="s">
        <v>766</v>
      </c>
      <c r="D199" t="s">
        <v>767</v>
      </c>
      <c r="E199" t="s">
        <v>14</v>
      </c>
      <c r="F199" t="s">
        <v>15</v>
      </c>
      <c r="G199">
        <v>15213</v>
      </c>
      <c r="H199" t="s">
        <v>21</v>
      </c>
      <c r="I199">
        <v>7</v>
      </c>
      <c r="J199">
        <v>0</v>
      </c>
      <c r="K199" t="s">
        <v>8121</v>
      </c>
    </row>
    <row r="200" spans="1:11" x14ac:dyDescent="0.25">
      <c r="A200" t="s">
        <v>768</v>
      </c>
      <c r="B200" t="s">
        <v>769</v>
      </c>
      <c r="C200" t="s">
        <v>770</v>
      </c>
      <c r="D200" t="s">
        <v>771</v>
      </c>
      <c r="E200" t="s">
        <v>14</v>
      </c>
      <c r="F200" t="s">
        <v>15</v>
      </c>
      <c r="G200">
        <v>15222</v>
      </c>
      <c r="H200" t="s">
        <v>34</v>
      </c>
      <c r="I200">
        <v>57</v>
      </c>
      <c r="J200">
        <v>1</v>
      </c>
      <c r="K200" t="s">
        <v>8124</v>
      </c>
    </row>
    <row r="201" spans="1:11" x14ac:dyDescent="0.25">
      <c r="A201" t="s">
        <v>772</v>
      </c>
      <c r="B201" t="s">
        <v>773</v>
      </c>
      <c r="C201" t="s">
        <v>774</v>
      </c>
      <c r="D201" t="s">
        <v>775</v>
      </c>
      <c r="E201" t="s">
        <v>14</v>
      </c>
      <c r="F201" t="s">
        <v>15</v>
      </c>
      <c r="G201">
        <v>15212</v>
      </c>
      <c r="H201" t="s">
        <v>43</v>
      </c>
      <c r="I201">
        <v>6</v>
      </c>
      <c r="J201">
        <v>1</v>
      </c>
      <c r="K201" t="s">
        <v>8131</v>
      </c>
    </row>
    <row r="202" spans="1:11" x14ac:dyDescent="0.25">
      <c r="A202" t="s">
        <v>776</v>
      </c>
      <c r="B202" t="s">
        <v>777</v>
      </c>
      <c r="C202" t="s">
        <v>778</v>
      </c>
      <c r="D202" t="s">
        <v>779</v>
      </c>
      <c r="E202" t="s">
        <v>14</v>
      </c>
      <c r="F202" t="s">
        <v>15</v>
      </c>
      <c r="G202">
        <v>15210</v>
      </c>
      <c r="H202" t="s">
        <v>48</v>
      </c>
      <c r="I202">
        <v>31</v>
      </c>
      <c r="J202">
        <v>1</v>
      </c>
      <c r="K202" t="s">
        <v>8131</v>
      </c>
    </row>
    <row r="203" spans="1:11" x14ac:dyDescent="0.25">
      <c r="A203" t="s">
        <v>780</v>
      </c>
      <c r="B203" t="s">
        <v>781</v>
      </c>
      <c r="C203" t="s">
        <v>479</v>
      </c>
      <c r="D203" t="s">
        <v>782</v>
      </c>
      <c r="E203" t="s">
        <v>14</v>
      </c>
      <c r="F203" t="s">
        <v>15</v>
      </c>
      <c r="G203">
        <v>15213</v>
      </c>
      <c r="H203" t="s">
        <v>34</v>
      </c>
      <c r="I203">
        <v>37</v>
      </c>
      <c r="J203">
        <v>1</v>
      </c>
      <c r="K203" t="s">
        <v>8131</v>
      </c>
    </row>
    <row r="204" spans="1:11" x14ac:dyDescent="0.25">
      <c r="A204" t="s">
        <v>783</v>
      </c>
      <c r="B204" t="s">
        <v>784</v>
      </c>
      <c r="C204" t="s">
        <v>785</v>
      </c>
      <c r="D204" t="s">
        <v>786</v>
      </c>
      <c r="E204" t="s">
        <v>14</v>
      </c>
      <c r="F204" t="s">
        <v>15</v>
      </c>
      <c r="G204">
        <v>15220</v>
      </c>
      <c r="H204" t="s">
        <v>21</v>
      </c>
      <c r="I204">
        <v>33</v>
      </c>
      <c r="J204">
        <v>1</v>
      </c>
      <c r="K204" t="s">
        <v>8131</v>
      </c>
    </row>
    <row r="205" spans="1:11" x14ac:dyDescent="0.25">
      <c r="A205" t="s">
        <v>787</v>
      </c>
      <c r="B205" t="s">
        <v>788</v>
      </c>
      <c r="C205" t="s">
        <v>789</v>
      </c>
      <c r="E205" t="s">
        <v>14</v>
      </c>
      <c r="F205" t="s">
        <v>15</v>
      </c>
      <c r="H205" t="s">
        <v>16</v>
      </c>
      <c r="I205">
        <v>6</v>
      </c>
      <c r="J205">
        <v>1</v>
      </c>
      <c r="K205" t="s">
        <v>8121</v>
      </c>
    </row>
    <row r="206" spans="1:11" x14ac:dyDescent="0.25">
      <c r="A206" t="s">
        <v>790</v>
      </c>
      <c r="B206" t="s">
        <v>791</v>
      </c>
      <c r="C206" t="s">
        <v>792</v>
      </c>
      <c r="D206" t="s">
        <v>793</v>
      </c>
      <c r="E206" t="s">
        <v>14</v>
      </c>
      <c r="F206" t="s">
        <v>15</v>
      </c>
      <c r="G206">
        <v>15205</v>
      </c>
      <c r="H206" t="s">
        <v>21</v>
      </c>
      <c r="I206">
        <v>15</v>
      </c>
      <c r="J206">
        <v>0</v>
      </c>
      <c r="K206" t="s">
        <v>8131</v>
      </c>
    </row>
    <row r="207" spans="1:11" x14ac:dyDescent="0.25">
      <c r="A207" t="s">
        <v>794</v>
      </c>
      <c r="B207" t="s">
        <v>795</v>
      </c>
      <c r="C207" t="s">
        <v>796</v>
      </c>
      <c r="D207" t="s">
        <v>797</v>
      </c>
      <c r="E207" t="s">
        <v>14</v>
      </c>
      <c r="F207" t="s">
        <v>15</v>
      </c>
      <c r="G207">
        <v>15206</v>
      </c>
      <c r="H207" t="s">
        <v>113</v>
      </c>
      <c r="I207">
        <v>16</v>
      </c>
      <c r="J207">
        <v>0</v>
      </c>
      <c r="K207" t="s">
        <v>8124</v>
      </c>
    </row>
    <row r="208" spans="1:11" x14ac:dyDescent="0.25">
      <c r="A208" t="s">
        <v>798</v>
      </c>
      <c r="B208" t="s">
        <v>377</v>
      </c>
      <c r="C208" t="s">
        <v>799</v>
      </c>
      <c r="D208" t="s">
        <v>800</v>
      </c>
      <c r="E208" t="s">
        <v>14</v>
      </c>
      <c r="F208" t="s">
        <v>15</v>
      </c>
      <c r="G208">
        <v>15221</v>
      </c>
      <c r="H208" t="s">
        <v>48</v>
      </c>
      <c r="I208">
        <v>3</v>
      </c>
      <c r="J208">
        <v>0</v>
      </c>
      <c r="K208" t="s">
        <v>8124</v>
      </c>
    </row>
    <row r="209" spans="1:11" x14ac:dyDescent="0.25">
      <c r="A209" t="s">
        <v>801</v>
      </c>
      <c r="B209" t="s">
        <v>239</v>
      </c>
      <c r="C209" t="s">
        <v>802</v>
      </c>
      <c r="D209" t="s">
        <v>803</v>
      </c>
      <c r="E209" t="s">
        <v>14</v>
      </c>
      <c r="F209" t="s">
        <v>15</v>
      </c>
      <c r="G209">
        <v>15203</v>
      </c>
      <c r="H209" t="s">
        <v>48</v>
      </c>
      <c r="I209">
        <v>55</v>
      </c>
      <c r="J209">
        <v>0</v>
      </c>
      <c r="K209" t="s">
        <v>8122</v>
      </c>
    </row>
    <row r="210" spans="1:11" x14ac:dyDescent="0.25">
      <c r="A210" t="s">
        <v>804</v>
      </c>
      <c r="B210" t="s">
        <v>805</v>
      </c>
      <c r="C210" t="s">
        <v>806</v>
      </c>
      <c r="D210" t="s">
        <v>807</v>
      </c>
      <c r="E210" t="s">
        <v>14</v>
      </c>
      <c r="F210" t="s">
        <v>15</v>
      </c>
      <c r="G210">
        <v>15232</v>
      </c>
      <c r="H210" t="s">
        <v>34</v>
      </c>
      <c r="I210">
        <v>80</v>
      </c>
      <c r="J210">
        <v>1</v>
      </c>
      <c r="K210" t="s">
        <v>8124</v>
      </c>
    </row>
    <row r="211" spans="1:11" x14ac:dyDescent="0.25">
      <c r="A211" t="s">
        <v>808</v>
      </c>
      <c r="B211" t="s">
        <v>319</v>
      </c>
      <c r="C211" t="s">
        <v>809</v>
      </c>
      <c r="D211" t="s">
        <v>810</v>
      </c>
      <c r="E211" t="s">
        <v>14</v>
      </c>
      <c r="F211" t="s">
        <v>15</v>
      </c>
      <c r="G211">
        <v>15222</v>
      </c>
      <c r="H211" t="s">
        <v>113</v>
      </c>
      <c r="I211">
        <v>60</v>
      </c>
      <c r="J211">
        <v>0</v>
      </c>
      <c r="K211" t="s">
        <v>8120</v>
      </c>
    </row>
    <row r="212" spans="1:11" x14ac:dyDescent="0.25">
      <c r="A212" t="s">
        <v>811</v>
      </c>
      <c r="B212" t="s">
        <v>812</v>
      </c>
      <c r="C212" t="s">
        <v>813</v>
      </c>
      <c r="D212" t="s">
        <v>814</v>
      </c>
      <c r="E212" t="s">
        <v>14</v>
      </c>
      <c r="F212" t="s">
        <v>15</v>
      </c>
      <c r="G212">
        <v>15212</v>
      </c>
      <c r="H212" t="s">
        <v>43</v>
      </c>
      <c r="I212">
        <v>19</v>
      </c>
      <c r="J212">
        <v>0</v>
      </c>
      <c r="K212" t="s">
        <v>8131</v>
      </c>
    </row>
    <row r="213" spans="1:11" x14ac:dyDescent="0.25">
      <c r="A213" t="s">
        <v>815</v>
      </c>
      <c r="B213" t="s">
        <v>816</v>
      </c>
      <c r="C213" t="s">
        <v>817</v>
      </c>
      <c r="D213" t="s">
        <v>818</v>
      </c>
      <c r="E213" t="s">
        <v>14</v>
      </c>
      <c r="F213" t="s">
        <v>15</v>
      </c>
      <c r="G213">
        <v>15234</v>
      </c>
      <c r="H213" t="s">
        <v>43</v>
      </c>
      <c r="I213">
        <v>20</v>
      </c>
      <c r="J213">
        <v>1</v>
      </c>
      <c r="K213" t="s">
        <v>8117</v>
      </c>
    </row>
    <row r="214" spans="1:11" x14ac:dyDescent="0.25">
      <c r="A214" t="s">
        <v>819</v>
      </c>
      <c r="B214" t="s">
        <v>820</v>
      </c>
      <c r="C214" t="s">
        <v>821</v>
      </c>
      <c r="D214" t="s">
        <v>822</v>
      </c>
      <c r="E214" t="s">
        <v>14</v>
      </c>
      <c r="F214" t="s">
        <v>15</v>
      </c>
      <c r="G214">
        <v>15205</v>
      </c>
      <c r="H214" t="s">
        <v>34</v>
      </c>
      <c r="I214">
        <v>9</v>
      </c>
      <c r="J214">
        <v>1</v>
      </c>
      <c r="K214" t="s">
        <v>8124</v>
      </c>
    </row>
    <row r="215" spans="1:11" x14ac:dyDescent="0.25">
      <c r="A215" t="s">
        <v>823</v>
      </c>
      <c r="B215" t="s">
        <v>824</v>
      </c>
      <c r="C215" t="s">
        <v>825</v>
      </c>
      <c r="D215" t="s">
        <v>826</v>
      </c>
      <c r="E215" t="s">
        <v>14</v>
      </c>
      <c r="F215" t="s">
        <v>15</v>
      </c>
      <c r="G215">
        <v>15232</v>
      </c>
      <c r="H215" t="s">
        <v>16</v>
      </c>
      <c r="I215">
        <v>208</v>
      </c>
      <c r="J215">
        <v>1</v>
      </c>
      <c r="K215" t="s">
        <v>8131</v>
      </c>
    </row>
    <row r="216" spans="1:11" x14ac:dyDescent="0.25">
      <c r="A216" t="s">
        <v>827</v>
      </c>
      <c r="B216" t="s">
        <v>828</v>
      </c>
      <c r="C216" t="s">
        <v>829</v>
      </c>
      <c r="D216" t="s">
        <v>75</v>
      </c>
      <c r="E216" t="s">
        <v>14</v>
      </c>
      <c r="F216" t="s">
        <v>15</v>
      </c>
      <c r="G216">
        <v>15212</v>
      </c>
      <c r="H216" t="s">
        <v>34</v>
      </c>
      <c r="I216">
        <v>11</v>
      </c>
      <c r="J216">
        <v>0</v>
      </c>
      <c r="K216" t="s">
        <v>8131</v>
      </c>
    </row>
    <row r="217" spans="1:11" x14ac:dyDescent="0.25">
      <c r="A217" t="s">
        <v>830</v>
      </c>
      <c r="B217" t="s">
        <v>831</v>
      </c>
      <c r="C217" t="s">
        <v>832</v>
      </c>
      <c r="D217" t="s">
        <v>759</v>
      </c>
      <c r="E217" t="s">
        <v>14</v>
      </c>
      <c r="F217" t="s">
        <v>15</v>
      </c>
      <c r="G217">
        <v>15201</v>
      </c>
      <c r="H217" t="s">
        <v>21</v>
      </c>
      <c r="I217">
        <v>256</v>
      </c>
      <c r="J217">
        <v>1</v>
      </c>
      <c r="K217" t="s">
        <v>8132</v>
      </c>
    </row>
    <row r="218" spans="1:11" x14ac:dyDescent="0.25">
      <c r="A218" t="s">
        <v>833</v>
      </c>
      <c r="B218" t="s">
        <v>834</v>
      </c>
      <c r="C218" t="s">
        <v>835</v>
      </c>
      <c r="D218" t="s">
        <v>836</v>
      </c>
      <c r="E218" t="s">
        <v>14</v>
      </c>
      <c r="F218" t="s">
        <v>15</v>
      </c>
      <c r="G218">
        <v>15238</v>
      </c>
      <c r="H218" t="s">
        <v>34</v>
      </c>
      <c r="I218">
        <v>43</v>
      </c>
      <c r="J218">
        <v>0</v>
      </c>
      <c r="K218" t="s">
        <v>8120</v>
      </c>
    </row>
    <row r="219" spans="1:11" x14ac:dyDescent="0.25">
      <c r="A219" t="s">
        <v>837</v>
      </c>
      <c r="B219" t="s">
        <v>319</v>
      </c>
      <c r="C219" t="s">
        <v>838</v>
      </c>
      <c r="D219" t="s">
        <v>839</v>
      </c>
      <c r="E219" t="s">
        <v>14</v>
      </c>
      <c r="F219" t="s">
        <v>15</v>
      </c>
      <c r="G219">
        <v>15213</v>
      </c>
      <c r="H219" t="s">
        <v>48</v>
      </c>
      <c r="I219">
        <v>10</v>
      </c>
      <c r="J219">
        <v>0</v>
      </c>
      <c r="K219" t="s">
        <v>8120</v>
      </c>
    </row>
    <row r="220" spans="1:11" x14ac:dyDescent="0.25">
      <c r="A220" t="s">
        <v>840</v>
      </c>
      <c r="B220" t="s">
        <v>377</v>
      </c>
      <c r="C220" t="s">
        <v>841</v>
      </c>
      <c r="D220" t="s">
        <v>842</v>
      </c>
      <c r="E220" t="s">
        <v>843</v>
      </c>
      <c r="F220" t="s">
        <v>15</v>
      </c>
      <c r="G220">
        <v>15112</v>
      </c>
      <c r="H220" t="s">
        <v>16</v>
      </c>
      <c r="I220">
        <v>15</v>
      </c>
      <c r="J220">
        <v>0</v>
      </c>
      <c r="K220" t="s">
        <v>8124</v>
      </c>
    </row>
    <row r="221" spans="1:11" x14ac:dyDescent="0.25">
      <c r="A221" t="s">
        <v>844</v>
      </c>
      <c r="B221" t="s">
        <v>845</v>
      </c>
      <c r="C221" t="s">
        <v>846</v>
      </c>
      <c r="D221" t="s">
        <v>847</v>
      </c>
      <c r="E221" t="s">
        <v>14</v>
      </c>
      <c r="F221" t="s">
        <v>15</v>
      </c>
      <c r="G221">
        <v>15217</v>
      </c>
      <c r="H221" t="s">
        <v>48</v>
      </c>
      <c r="I221">
        <v>149</v>
      </c>
      <c r="J221">
        <v>1</v>
      </c>
      <c r="K221" t="s">
        <v>8129</v>
      </c>
    </row>
    <row r="222" spans="1:11" x14ac:dyDescent="0.25">
      <c r="A222" t="s">
        <v>848</v>
      </c>
      <c r="B222" t="s">
        <v>849</v>
      </c>
      <c r="C222" t="s">
        <v>850</v>
      </c>
      <c r="D222" t="s">
        <v>851</v>
      </c>
      <c r="E222" t="s">
        <v>14</v>
      </c>
      <c r="F222" t="s">
        <v>15</v>
      </c>
      <c r="G222">
        <v>15213</v>
      </c>
      <c r="H222" t="s">
        <v>16</v>
      </c>
      <c r="I222">
        <v>24</v>
      </c>
      <c r="J222">
        <v>1</v>
      </c>
      <c r="K222" t="s">
        <v>8131</v>
      </c>
    </row>
    <row r="223" spans="1:11" x14ac:dyDescent="0.25">
      <c r="A223" t="s">
        <v>852</v>
      </c>
      <c r="B223" t="s">
        <v>65</v>
      </c>
      <c r="C223" t="s">
        <v>853</v>
      </c>
      <c r="D223" t="s">
        <v>854</v>
      </c>
      <c r="E223" t="s">
        <v>14</v>
      </c>
      <c r="F223" t="s">
        <v>15</v>
      </c>
      <c r="G223">
        <v>15206</v>
      </c>
      <c r="H223" t="s">
        <v>16</v>
      </c>
      <c r="I223">
        <v>111</v>
      </c>
      <c r="J223">
        <v>1</v>
      </c>
      <c r="K223" t="s">
        <v>8131</v>
      </c>
    </row>
    <row r="224" spans="1:11" x14ac:dyDescent="0.25">
      <c r="A224" t="s">
        <v>855</v>
      </c>
      <c r="B224" t="s">
        <v>36</v>
      </c>
      <c r="C224" t="s">
        <v>856</v>
      </c>
      <c r="D224" t="s">
        <v>726</v>
      </c>
      <c r="E224" t="s">
        <v>14</v>
      </c>
      <c r="F224" t="s">
        <v>15</v>
      </c>
      <c r="G224">
        <v>15234</v>
      </c>
      <c r="H224" t="s">
        <v>113</v>
      </c>
      <c r="I224">
        <v>8</v>
      </c>
      <c r="J224">
        <v>0</v>
      </c>
      <c r="K224" t="s">
        <v>8131</v>
      </c>
    </row>
    <row r="225" spans="1:11" x14ac:dyDescent="0.25">
      <c r="A225" t="s">
        <v>857</v>
      </c>
      <c r="B225" t="s">
        <v>777</v>
      </c>
      <c r="C225" t="s">
        <v>858</v>
      </c>
      <c r="D225" t="s">
        <v>859</v>
      </c>
      <c r="E225" t="s">
        <v>14</v>
      </c>
      <c r="F225" t="s">
        <v>15</v>
      </c>
      <c r="G225">
        <v>15216</v>
      </c>
      <c r="H225" t="s">
        <v>16</v>
      </c>
      <c r="I225">
        <v>405</v>
      </c>
      <c r="J225">
        <v>1</v>
      </c>
      <c r="K225" t="s">
        <v>8131</v>
      </c>
    </row>
    <row r="226" spans="1:11" x14ac:dyDescent="0.25">
      <c r="A226" t="s">
        <v>860</v>
      </c>
      <c r="B226" t="s">
        <v>861</v>
      </c>
      <c r="C226" t="s">
        <v>862</v>
      </c>
      <c r="D226" t="s">
        <v>863</v>
      </c>
      <c r="E226" t="s">
        <v>14</v>
      </c>
      <c r="F226" t="s">
        <v>15</v>
      </c>
      <c r="G226">
        <v>15203</v>
      </c>
      <c r="H226" t="s">
        <v>48</v>
      </c>
      <c r="I226">
        <v>245</v>
      </c>
      <c r="J226">
        <v>1</v>
      </c>
      <c r="K226" t="s">
        <v>8131</v>
      </c>
    </row>
    <row r="227" spans="1:11" x14ac:dyDescent="0.25">
      <c r="A227" t="s">
        <v>864</v>
      </c>
      <c r="B227" t="s">
        <v>865</v>
      </c>
      <c r="C227" t="s">
        <v>866</v>
      </c>
      <c r="D227" t="s">
        <v>867</v>
      </c>
      <c r="E227" t="s">
        <v>14</v>
      </c>
      <c r="F227" t="s">
        <v>15</v>
      </c>
      <c r="G227">
        <v>15213</v>
      </c>
      <c r="H227" t="s">
        <v>21</v>
      </c>
      <c r="I227">
        <v>52</v>
      </c>
      <c r="J227">
        <v>1</v>
      </c>
      <c r="K227" t="s">
        <v>8131</v>
      </c>
    </row>
    <row r="228" spans="1:11" x14ac:dyDescent="0.25">
      <c r="A228" t="s">
        <v>868</v>
      </c>
      <c r="B228" t="s">
        <v>869</v>
      </c>
      <c r="C228" t="s">
        <v>870</v>
      </c>
      <c r="D228" t="s">
        <v>871</v>
      </c>
      <c r="E228" t="s">
        <v>14</v>
      </c>
      <c r="F228" t="s">
        <v>15</v>
      </c>
      <c r="G228">
        <v>15206</v>
      </c>
      <c r="H228" t="s">
        <v>16</v>
      </c>
      <c r="I228">
        <v>22</v>
      </c>
      <c r="J228">
        <v>0</v>
      </c>
      <c r="K228" t="s">
        <v>8117</v>
      </c>
    </row>
    <row r="229" spans="1:11" x14ac:dyDescent="0.25">
      <c r="A229" t="s">
        <v>872</v>
      </c>
      <c r="B229" t="s">
        <v>873</v>
      </c>
      <c r="C229" t="s">
        <v>874</v>
      </c>
      <c r="D229" t="s">
        <v>875</v>
      </c>
      <c r="E229" t="s">
        <v>14</v>
      </c>
      <c r="F229" t="s">
        <v>15</v>
      </c>
      <c r="G229">
        <v>15237</v>
      </c>
      <c r="H229" t="s">
        <v>34</v>
      </c>
      <c r="I229">
        <v>11</v>
      </c>
      <c r="J229">
        <v>0</v>
      </c>
      <c r="K229" t="s">
        <v>8131</v>
      </c>
    </row>
    <row r="230" spans="1:11" x14ac:dyDescent="0.25">
      <c r="A230" t="s">
        <v>876</v>
      </c>
      <c r="B230" t="s">
        <v>877</v>
      </c>
      <c r="C230" t="s">
        <v>878</v>
      </c>
      <c r="D230" t="s">
        <v>879</v>
      </c>
      <c r="E230" t="s">
        <v>14</v>
      </c>
      <c r="F230" t="s">
        <v>15</v>
      </c>
      <c r="G230">
        <v>15237</v>
      </c>
      <c r="H230" t="s">
        <v>34</v>
      </c>
      <c r="I230">
        <v>77</v>
      </c>
      <c r="J230">
        <v>1</v>
      </c>
      <c r="K230" t="s">
        <v>8131</v>
      </c>
    </row>
    <row r="231" spans="1:11" x14ac:dyDescent="0.25">
      <c r="A231" t="s">
        <v>880</v>
      </c>
      <c r="B231" t="s">
        <v>881</v>
      </c>
      <c r="C231" t="s">
        <v>882</v>
      </c>
      <c r="D231" t="s">
        <v>883</v>
      </c>
      <c r="E231" t="s">
        <v>14</v>
      </c>
      <c r="F231" t="s">
        <v>15</v>
      </c>
      <c r="G231">
        <v>15203</v>
      </c>
      <c r="H231" t="s">
        <v>34</v>
      </c>
      <c r="I231">
        <v>26</v>
      </c>
      <c r="J231">
        <v>1</v>
      </c>
      <c r="K231" t="s">
        <v>8121</v>
      </c>
    </row>
    <row r="232" spans="1:11" x14ac:dyDescent="0.25">
      <c r="A232" t="s">
        <v>884</v>
      </c>
      <c r="B232" t="s">
        <v>885</v>
      </c>
      <c r="C232" t="s">
        <v>886</v>
      </c>
      <c r="D232" t="s">
        <v>887</v>
      </c>
      <c r="E232" t="s">
        <v>14</v>
      </c>
      <c r="F232" t="s">
        <v>15</v>
      </c>
      <c r="G232">
        <v>15219</v>
      </c>
      <c r="H232" t="s">
        <v>48</v>
      </c>
      <c r="I232">
        <v>53</v>
      </c>
      <c r="J232">
        <v>1</v>
      </c>
      <c r="K232" t="s">
        <v>8120</v>
      </c>
    </row>
    <row r="233" spans="1:11" x14ac:dyDescent="0.25">
      <c r="A233" t="s">
        <v>888</v>
      </c>
      <c r="B233" t="s">
        <v>889</v>
      </c>
      <c r="C233" t="s">
        <v>890</v>
      </c>
      <c r="D233" t="s">
        <v>891</v>
      </c>
      <c r="E233" t="s">
        <v>14</v>
      </c>
      <c r="F233" t="s">
        <v>15</v>
      </c>
      <c r="G233">
        <v>15213</v>
      </c>
      <c r="H233" t="s">
        <v>34</v>
      </c>
      <c r="I233">
        <v>50</v>
      </c>
      <c r="J233">
        <v>1</v>
      </c>
      <c r="K233" t="s">
        <v>8124</v>
      </c>
    </row>
    <row r="234" spans="1:11" x14ac:dyDescent="0.25">
      <c r="A234" t="s">
        <v>892</v>
      </c>
      <c r="B234" t="s">
        <v>893</v>
      </c>
      <c r="C234" t="s">
        <v>894</v>
      </c>
      <c r="D234" t="s">
        <v>895</v>
      </c>
      <c r="E234" t="s">
        <v>14</v>
      </c>
      <c r="F234" t="s">
        <v>15</v>
      </c>
      <c r="G234">
        <v>15217</v>
      </c>
      <c r="H234" t="s">
        <v>16</v>
      </c>
      <c r="I234">
        <v>598</v>
      </c>
      <c r="J234">
        <v>1</v>
      </c>
      <c r="K234" t="s">
        <v>8124</v>
      </c>
    </row>
    <row r="235" spans="1:11" x14ac:dyDescent="0.25">
      <c r="A235" t="s">
        <v>896</v>
      </c>
      <c r="B235" t="s">
        <v>897</v>
      </c>
      <c r="C235" t="s">
        <v>898</v>
      </c>
      <c r="D235" t="s">
        <v>899</v>
      </c>
      <c r="E235" t="s">
        <v>14</v>
      </c>
      <c r="F235" t="s">
        <v>15</v>
      </c>
      <c r="G235">
        <v>15241</v>
      </c>
      <c r="H235" t="s">
        <v>113</v>
      </c>
      <c r="I235">
        <v>32</v>
      </c>
      <c r="J235">
        <v>0</v>
      </c>
      <c r="K235" t="s">
        <v>8120</v>
      </c>
    </row>
    <row r="236" spans="1:11" x14ac:dyDescent="0.25">
      <c r="A236" t="s">
        <v>900</v>
      </c>
      <c r="B236" t="s">
        <v>65</v>
      </c>
      <c r="C236" t="s">
        <v>901</v>
      </c>
      <c r="D236" t="s">
        <v>902</v>
      </c>
      <c r="E236" t="s">
        <v>14</v>
      </c>
      <c r="F236" t="s">
        <v>15</v>
      </c>
      <c r="G236">
        <v>15213</v>
      </c>
      <c r="H236" t="s">
        <v>157</v>
      </c>
      <c r="I236">
        <v>8</v>
      </c>
      <c r="J236">
        <v>1</v>
      </c>
      <c r="K236" t="s">
        <v>8131</v>
      </c>
    </row>
    <row r="237" spans="1:11" x14ac:dyDescent="0.25">
      <c r="A237" t="s">
        <v>903</v>
      </c>
      <c r="B237" t="s">
        <v>904</v>
      </c>
      <c r="C237" t="s">
        <v>905</v>
      </c>
      <c r="D237" t="s">
        <v>906</v>
      </c>
      <c r="E237" t="s">
        <v>14</v>
      </c>
      <c r="F237" t="s">
        <v>15</v>
      </c>
      <c r="G237">
        <v>15212</v>
      </c>
      <c r="H237" t="s">
        <v>48</v>
      </c>
      <c r="I237">
        <v>15</v>
      </c>
      <c r="J237">
        <v>1</v>
      </c>
      <c r="K237" t="s">
        <v>8131</v>
      </c>
    </row>
    <row r="238" spans="1:11" x14ac:dyDescent="0.25">
      <c r="A238" t="s">
        <v>907</v>
      </c>
      <c r="B238" t="s">
        <v>908</v>
      </c>
      <c r="C238" t="s">
        <v>909</v>
      </c>
      <c r="D238" t="s">
        <v>910</v>
      </c>
      <c r="E238" t="s">
        <v>14</v>
      </c>
      <c r="F238" t="s">
        <v>15</v>
      </c>
      <c r="G238">
        <v>15222</v>
      </c>
      <c r="H238" t="s">
        <v>16</v>
      </c>
      <c r="I238">
        <v>633</v>
      </c>
      <c r="J238">
        <v>1</v>
      </c>
      <c r="K238" t="s">
        <v>8118</v>
      </c>
    </row>
    <row r="239" spans="1:11" x14ac:dyDescent="0.25">
      <c r="A239" t="s">
        <v>911</v>
      </c>
      <c r="B239" t="s">
        <v>912</v>
      </c>
      <c r="C239" t="s">
        <v>913</v>
      </c>
      <c r="D239" t="s">
        <v>914</v>
      </c>
      <c r="E239" t="s">
        <v>14</v>
      </c>
      <c r="F239" t="s">
        <v>15</v>
      </c>
      <c r="G239">
        <v>15238</v>
      </c>
      <c r="H239" t="s">
        <v>43</v>
      </c>
      <c r="I239">
        <v>13</v>
      </c>
      <c r="J239">
        <v>1</v>
      </c>
      <c r="K239" t="s">
        <v>8122</v>
      </c>
    </row>
    <row r="240" spans="1:11" x14ac:dyDescent="0.25">
      <c r="A240" t="s">
        <v>915</v>
      </c>
      <c r="B240" t="s">
        <v>916</v>
      </c>
      <c r="C240" t="s">
        <v>917</v>
      </c>
      <c r="D240" t="s">
        <v>918</v>
      </c>
      <c r="E240" t="s">
        <v>14</v>
      </c>
      <c r="F240" t="s">
        <v>15</v>
      </c>
      <c r="G240">
        <v>15210</v>
      </c>
      <c r="H240" t="s">
        <v>43</v>
      </c>
      <c r="I240">
        <v>9</v>
      </c>
      <c r="J240">
        <v>1</v>
      </c>
      <c r="K240" t="s">
        <v>8131</v>
      </c>
    </row>
    <row r="241" spans="1:11" x14ac:dyDescent="0.25">
      <c r="A241" t="s">
        <v>919</v>
      </c>
      <c r="B241" t="s">
        <v>920</v>
      </c>
      <c r="C241" t="s">
        <v>921</v>
      </c>
      <c r="D241" t="s">
        <v>922</v>
      </c>
      <c r="E241" t="s">
        <v>14</v>
      </c>
      <c r="F241" t="s">
        <v>15</v>
      </c>
      <c r="G241">
        <v>15210</v>
      </c>
      <c r="H241" t="s">
        <v>16</v>
      </c>
      <c r="I241">
        <v>28</v>
      </c>
      <c r="J241">
        <v>1</v>
      </c>
      <c r="K241" t="s">
        <v>8131</v>
      </c>
    </row>
    <row r="242" spans="1:11" x14ac:dyDescent="0.25">
      <c r="A242" t="s">
        <v>923</v>
      </c>
      <c r="B242" t="s">
        <v>924</v>
      </c>
      <c r="C242" t="s">
        <v>925</v>
      </c>
      <c r="D242" t="s">
        <v>926</v>
      </c>
      <c r="E242" t="s">
        <v>14</v>
      </c>
      <c r="F242" t="s">
        <v>15</v>
      </c>
      <c r="G242">
        <v>15201</v>
      </c>
      <c r="H242" t="s">
        <v>16</v>
      </c>
      <c r="I242">
        <v>3</v>
      </c>
      <c r="J242">
        <v>1</v>
      </c>
      <c r="K242" t="s">
        <v>8131</v>
      </c>
    </row>
    <row r="243" spans="1:11" x14ac:dyDescent="0.25">
      <c r="A243" t="s">
        <v>927</v>
      </c>
      <c r="B243" t="s">
        <v>239</v>
      </c>
      <c r="C243" t="s">
        <v>928</v>
      </c>
      <c r="D243" t="s">
        <v>929</v>
      </c>
      <c r="E243" t="s">
        <v>14</v>
      </c>
      <c r="F243" t="s">
        <v>15</v>
      </c>
      <c r="G243">
        <v>15232</v>
      </c>
      <c r="H243" t="s">
        <v>34</v>
      </c>
      <c r="I243">
        <v>18</v>
      </c>
      <c r="J243">
        <v>0</v>
      </c>
      <c r="K243" t="s">
        <v>8122</v>
      </c>
    </row>
    <row r="244" spans="1:11" x14ac:dyDescent="0.25">
      <c r="A244" t="s">
        <v>930</v>
      </c>
      <c r="B244" t="s">
        <v>931</v>
      </c>
      <c r="C244" t="s">
        <v>932</v>
      </c>
      <c r="D244" t="s">
        <v>933</v>
      </c>
      <c r="E244" t="s">
        <v>14</v>
      </c>
      <c r="F244" t="s">
        <v>15</v>
      </c>
      <c r="G244">
        <v>15213</v>
      </c>
      <c r="H244" t="s">
        <v>21</v>
      </c>
      <c r="I244">
        <v>14</v>
      </c>
      <c r="J244">
        <v>1</v>
      </c>
      <c r="K244" t="s">
        <v>8121</v>
      </c>
    </row>
    <row r="245" spans="1:11" x14ac:dyDescent="0.25">
      <c r="A245" t="s">
        <v>934</v>
      </c>
      <c r="B245" t="s">
        <v>119</v>
      </c>
      <c r="C245" t="s">
        <v>935</v>
      </c>
      <c r="D245" t="s">
        <v>936</v>
      </c>
      <c r="E245" t="s">
        <v>14</v>
      </c>
      <c r="F245" t="s">
        <v>15</v>
      </c>
      <c r="G245">
        <v>15206</v>
      </c>
      <c r="H245" t="s">
        <v>16</v>
      </c>
      <c r="I245">
        <v>313</v>
      </c>
      <c r="J245">
        <v>1</v>
      </c>
      <c r="K245" t="s">
        <v>8131</v>
      </c>
    </row>
    <row r="246" spans="1:11" x14ac:dyDescent="0.25">
      <c r="A246" t="s">
        <v>937</v>
      </c>
      <c r="B246" t="s">
        <v>938</v>
      </c>
      <c r="C246" t="s">
        <v>260</v>
      </c>
      <c r="D246" t="s">
        <v>939</v>
      </c>
      <c r="E246" t="s">
        <v>14</v>
      </c>
      <c r="F246" t="s">
        <v>15</v>
      </c>
      <c r="G246">
        <v>15275</v>
      </c>
      <c r="H246" t="s">
        <v>34</v>
      </c>
      <c r="I246">
        <v>49</v>
      </c>
      <c r="J246">
        <v>1</v>
      </c>
      <c r="K246" t="s">
        <v>8122</v>
      </c>
    </row>
    <row r="247" spans="1:11" x14ac:dyDescent="0.25">
      <c r="A247" t="s">
        <v>940</v>
      </c>
      <c r="B247" t="s">
        <v>941</v>
      </c>
      <c r="C247" t="s">
        <v>942</v>
      </c>
      <c r="D247" t="s">
        <v>943</v>
      </c>
      <c r="E247" t="s">
        <v>14</v>
      </c>
      <c r="F247" t="s">
        <v>15</v>
      </c>
      <c r="G247">
        <v>15229</v>
      </c>
      <c r="H247" t="s">
        <v>48</v>
      </c>
      <c r="I247">
        <v>28</v>
      </c>
      <c r="J247">
        <v>1</v>
      </c>
      <c r="K247" t="s">
        <v>8131</v>
      </c>
    </row>
    <row r="248" spans="1:11" x14ac:dyDescent="0.25">
      <c r="A248" t="s">
        <v>944</v>
      </c>
      <c r="B248" t="s">
        <v>945</v>
      </c>
      <c r="C248" t="s">
        <v>32</v>
      </c>
      <c r="D248" t="s">
        <v>946</v>
      </c>
      <c r="E248" t="s">
        <v>14</v>
      </c>
      <c r="F248" t="s">
        <v>15</v>
      </c>
      <c r="G248">
        <v>15217</v>
      </c>
      <c r="H248" t="s">
        <v>157</v>
      </c>
      <c r="I248">
        <v>3</v>
      </c>
      <c r="J248">
        <v>0</v>
      </c>
      <c r="K248" t="s">
        <v>8131</v>
      </c>
    </row>
    <row r="249" spans="1:11" x14ac:dyDescent="0.25">
      <c r="A249" t="s">
        <v>947</v>
      </c>
      <c r="B249" t="s">
        <v>65</v>
      </c>
      <c r="C249" t="s">
        <v>948</v>
      </c>
      <c r="D249" t="s">
        <v>949</v>
      </c>
      <c r="E249" t="s">
        <v>14</v>
      </c>
      <c r="F249" t="s">
        <v>15</v>
      </c>
      <c r="G249">
        <v>15234</v>
      </c>
      <c r="H249" t="s">
        <v>34</v>
      </c>
      <c r="I249">
        <v>16</v>
      </c>
      <c r="J249">
        <v>0</v>
      </c>
      <c r="K249" t="s">
        <v>8131</v>
      </c>
    </row>
    <row r="250" spans="1:11" x14ac:dyDescent="0.25">
      <c r="A250" t="s">
        <v>950</v>
      </c>
      <c r="B250" t="s">
        <v>951</v>
      </c>
      <c r="C250" t="s">
        <v>952</v>
      </c>
      <c r="D250" t="s">
        <v>953</v>
      </c>
      <c r="E250" t="s">
        <v>14</v>
      </c>
      <c r="F250" t="s">
        <v>15</v>
      </c>
      <c r="G250">
        <v>15216</v>
      </c>
      <c r="H250" t="s">
        <v>21</v>
      </c>
      <c r="I250">
        <v>15</v>
      </c>
      <c r="J250">
        <v>1</v>
      </c>
      <c r="K250" t="s">
        <v>8122</v>
      </c>
    </row>
    <row r="251" spans="1:11" x14ac:dyDescent="0.25">
      <c r="A251" t="s">
        <v>954</v>
      </c>
      <c r="B251" t="s">
        <v>955</v>
      </c>
      <c r="C251" t="s">
        <v>956</v>
      </c>
      <c r="D251" t="s">
        <v>957</v>
      </c>
      <c r="E251" t="s">
        <v>14</v>
      </c>
      <c r="F251" t="s">
        <v>15</v>
      </c>
      <c r="G251">
        <v>15206</v>
      </c>
      <c r="H251" t="s">
        <v>21</v>
      </c>
      <c r="I251">
        <v>66</v>
      </c>
      <c r="J251">
        <v>1</v>
      </c>
      <c r="K251" t="s">
        <v>8131</v>
      </c>
    </row>
    <row r="252" spans="1:11" x14ac:dyDescent="0.25">
      <c r="A252" t="s">
        <v>958</v>
      </c>
      <c r="B252" t="s">
        <v>959</v>
      </c>
      <c r="C252" t="s">
        <v>960</v>
      </c>
      <c r="D252" t="s">
        <v>961</v>
      </c>
      <c r="E252" t="s">
        <v>14</v>
      </c>
      <c r="F252" t="s">
        <v>15</v>
      </c>
      <c r="G252">
        <v>15201</v>
      </c>
      <c r="H252" t="s">
        <v>16</v>
      </c>
      <c r="I252">
        <v>101</v>
      </c>
      <c r="J252">
        <v>1</v>
      </c>
      <c r="K252" t="s">
        <v>8121</v>
      </c>
    </row>
    <row r="253" spans="1:11" x14ac:dyDescent="0.25">
      <c r="A253" t="s">
        <v>962</v>
      </c>
      <c r="B253" t="s">
        <v>963</v>
      </c>
      <c r="C253" t="s">
        <v>964</v>
      </c>
      <c r="D253" t="s">
        <v>965</v>
      </c>
      <c r="E253" t="s">
        <v>14</v>
      </c>
      <c r="F253" t="s">
        <v>15</v>
      </c>
      <c r="G253">
        <v>15217</v>
      </c>
      <c r="H253" t="s">
        <v>16</v>
      </c>
      <c r="I253">
        <v>27</v>
      </c>
      <c r="J253">
        <v>0</v>
      </c>
      <c r="K253" t="s">
        <v>8121</v>
      </c>
    </row>
    <row r="254" spans="1:11" x14ac:dyDescent="0.25">
      <c r="A254" t="s">
        <v>966</v>
      </c>
      <c r="B254" t="s">
        <v>967</v>
      </c>
      <c r="C254" t="s">
        <v>968</v>
      </c>
      <c r="D254" t="s">
        <v>969</v>
      </c>
      <c r="E254" t="s">
        <v>14</v>
      </c>
      <c r="F254" t="s">
        <v>15</v>
      </c>
      <c r="G254">
        <v>15203</v>
      </c>
      <c r="H254" t="s">
        <v>48</v>
      </c>
      <c r="I254">
        <v>97</v>
      </c>
      <c r="J254">
        <v>1</v>
      </c>
      <c r="K254" t="s">
        <v>8131</v>
      </c>
    </row>
    <row r="255" spans="1:11" x14ac:dyDescent="0.25">
      <c r="A255" t="s">
        <v>970</v>
      </c>
      <c r="B255" t="s">
        <v>227</v>
      </c>
      <c r="C255" t="s">
        <v>228</v>
      </c>
      <c r="D255" t="s">
        <v>971</v>
      </c>
      <c r="E255" t="s">
        <v>14</v>
      </c>
      <c r="F255" t="s">
        <v>15</v>
      </c>
      <c r="G255">
        <v>15222</v>
      </c>
      <c r="H255" t="s">
        <v>48</v>
      </c>
      <c r="I255">
        <v>3</v>
      </c>
      <c r="J255">
        <v>0</v>
      </c>
      <c r="K255" t="s">
        <v>8131</v>
      </c>
    </row>
    <row r="256" spans="1:11" x14ac:dyDescent="0.25">
      <c r="A256" t="s">
        <v>972</v>
      </c>
      <c r="B256" t="s">
        <v>973</v>
      </c>
      <c r="C256" t="s">
        <v>974</v>
      </c>
      <c r="D256" t="s">
        <v>975</v>
      </c>
      <c r="E256" t="s">
        <v>14</v>
      </c>
      <c r="F256" t="s">
        <v>15</v>
      </c>
      <c r="G256">
        <v>15205</v>
      </c>
      <c r="H256" t="s">
        <v>21</v>
      </c>
      <c r="I256">
        <v>83</v>
      </c>
      <c r="J256">
        <v>1</v>
      </c>
      <c r="K256" t="s">
        <v>8131</v>
      </c>
    </row>
    <row r="257" spans="1:11" x14ac:dyDescent="0.25">
      <c r="A257" t="s">
        <v>976</v>
      </c>
      <c r="B257" t="s">
        <v>977</v>
      </c>
      <c r="C257" t="s">
        <v>978</v>
      </c>
      <c r="D257" t="s">
        <v>979</v>
      </c>
      <c r="E257" t="s">
        <v>14</v>
      </c>
      <c r="F257" t="s">
        <v>15</v>
      </c>
      <c r="G257">
        <v>15222</v>
      </c>
      <c r="H257" t="s">
        <v>16</v>
      </c>
      <c r="I257">
        <v>7</v>
      </c>
      <c r="J257">
        <v>0</v>
      </c>
      <c r="K257" t="s">
        <v>8131</v>
      </c>
    </row>
    <row r="258" spans="1:11" x14ac:dyDescent="0.25">
      <c r="A258" t="s">
        <v>980</v>
      </c>
      <c r="B258" t="s">
        <v>981</v>
      </c>
      <c r="C258" t="s">
        <v>982</v>
      </c>
      <c r="D258" t="s">
        <v>983</v>
      </c>
      <c r="E258" t="s">
        <v>14</v>
      </c>
      <c r="F258" t="s">
        <v>15</v>
      </c>
      <c r="G258">
        <v>15215</v>
      </c>
      <c r="H258" t="s">
        <v>21</v>
      </c>
      <c r="I258">
        <v>43</v>
      </c>
      <c r="J258">
        <v>0</v>
      </c>
      <c r="K258" t="s">
        <v>8131</v>
      </c>
    </row>
    <row r="259" spans="1:11" x14ac:dyDescent="0.25">
      <c r="A259" t="s">
        <v>984</v>
      </c>
      <c r="B259" t="s">
        <v>282</v>
      </c>
      <c r="C259" t="s">
        <v>985</v>
      </c>
      <c r="D259" t="s">
        <v>986</v>
      </c>
      <c r="E259" t="s">
        <v>14</v>
      </c>
      <c r="F259" t="s">
        <v>15</v>
      </c>
      <c r="G259">
        <v>15217</v>
      </c>
      <c r="H259" t="s">
        <v>34</v>
      </c>
      <c r="I259">
        <v>54</v>
      </c>
      <c r="J259">
        <v>1</v>
      </c>
      <c r="K259" t="s">
        <v>8124</v>
      </c>
    </row>
    <row r="260" spans="1:11" x14ac:dyDescent="0.25">
      <c r="A260" t="s">
        <v>987</v>
      </c>
      <c r="B260" t="s">
        <v>988</v>
      </c>
      <c r="C260" t="s">
        <v>989</v>
      </c>
      <c r="D260" t="s">
        <v>990</v>
      </c>
      <c r="E260" t="s">
        <v>14</v>
      </c>
      <c r="F260" t="s">
        <v>15</v>
      </c>
      <c r="G260">
        <v>15213</v>
      </c>
      <c r="H260" t="s">
        <v>16</v>
      </c>
      <c r="I260">
        <v>47</v>
      </c>
      <c r="J260">
        <v>1</v>
      </c>
      <c r="K260" t="s">
        <v>8117</v>
      </c>
    </row>
    <row r="261" spans="1:11" x14ac:dyDescent="0.25">
      <c r="A261" t="s">
        <v>991</v>
      </c>
      <c r="B261" t="s">
        <v>992</v>
      </c>
      <c r="C261" t="s">
        <v>993</v>
      </c>
      <c r="D261" t="s">
        <v>994</v>
      </c>
      <c r="E261" t="s">
        <v>14</v>
      </c>
      <c r="F261" t="s">
        <v>15</v>
      </c>
      <c r="G261">
        <v>15203</v>
      </c>
      <c r="H261" t="s">
        <v>16</v>
      </c>
      <c r="I261">
        <v>36</v>
      </c>
      <c r="J261">
        <v>1</v>
      </c>
      <c r="K261" t="s">
        <v>8131</v>
      </c>
    </row>
    <row r="262" spans="1:11" x14ac:dyDescent="0.25">
      <c r="A262" t="s">
        <v>995</v>
      </c>
      <c r="B262" t="s">
        <v>996</v>
      </c>
      <c r="C262" t="s">
        <v>997</v>
      </c>
      <c r="D262" t="s">
        <v>998</v>
      </c>
      <c r="E262" t="s">
        <v>14</v>
      </c>
      <c r="F262" t="s">
        <v>15</v>
      </c>
      <c r="G262">
        <v>15222</v>
      </c>
      <c r="H262" t="s">
        <v>48</v>
      </c>
      <c r="I262">
        <v>204</v>
      </c>
      <c r="J262">
        <v>1</v>
      </c>
      <c r="K262" t="s">
        <v>8126</v>
      </c>
    </row>
    <row r="263" spans="1:11" x14ac:dyDescent="0.25">
      <c r="A263" t="s">
        <v>999</v>
      </c>
      <c r="B263" t="s">
        <v>1000</v>
      </c>
      <c r="C263" t="s">
        <v>1001</v>
      </c>
      <c r="D263" t="s">
        <v>1002</v>
      </c>
      <c r="E263" t="s">
        <v>14</v>
      </c>
      <c r="F263" t="s">
        <v>15</v>
      </c>
      <c r="G263">
        <v>15237</v>
      </c>
      <c r="H263" t="s">
        <v>43</v>
      </c>
      <c r="I263">
        <v>32</v>
      </c>
      <c r="J263">
        <v>1</v>
      </c>
      <c r="K263" t="s">
        <v>8131</v>
      </c>
    </row>
    <row r="264" spans="1:11" x14ac:dyDescent="0.25">
      <c r="A264" t="s">
        <v>1003</v>
      </c>
      <c r="B264" t="s">
        <v>1004</v>
      </c>
      <c r="C264" t="s">
        <v>1005</v>
      </c>
      <c r="D264" t="s">
        <v>1006</v>
      </c>
      <c r="E264" t="s">
        <v>14</v>
      </c>
      <c r="F264" t="s">
        <v>15</v>
      </c>
      <c r="G264">
        <v>15224</v>
      </c>
      <c r="H264" t="s">
        <v>21</v>
      </c>
      <c r="I264">
        <v>57</v>
      </c>
      <c r="J264">
        <v>1</v>
      </c>
      <c r="K264" t="s">
        <v>8131</v>
      </c>
    </row>
    <row r="265" spans="1:11" x14ac:dyDescent="0.25">
      <c r="A265" t="s">
        <v>1007</v>
      </c>
      <c r="B265" t="s">
        <v>1008</v>
      </c>
      <c r="C265" t="s">
        <v>1009</v>
      </c>
      <c r="D265" t="s">
        <v>1010</v>
      </c>
      <c r="E265" t="s">
        <v>14</v>
      </c>
      <c r="F265" t="s">
        <v>15</v>
      </c>
      <c r="G265">
        <v>15222</v>
      </c>
      <c r="H265" t="s">
        <v>48</v>
      </c>
      <c r="I265">
        <v>63</v>
      </c>
      <c r="J265">
        <v>1</v>
      </c>
      <c r="K265" t="s">
        <v>8131</v>
      </c>
    </row>
    <row r="266" spans="1:11" x14ac:dyDescent="0.25">
      <c r="A266" t="s">
        <v>1011</v>
      </c>
      <c r="B266" t="s">
        <v>720</v>
      </c>
      <c r="C266" t="s">
        <v>1012</v>
      </c>
      <c r="D266" t="s">
        <v>1013</v>
      </c>
      <c r="E266" t="s">
        <v>14</v>
      </c>
      <c r="F266" t="s">
        <v>15</v>
      </c>
      <c r="G266">
        <v>15203</v>
      </c>
      <c r="H266" t="s">
        <v>48</v>
      </c>
      <c r="I266">
        <v>191</v>
      </c>
      <c r="J266">
        <v>1</v>
      </c>
      <c r="K266" t="s">
        <v>8131</v>
      </c>
    </row>
    <row r="267" spans="1:11" x14ac:dyDescent="0.25">
      <c r="A267" t="s">
        <v>1014</v>
      </c>
      <c r="B267" t="s">
        <v>1015</v>
      </c>
      <c r="C267" t="s">
        <v>1016</v>
      </c>
      <c r="D267" t="s">
        <v>1017</v>
      </c>
      <c r="E267" t="s">
        <v>14</v>
      </c>
      <c r="F267" t="s">
        <v>15</v>
      </c>
      <c r="G267">
        <v>15222</v>
      </c>
      <c r="H267" t="s">
        <v>16</v>
      </c>
      <c r="I267">
        <v>130</v>
      </c>
      <c r="J267">
        <v>1</v>
      </c>
      <c r="K267" t="s">
        <v>8131</v>
      </c>
    </row>
    <row r="268" spans="1:11" x14ac:dyDescent="0.25">
      <c r="A268" t="s">
        <v>1018</v>
      </c>
      <c r="B268" t="s">
        <v>1019</v>
      </c>
      <c r="C268" t="s">
        <v>1020</v>
      </c>
      <c r="D268" t="s">
        <v>1021</v>
      </c>
      <c r="E268" t="s">
        <v>14</v>
      </c>
      <c r="F268" t="s">
        <v>15</v>
      </c>
      <c r="G268">
        <v>15222</v>
      </c>
      <c r="H268" t="s">
        <v>48</v>
      </c>
      <c r="I268">
        <v>13</v>
      </c>
      <c r="J268">
        <v>1</v>
      </c>
      <c r="K268" t="s">
        <v>8122</v>
      </c>
    </row>
    <row r="269" spans="1:11" x14ac:dyDescent="0.25">
      <c r="A269" t="s">
        <v>1022</v>
      </c>
      <c r="B269" t="s">
        <v>319</v>
      </c>
      <c r="C269" t="s">
        <v>1023</v>
      </c>
      <c r="D269" t="s">
        <v>1024</v>
      </c>
      <c r="E269" t="s">
        <v>14</v>
      </c>
      <c r="F269" t="s">
        <v>15</v>
      </c>
      <c r="G269">
        <v>15226</v>
      </c>
      <c r="H269" t="s">
        <v>21</v>
      </c>
      <c r="I269">
        <v>39</v>
      </c>
      <c r="J269">
        <v>1</v>
      </c>
      <c r="K269" t="s">
        <v>8120</v>
      </c>
    </row>
    <row r="270" spans="1:11" x14ac:dyDescent="0.25">
      <c r="A270" t="s">
        <v>1025</v>
      </c>
      <c r="B270" t="s">
        <v>1026</v>
      </c>
      <c r="C270" t="s">
        <v>228</v>
      </c>
      <c r="D270" t="s">
        <v>1027</v>
      </c>
      <c r="E270" t="s">
        <v>14</v>
      </c>
      <c r="F270" t="s">
        <v>15</v>
      </c>
      <c r="G270">
        <v>15205</v>
      </c>
      <c r="H270" t="s">
        <v>1028</v>
      </c>
      <c r="I270">
        <v>4</v>
      </c>
      <c r="J270">
        <v>1</v>
      </c>
      <c r="K270" t="s">
        <v>8131</v>
      </c>
    </row>
    <row r="271" spans="1:11" x14ac:dyDescent="0.25">
      <c r="A271" t="s">
        <v>1029</v>
      </c>
      <c r="B271" t="s">
        <v>1030</v>
      </c>
      <c r="C271" t="s">
        <v>1031</v>
      </c>
      <c r="D271" t="s">
        <v>1032</v>
      </c>
      <c r="E271" t="s">
        <v>14</v>
      </c>
      <c r="F271" t="s">
        <v>15</v>
      </c>
      <c r="G271">
        <v>15275</v>
      </c>
      <c r="H271" t="s">
        <v>48</v>
      </c>
      <c r="I271">
        <v>78</v>
      </c>
      <c r="J271">
        <v>1</v>
      </c>
      <c r="K271" t="s">
        <v>8131</v>
      </c>
    </row>
    <row r="272" spans="1:11" x14ac:dyDescent="0.25">
      <c r="A272" t="s">
        <v>1033</v>
      </c>
      <c r="B272" t="s">
        <v>1034</v>
      </c>
      <c r="C272" t="s">
        <v>1035</v>
      </c>
      <c r="D272" t="s">
        <v>1036</v>
      </c>
      <c r="E272" t="s">
        <v>14</v>
      </c>
      <c r="F272" t="s">
        <v>15</v>
      </c>
      <c r="G272">
        <v>15220</v>
      </c>
      <c r="H272" t="s">
        <v>48</v>
      </c>
      <c r="I272">
        <v>26</v>
      </c>
      <c r="J272">
        <v>1</v>
      </c>
      <c r="K272" t="s">
        <v>8120</v>
      </c>
    </row>
    <row r="273" spans="1:11" x14ac:dyDescent="0.25">
      <c r="A273" t="s">
        <v>1037</v>
      </c>
      <c r="B273" t="s">
        <v>945</v>
      </c>
      <c r="C273" t="s">
        <v>32</v>
      </c>
      <c r="D273" t="s">
        <v>1038</v>
      </c>
      <c r="E273" t="s">
        <v>14</v>
      </c>
      <c r="F273" t="s">
        <v>15</v>
      </c>
      <c r="G273">
        <v>15216</v>
      </c>
      <c r="H273" t="s">
        <v>43</v>
      </c>
      <c r="I273">
        <v>4</v>
      </c>
      <c r="J273">
        <v>1</v>
      </c>
      <c r="K273" t="s">
        <v>8131</v>
      </c>
    </row>
    <row r="274" spans="1:11" x14ac:dyDescent="0.25">
      <c r="A274" t="s">
        <v>1039</v>
      </c>
      <c r="B274" t="s">
        <v>1040</v>
      </c>
      <c r="C274" t="s">
        <v>460</v>
      </c>
      <c r="D274" t="s">
        <v>1041</v>
      </c>
      <c r="E274" t="s">
        <v>14</v>
      </c>
      <c r="F274" t="s">
        <v>15</v>
      </c>
      <c r="G274">
        <v>15220</v>
      </c>
      <c r="H274" t="s">
        <v>48</v>
      </c>
      <c r="I274">
        <v>12</v>
      </c>
      <c r="J274">
        <v>1</v>
      </c>
      <c r="K274" t="s">
        <v>8131</v>
      </c>
    </row>
    <row r="275" spans="1:11" x14ac:dyDescent="0.25">
      <c r="A275" t="s">
        <v>1042</v>
      </c>
      <c r="B275" t="s">
        <v>1043</v>
      </c>
      <c r="C275" t="s">
        <v>1044</v>
      </c>
      <c r="D275" t="s">
        <v>1045</v>
      </c>
      <c r="E275" t="s">
        <v>14</v>
      </c>
      <c r="F275" t="s">
        <v>15</v>
      </c>
      <c r="G275">
        <v>15232</v>
      </c>
      <c r="H275" t="s">
        <v>34</v>
      </c>
      <c r="I275">
        <v>113</v>
      </c>
      <c r="J275">
        <v>1</v>
      </c>
      <c r="K275" t="s">
        <v>8133</v>
      </c>
    </row>
    <row r="276" spans="1:11" x14ac:dyDescent="0.25">
      <c r="A276" t="s">
        <v>1046</v>
      </c>
      <c r="B276" t="s">
        <v>319</v>
      </c>
      <c r="C276" t="s">
        <v>1047</v>
      </c>
      <c r="D276" t="s">
        <v>1048</v>
      </c>
      <c r="E276" t="s">
        <v>14</v>
      </c>
      <c r="F276" t="s">
        <v>15</v>
      </c>
      <c r="G276">
        <v>15224</v>
      </c>
      <c r="H276" t="s">
        <v>48</v>
      </c>
      <c r="I276">
        <v>118</v>
      </c>
      <c r="J276">
        <v>1</v>
      </c>
      <c r="K276" t="s">
        <v>8120</v>
      </c>
    </row>
    <row r="277" spans="1:11" x14ac:dyDescent="0.25">
      <c r="A277" t="s">
        <v>1049</v>
      </c>
      <c r="B277" t="s">
        <v>1050</v>
      </c>
      <c r="C277" t="s">
        <v>1051</v>
      </c>
      <c r="D277" t="s">
        <v>1052</v>
      </c>
      <c r="E277" t="s">
        <v>14</v>
      </c>
      <c r="F277" t="s">
        <v>15</v>
      </c>
      <c r="G277">
        <v>15212</v>
      </c>
      <c r="H277" t="s">
        <v>21</v>
      </c>
      <c r="I277">
        <v>3</v>
      </c>
      <c r="J277">
        <v>1</v>
      </c>
      <c r="K277" t="s">
        <v>8131</v>
      </c>
    </row>
    <row r="278" spans="1:11" x14ac:dyDescent="0.25">
      <c r="A278" t="s">
        <v>1053</v>
      </c>
      <c r="B278" t="s">
        <v>1054</v>
      </c>
      <c r="C278" t="s">
        <v>1055</v>
      </c>
      <c r="D278" t="s">
        <v>1056</v>
      </c>
      <c r="E278" t="s">
        <v>14</v>
      </c>
      <c r="F278" t="s">
        <v>15</v>
      </c>
      <c r="G278">
        <v>15235</v>
      </c>
      <c r="H278" t="s">
        <v>48</v>
      </c>
      <c r="I278">
        <v>81</v>
      </c>
      <c r="J278">
        <v>1</v>
      </c>
      <c r="K278" t="s">
        <v>8124</v>
      </c>
    </row>
    <row r="279" spans="1:11" x14ac:dyDescent="0.25">
      <c r="A279" t="s">
        <v>1057</v>
      </c>
      <c r="B279" t="s">
        <v>1058</v>
      </c>
      <c r="C279" t="s">
        <v>1059</v>
      </c>
      <c r="D279" t="s">
        <v>1060</v>
      </c>
      <c r="E279" t="s">
        <v>14</v>
      </c>
      <c r="F279" t="s">
        <v>15</v>
      </c>
      <c r="G279">
        <v>15232</v>
      </c>
      <c r="H279" t="s">
        <v>21</v>
      </c>
      <c r="I279">
        <v>59</v>
      </c>
      <c r="J279">
        <v>1</v>
      </c>
      <c r="K279" t="s">
        <v>8131</v>
      </c>
    </row>
    <row r="280" spans="1:11" x14ac:dyDescent="0.25">
      <c r="A280" t="s">
        <v>1061</v>
      </c>
      <c r="B280" t="s">
        <v>65</v>
      </c>
      <c r="C280" t="s">
        <v>1062</v>
      </c>
      <c r="D280" t="s">
        <v>1063</v>
      </c>
      <c r="E280" t="s">
        <v>14</v>
      </c>
      <c r="F280" t="s">
        <v>15</v>
      </c>
      <c r="G280">
        <v>15203</v>
      </c>
      <c r="H280" t="s">
        <v>48</v>
      </c>
      <c r="I280">
        <v>7</v>
      </c>
      <c r="J280">
        <v>1</v>
      </c>
      <c r="K280" t="s">
        <v>8131</v>
      </c>
    </row>
    <row r="281" spans="1:11" x14ac:dyDescent="0.25">
      <c r="A281" t="s">
        <v>1064</v>
      </c>
      <c r="B281" t="s">
        <v>1065</v>
      </c>
      <c r="C281" t="s">
        <v>1066</v>
      </c>
      <c r="D281" t="s">
        <v>1067</v>
      </c>
      <c r="E281" t="s">
        <v>14</v>
      </c>
      <c r="F281" t="s">
        <v>15</v>
      </c>
      <c r="G281">
        <v>15221</v>
      </c>
      <c r="H281" t="s">
        <v>16</v>
      </c>
      <c r="I281">
        <v>59</v>
      </c>
      <c r="J281">
        <v>0</v>
      </c>
      <c r="K281" t="s">
        <v>8127</v>
      </c>
    </row>
    <row r="282" spans="1:11" x14ac:dyDescent="0.25">
      <c r="A282" t="s">
        <v>1068</v>
      </c>
      <c r="B282" t="s">
        <v>1069</v>
      </c>
      <c r="C282" t="s">
        <v>1070</v>
      </c>
      <c r="D282" t="s">
        <v>1071</v>
      </c>
      <c r="E282" t="s">
        <v>14</v>
      </c>
      <c r="F282" t="s">
        <v>15</v>
      </c>
      <c r="G282">
        <v>15237</v>
      </c>
      <c r="H282" t="s">
        <v>34</v>
      </c>
      <c r="I282">
        <v>38</v>
      </c>
      <c r="J282">
        <v>0</v>
      </c>
      <c r="K282" t="s">
        <v>8124</v>
      </c>
    </row>
    <row r="283" spans="1:11" x14ac:dyDescent="0.25">
      <c r="A283" t="s">
        <v>1072</v>
      </c>
      <c r="B283" t="s">
        <v>1073</v>
      </c>
      <c r="C283" t="s">
        <v>1074</v>
      </c>
      <c r="D283" t="s">
        <v>1075</v>
      </c>
      <c r="E283" t="s">
        <v>14</v>
      </c>
      <c r="F283" t="s">
        <v>15</v>
      </c>
      <c r="G283">
        <v>15213</v>
      </c>
      <c r="H283" t="s">
        <v>34</v>
      </c>
      <c r="I283">
        <v>48</v>
      </c>
      <c r="J283">
        <v>0</v>
      </c>
      <c r="K283" t="s">
        <v>8121</v>
      </c>
    </row>
    <row r="284" spans="1:11" x14ac:dyDescent="0.25">
      <c r="A284" t="s">
        <v>1076</v>
      </c>
      <c r="B284" t="s">
        <v>1077</v>
      </c>
      <c r="C284" t="s">
        <v>1078</v>
      </c>
      <c r="D284" t="s">
        <v>1079</v>
      </c>
      <c r="E284" t="s">
        <v>14</v>
      </c>
      <c r="F284" t="s">
        <v>15</v>
      </c>
      <c r="G284">
        <v>15275</v>
      </c>
      <c r="H284" t="s">
        <v>48</v>
      </c>
      <c r="I284">
        <v>54</v>
      </c>
      <c r="J284">
        <v>1</v>
      </c>
      <c r="K284" t="s">
        <v>8131</v>
      </c>
    </row>
    <row r="285" spans="1:11" x14ac:dyDescent="0.25">
      <c r="A285" t="s">
        <v>1080</v>
      </c>
      <c r="B285" t="s">
        <v>377</v>
      </c>
      <c r="C285" t="s">
        <v>1081</v>
      </c>
      <c r="D285" t="s">
        <v>1082</v>
      </c>
      <c r="E285" t="s">
        <v>14</v>
      </c>
      <c r="F285" t="s">
        <v>15</v>
      </c>
      <c r="G285">
        <v>15227</v>
      </c>
      <c r="H285" t="s">
        <v>48</v>
      </c>
      <c r="I285">
        <v>5</v>
      </c>
      <c r="J285">
        <v>0</v>
      </c>
      <c r="K285" t="s">
        <v>8124</v>
      </c>
    </row>
    <row r="286" spans="1:11" x14ac:dyDescent="0.25">
      <c r="A286" t="s">
        <v>1083</v>
      </c>
      <c r="B286" t="s">
        <v>1084</v>
      </c>
      <c r="C286" t="s">
        <v>1085</v>
      </c>
      <c r="D286" t="s">
        <v>1086</v>
      </c>
      <c r="E286" t="s">
        <v>14</v>
      </c>
      <c r="F286" t="s">
        <v>15</v>
      </c>
      <c r="G286">
        <v>15275</v>
      </c>
      <c r="H286" t="s">
        <v>34</v>
      </c>
      <c r="I286">
        <v>44</v>
      </c>
      <c r="J286">
        <v>0</v>
      </c>
      <c r="K286" t="s">
        <v>8131</v>
      </c>
    </row>
    <row r="287" spans="1:11" x14ac:dyDescent="0.25">
      <c r="A287" t="s">
        <v>1087</v>
      </c>
      <c r="B287" t="s">
        <v>1088</v>
      </c>
      <c r="C287" t="s">
        <v>1089</v>
      </c>
      <c r="D287" t="s">
        <v>1090</v>
      </c>
      <c r="E287" t="s">
        <v>14</v>
      </c>
      <c r="F287" t="s">
        <v>15</v>
      </c>
      <c r="G287">
        <v>15219</v>
      </c>
      <c r="H287" t="s">
        <v>16</v>
      </c>
      <c r="I287">
        <v>238</v>
      </c>
      <c r="J287">
        <v>1</v>
      </c>
      <c r="K287" t="s">
        <v>8127</v>
      </c>
    </row>
    <row r="288" spans="1:11" x14ac:dyDescent="0.25">
      <c r="A288" t="s">
        <v>1091</v>
      </c>
      <c r="B288" t="s">
        <v>1092</v>
      </c>
      <c r="C288" t="s">
        <v>1093</v>
      </c>
      <c r="D288" t="s">
        <v>1094</v>
      </c>
      <c r="E288" t="s">
        <v>14</v>
      </c>
      <c r="F288" t="s">
        <v>15</v>
      </c>
      <c r="G288">
        <v>15205</v>
      </c>
      <c r="H288" t="s">
        <v>48</v>
      </c>
      <c r="I288">
        <v>52</v>
      </c>
      <c r="J288">
        <v>1</v>
      </c>
      <c r="K288" t="s">
        <v>8131</v>
      </c>
    </row>
    <row r="289" spans="1:11" x14ac:dyDescent="0.25">
      <c r="A289" t="s">
        <v>1095</v>
      </c>
      <c r="B289" t="s">
        <v>1096</v>
      </c>
      <c r="C289" t="s">
        <v>1097</v>
      </c>
      <c r="D289" t="s">
        <v>1098</v>
      </c>
      <c r="E289" t="s">
        <v>14</v>
      </c>
      <c r="F289" t="s">
        <v>15</v>
      </c>
      <c r="G289">
        <v>15219</v>
      </c>
      <c r="H289" t="s">
        <v>21</v>
      </c>
      <c r="I289">
        <v>37</v>
      </c>
      <c r="J289">
        <v>1</v>
      </c>
      <c r="K289" t="s">
        <v>8131</v>
      </c>
    </row>
    <row r="290" spans="1:11" x14ac:dyDescent="0.25">
      <c r="A290" t="s">
        <v>1099</v>
      </c>
      <c r="B290" t="s">
        <v>1100</v>
      </c>
      <c r="C290" t="s">
        <v>1101</v>
      </c>
      <c r="D290" t="s">
        <v>1102</v>
      </c>
      <c r="E290" t="s">
        <v>14</v>
      </c>
      <c r="F290" t="s">
        <v>15</v>
      </c>
      <c r="G290">
        <v>15202</v>
      </c>
      <c r="H290" t="s">
        <v>48</v>
      </c>
      <c r="I290">
        <v>32</v>
      </c>
      <c r="J290">
        <v>1</v>
      </c>
      <c r="K290" t="s">
        <v>8120</v>
      </c>
    </row>
    <row r="291" spans="1:11" x14ac:dyDescent="0.25">
      <c r="A291" t="s">
        <v>1103</v>
      </c>
      <c r="B291" t="s">
        <v>1104</v>
      </c>
      <c r="C291" t="s">
        <v>1105</v>
      </c>
      <c r="D291" t="s">
        <v>1106</v>
      </c>
      <c r="E291" t="s">
        <v>14</v>
      </c>
      <c r="F291" t="s">
        <v>15</v>
      </c>
      <c r="G291">
        <v>15217</v>
      </c>
      <c r="H291" t="s">
        <v>21</v>
      </c>
      <c r="I291">
        <v>286</v>
      </c>
      <c r="J291">
        <v>1</v>
      </c>
      <c r="K291" t="s">
        <v>8131</v>
      </c>
    </row>
    <row r="292" spans="1:11" x14ac:dyDescent="0.25">
      <c r="A292" t="s">
        <v>1107</v>
      </c>
      <c r="B292" t="s">
        <v>1108</v>
      </c>
      <c r="C292" t="s">
        <v>1109</v>
      </c>
      <c r="D292" t="s">
        <v>1110</v>
      </c>
      <c r="E292" t="s">
        <v>14</v>
      </c>
      <c r="F292" t="s">
        <v>15</v>
      </c>
      <c r="G292">
        <v>15206</v>
      </c>
      <c r="H292" t="s">
        <v>16</v>
      </c>
      <c r="I292">
        <v>143</v>
      </c>
      <c r="J292">
        <v>0</v>
      </c>
      <c r="K292" t="s">
        <v>8131</v>
      </c>
    </row>
    <row r="293" spans="1:11" x14ac:dyDescent="0.25">
      <c r="A293" t="s">
        <v>1111</v>
      </c>
      <c r="B293" t="s">
        <v>1112</v>
      </c>
      <c r="C293" t="s">
        <v>1113</v>
      </c>
      <c r="D293" t="s">
        <v>1114</v>
      </c>
      <c r="E293" t="s">
        <v>14</v>
      </c>
      <c r="F293" t="s">
        <v>15</v>
      </c>
      <c r="G293">
        <v>15213</v>
      </c>
      <c r="H293" t="s">
        <v>16</v>
      </c>
      <c r="I293">
        <v>230</v>
      </c>
      <c r="J293">
        <v>1</v>
      </c>
      <c r="K293" t="s">
        <v>8133</v>
      </c>
    </row>
    <row r="294" spans="1:11" x14ac:dyDescent="0.25">
      <c r="A294" t="s">
        <v>1115</v>
      </c>
      <c r="B294" t="s">
        <v>1116</v>
      </c>
      <c r="C294" t="s">
        <v>1117</v>
      </c>
      <c r="D294" t="s">
        <v>75</v>
      </c>
      <c r="E294" t="s">
        <v>14</v>
      </c>
      <c r="F294" t="s">
        <v>15</v>
      </c>
      <c r="G294">
        <v>15212</v>
      </c>
      <c r="H294" t="s">
        <v>34</v>
      </c>
      <c r="I294">
        <v>17</v>
      </c>
      <c r="J294">
        <v>1</v>
      </c>
      <c r="K294" t="s">
        <v>8131</v>
      </c>
    </row>
    <row r="295" spans="1:11" x14ac:dyDescent="0.25">
      <c r="A295" t="s">
        <v>1118</v>
      </c>
      <c r="B295" t="s">
        <v>1119</v>
      </c>
      <c r="C295" t="s">
        <v>460</v>
      </c>
      <c r="D295" t="s">
        <v>1120</v>
      </c>
      <c r="E295" t="s">
        <v>14</v>
      </c>
      <c r="F295" t="s">
        <v>15</v>
      </c>
      <c r="G295">
        <v>15237</v>
      </c>
      <c r="H295" t="s">
        <v>34</v>
      </c>
      <c r="I295">
        <v>3</v>
      </c>
      <c r="J295">
        <v>0</v>
      </c>
      <c r="K295" t="s">
        <v>8131</v>
      </c>
    </row>
    <row r="296" spans="1:11" x14ac:dyDescent="0.25">
      <c r="A296" t="s">
        <v>1121</v>
      </c>
      <c r="B296" t="s">
        <v>1122</v>
      </c>
      <c r="C296" t="s">
        <v>1123</v>
      </c>
      <c r="D296" t="s">
        <v>1124</v>
      </c>
      <c r="E296" t="s">
        <v>14</v>
      </c>
      <c r="F296" t="s">
        <v>15</v>
      </c>
      <c r="G296">
        <v>15220</v>
      </c>
      <c r="H296" t="s">
        <v>16</v>
      </c>
      <c r="I296">
        <v>15</v>
      </c>
      <c r="J296">
        <v>1</v>
      </c>
      <c r="K296" t="s">
        <v>8131</v>
      </c>
    </row>
    <row r="297" spans="1:11" x14ac:dyDescent="0.25">
      <c r="A297" t="s">
        <v>1125</v>
      </c>
      <c r="B297" t="s">
        <v>586</v>
      </c>
      <c r="C297" t="s">
        <v>1126</v>
      </c>
      <c r="D297" t="s">
        <v>1127</v>
      </c>
      <c r="E297" t="s">
        <v>14</v>
      </c>
      <c r="F297" t="s">
        <v>15</v>
      </c>
      <c r="G297">
        <v>15238</v>
      </c>
      <c r="H297" t="s">
        <v>48</v>
      </c>
      <c r="I297">
        <v>38</v>
      </c>
      <c r="J297">
        <v>1</v>
      </c>
      <c r="K297" t="s">
        <v>8120</v>
      </c>
    </row>
    <row r="298" spans="1:11" x14ac:dyDescent="0.25">
      <c r="A298" t="s">
        <v>1128</v>
      </c>
      <c r="B298" t="s">
        <v>1129</v>
      </c>
      <c r="C298" t="s">
        <v>1130</v>
      </c>
      <c r="D298" t="s">
        <v>1131</v>
      </c>
      <c r="E298" t="s">
        <v>14</v>
      </c>
      <c r="F298" t="s">
        <v>15</v>
      </c>
      <c r="G298">
        <v>15222</v>
      </c>
      <c r="H298" t="s">
        <v>48</v>
      </c>
      <c r="I298">
        <v>71</v>
      </c>
      <c r="J298">
        <v>1</v>
      </c>
      <c r="K298" t="s">
        <v>8120</v>
      </c>
    </row>
    <row r="299" spans="1:11" x14ac:dyDescent="0.25">
      <c r="A299" t="s">
        <v>1132</v>
      </c>
      <c r="B299" t="s">
        <v>36</v>
      </c>
      <c r="C299" t="s">
        <v>1133</v>
      </c>
      <c r="D299" t="s">
        <v>1134</v>
      </c>
      <c r="E299" t="s">
        <v>14</v>
      </c>
      <c r="F299" t="s">
        <v>15</v>
      </c>
      <c r="G299">
        <v>15224</v>
      </c>
      <c r="H299" t="s">
        <v>16</v>
      </c>
      <c r="I299">
        <v>13</v>
      </c>
      <c r="J299">
        <v>1</v>
      </c>
      <c r="K299" t="s">
        <v>8131</v>
      </c>
    </row>
    <row r="300" spans="1:11" x14ac:dyDescent="0.25">
      <c r="A300" t="s">
        <v>1135</v>
      </c>
      <c r="B300" t="s">
        <v>1136</v>
      </c>
      <c r="C300" t="s">
        <v>62</v>
      </c>
      <c r="D300" t="s">
        <v>1137</v>
      </c>
      <c r="E300" t="s">
        <v>14</v>
      </c>
      <c r="F300" t="s">
        <v>15</v>
      </c>
      <c r="G300">
        <v>15222</v>
      </c>
      <c r="H300" t="s">
        <v>16</v>
      </c>
      <c r="I300">
        <v>55</v>
      </c>
      <c r="J300">
        <v>1</v>
      </c>
      <c r="K300" t="s">
        <v>8119</v>
      </c>
    </row>
    <row r="301" spans="1:11" x14ac:dyDescent="0.25">
      <c r="A301" t="s">
        <v>1138</v>
      </c>
      <c r="B301" t="s">
        <v>1139</v>
      </c>
      <c r="C301" t="s">
        <v>1140</v>
      </c>
      <c r="D301" t="s">
        <v>1141</v>
      </c>
      <c r="E301" t="s">
        <v>14</v>
      </c>
      <c r="F301" t="s">
        <v>15</v>
      </c>
      <c r="G301">
        <v>15212</v>
      </c>
      <c r="H301" t="s">
        <v>16</v>
      </c>
      <c r="I301">
        <v>131</v>
      </c>
      <c r="J301">
        <v>1</v>
      </c>
      <c r="K301" t="s">
        <v>8131</v>
      </c>
    </row>
    <row r="302" spans="1:11" x14ac:dyDescent="0.25">
      <c r="A302" t="s">
        <v>1142</v>
      </c>
      <c r="B302" t="s">
        <v>1143</v>
      </c>
      <c r="C302" t="s">
        <v>340</v>
      </c>
      <c r="D302" t="s">
        <v>1144</v>
      </c>
      <c r="E302" t="s">
        <v>14</v>
      </c>
      <c r="F302" t="s">
        <v>15</v>
      </c>
      <c r="G302">
        <v>15203</v>
      </c>
      <c r="H302" t="s">
        <v>48</v>
      </c>
      <c r="I302">
        <v>23</v>
      </c>
      <c r="J302">
        <v>1</v>
      </c>
      <c r="K302" t="s">
        <v>8131</v>
      </c>
    </row>
    <row r="303" spans="1:11" x14ac:dyDescent="0.25">
      <c r="A303" t="s">
        <v>1145</v>
      </c>
      <c r="B303" t="s">
        <v>536</v>
      </c>
      <c r="C303" t="s">
        <v>1146</v>
      </c>
      <c r="D303" t="s">
        <v>1147</v>
      </c>
      <c r="E303" t="s">
        <v>14</v>
      </c>
      <c r="F303" t="s">
        <v>15</v>
      </c>
      <c r="G303">
        <v>15219</v>
      </c>
      <c r="H303" t="s">
        <v>16</v>
      </c>
      <c r="I303">
        <v>5</v>
      </c>
      <c r="J303">
        <v>0</v>
      </c>
      <c r="K303" t="s">
        <v>8131</v>
      </c>
    </row>
    <row r="304" spans="1:11" x14ac:dyDescent="0.25">
      <c r="A304" t="s">
        <v>1148</v>
      </c>
      <c r="B304" t="s">
        <v>1149</v>
      </c>
      <c r="C304" t="s">
        <v>1150</v>
      </c>
      <c r="D304" t="s">
        <v>1151</v>
      </c>
      <c r="E304" t="s">
        <v>14</v>
      </c>
      <c r="F304" t="s">
        <v>15</v>
      </c>
      <c r="G304">
        <v>15205</v>
      </c>
      <c r="H304" t="s">
        <v>43</v>
      </c>
      <c r="I304">
        <v>42</v>
      </c>
      <c r="J304">
        <v>1</v>
      </c>
      <c r="K304" t="s">
        <v>8131</v>
      </c>
    </row>
    <row r="305" spans="1:11" x14ac:dyDescent="0.25">
      <c r="A305" t="s">
        <v>1152</v>
      </c>
      <c r="B305" t="s">
        <v>1153</v>
      </c>
      <c r="C305" t="s">
        <v>1154</v>
      </c>
      <c r="D305" t="s">
        <v>1155</v>
      </c>
      <c r="E305" t="s">
        <v>14</v>
      </c>
      <c r="F305" t="s">
        <v>15</v>
      </c>
      <c r="G305">
        <v>15224</v>
      </c>
      <c r="H305" t="s">
        <v>48</v>
      </c>
      <c r="I305">
        <v>32</v>
      </c>
      <c r="J305">
        <v>1</v>
      </c>
      <c r="K305" t="s">
        <v>8120</v>
      </c>
    </row>
    <row r="306" spans="1:11" x14ac:dyDescent="0.25">
      <c r="A306" t="s">
        <v>1156</v>
      </c>
      <c r="B306" t="s">
        <v>1157</v>
      </c>
      <c r="C306" t="s">
        <v>1158</v>
      </c>
      <c r="D306" t="s">
        <v>1159</v>
      </c>
      <c r="E306" t="s">
        <v>14</v>
      </c>
      <c r="F306" t="s">
        <v>15</v>
      </c>
      <c r="G306">
        <v>15224</v>
      </c>
      <c r="H306" t="s">
        <v>21</v>
      </c>
      <c r="I306">
        <v>52</v>
      </c>
      <c r="J306">
        <v>1</v>
      </c>
      <c r="K306" t="s">
        <v>8131</v>
      </c>
    </row>
    <row r="307" spans="1:11" x14ac:dyDescent="0.25">
      <c r="A307" t="s">
        <v>1160</v>
      </c>
      <c r="B307" t="s">
        <v>1161</v>
      </c>
      <c r="C307" t="s">
        <v>1162</v>
      </c>
      <c r="D307" t="s">
        <v>1163</v>
      </c>
      <c r="E307" t="s">
        <v>14</v>
      </c>
      <c r="F307" t="s">
        <v>15</v>
      </c>
      <c r="G307">
        <v>15222</v>
      </c>
      <c r="H307" t="s">
        <v>16</v>
      </c>
      <c r="I307">
        <v>186</v>
      </c>
      <c r="J307">
        <v>1</v>
      </c>
      <c r="K307" t="s">
        <v>8131</v>
      </c>
    </row>
    <row r="308" spans="1:11" x14ac:dyDescent="0.25">
      <c r="A308" t="s">
        <v>1164</v>
      </c>
      <c r="B308" t="s">
        <v>407</v>
      </c>
      <c r="C308" t="s">
        <v>1165</v>
      </c>
      <c r="D308" t="s">
        <v>1166</v>
      </c>
      <c r="E308" t="s">
        <v>14</v>
      </c>
      <c r="F308" t="s">
        <v>15</v>
      </c>
      <c r="G308">
        <v>15210</v>
      </c>
      <c r="H308" t="s">
        <v>16</v>
      </c>
      <c r="I308">
        <v>8</v>
      </c>
      <c r="J308">
        <v>1</v>
      </c>
      <c r="K308" t="s">
        <v>8131</v>
      </c>
    </row>
    <row r="309" spans="1:11" x14ac:dyDescent="0.25">
      <c r="A309" t="s">
        <v>1167</v>
      </c>
      <c r="B309" t="s">
        <v>1168</v>
      </c>
      <c r="C309" t="s">
        <v>1169</v>
      </c>
      <c r="D309" t="s">
        <v>1170</v>
      </c>
      <c r="E309" t="s">
        <v>14</v>
      </c>
      <c r="F309" t="s">
        <v>15</v>
      </c>
      <c r="G309">
        <v>15222</v>
      </c>
      <c r="H309" t="s">
        <v>43</v>
      </c>
      <c r="I309">
        <v>29</v>
      </c>
      <c r="J309">
        <v>0</v>
      </c>
      <c r="K309" t="s">
        <v>8131</v>
      </c>
    </row>
    <row r="310" spans="1:11" x14ac:dyDescent="0.25">
      <c r="A310" t="s">
        <v>1171</v>
      </c>
      <c r="B310" t="s">
        <v>1172</v>
      </c>
      <c r="C310" t="s">
        <v>1173</v>
      </c>
      <c r="D310" t="s">
        <v>961</v>
      </c>
      <c r="E310" t="s">
        <v>14</v>
      </c>
      <c r="F310" t="s">
        <v>15</v>
      </c>
      <c r="G310">
        <v>15201</v>
      </c>
      <c r="H310" t="s">
        <v>34</v>
      </c>
      <c r="I310">
        <v>9</v>
      </c>
      <c r="J310">
        <v>0</v>
      </c>
      <c r="K310" t="s">
        <v>8121</v>
      </c>
    </row>
    <row r="311" spans="1:11" x14ac:dyDescent="0.25">
      <c r="A311" t="s">
        <v>1174</v>
      </c>
      <c r="B311" t="s">
        <v>1175</v>
      </c>
      <c r="C311" t="s">
        <v>1176</v>
      </c>
      <c r="D311" t="s">
        <v>1177</v>
      </c>
      <c r="E311" t="s">
        <v>14</v>
      </c>
      <c r="F311" t="s">
        <v>15</v>
      </c>
      <c r="G311">
        <v>15213</v>
      </c>
      <c r="H311" t="s">
        <v>16</v>
      </c>
      <c r="I311">
        <v>141</v>
      </c>
      <c r="J311">
        <v>1</v>
      </c>
      <c r="K311" t="s">
        <v>8119</v>
      </c>
    </row>
    <row r="312" spans="1:11" x14ac:dyDescent="0.25">
      <c r="A312" t="s">
        <v>1178</v>
      </c>
      <c r="B312" t="s">
        <v>1179</v>
      </c>
      <c r="C312" t="s">
        <v>1180</v>
      </c>
      <c r="D312" t="s">
        <v>1181</v>
      </c>
      <c r="E312" t="s">
        <v>14</v>
      </c>
      <c r="F312" t="s">
        <v>15</v>
      </c>
      <c r="G312">
        <v>15219</v>
      </c>
      <c r="H312" t="s">
        <v>16</v>
      </c>
      <c r="I312">
        <v>14</v>
      </c>
      <c r="J312">
        <v>0</v>
      </c>
      <c r="K312" t="s">
        <v>8131</v>
      </c>
    </row>
    <row r="313" spans="1:11" x14ac:dyDescent="0.25">
      <c r="A313" t="s">
        <v>1182</v>
      </c>
      <c r="B313" t="s">
        <v>1183</v>
      </c>
      <c r="C313" t="s">
        <v>1184</v>
      </c>
      <c r="D313" t="s">
        <v>1185</v>
      </c>
      <c r="E313" t="s">
        <v>14</v>
      </c>
      <c r="F313" t="s">
        <v>15</v>
      </c>
      <c r="G313">
        <v>15213</v>
      </c>
      <c r="H313" t="s">
        <v>16</v>
      </c>
      <c r="I313">
        <v>153</v>
      </c>
      <c r="J313">
        <v>0</v>
      </c>
      <c r="K313" t="s">
        <v>8131</v>
      </c>
    </row>
    <row r="314" spans="1:11" x14ac:dyDescent="0.25">
      <c r="A314" t="s">
        <v>1186</v>
      </c>
      <c r="B314" t="s">
        <v>1187</v>
      </c>
      <c r="C314" t="s">
        <v>1188</v>
      </c>
      <c r="D314" t="s">
        <v>1189</v>
      </c>
      <c r="E314" t="s">
        <v>14</v>
      </c>
      <c r="F314" t="s">
        <v>15</v>
      </c>
      <c r="G314">
        <v>15203</v>
      </c>
      <c r="H314" t="s">
        <v>21</v>
      </c>
      <c r="I314">
        <v>119</v>
      </c>
      <c r="J314">
        <v>1</v>
      </c>
      <c r="K314" t="s">
        <v>8131</v>
      </c>
    </row>
    <row r="315" spans="1:11" x14ac:dyDescent="0.25">
      <c r="A315" t="s">
        <v>1190</v>
      </c>
      <c r="B315" t="s">
        <v>1187</v>
      </c>
      <c r="C315" t="s">
        <v>1191</v>
      </c>
      <c r="D315" t="s">
        <v>1192</v>
      </c>
      <c r="E315" t="s">
        <v>14</v>
      </c>
      <c r="F315" t="s">
        <v>15</v>
      </c>
      <c r="G315">
        <v>15218</v>
      </c>
      <c r="H315" t="s">
        <v>48</v>
      </c>
      <c r="I315">
        <v>35</v>
      </c>
      <c r="J315">
        <v>0</v>
      </c>
      <c r="K315" t="s">
        <v>8131</v>
      </c>
    </row>
    <row r="316" spans="1:11" x14ac:dyDescent="0.25">
      <c r="A316" t="s">
        <v>1193</v>
      </c>
      <c r="B316" t="s">
        <v>1194</v>
      </c>
      <c r="C316" t="s">
        <v>1195</v>
      </c>
      <c r="D316" t="s">
        <v>1196</v>
      </c>
      <c r="E316" t="s">
        <v>14</v>
      </c>
      <c r="F316" t="s">
        <v>15</v>
      </c>
      <c r="G316">
        <v>15201</v>
      </c>
      <c r="H316" t="s">
        <v>16</v>
      </c>
      <c r="I316">
        <v>10</v>
      </c>
      <c r="J316">
        <v>0</v>
      </c>
      <c r="K316" t="s">
        <v>8131</v>
      </c>
    </row>
    <row r="317" spans="1:11" x14ac:dyDescent="0.25">
      <c r="A317" t="s">
        <v>1197</v>
      </c>
      <c r="B317" t="s">
        <v>31</v>
      </c>
      <c r="C317" t="s">
        <v>32</v>
      </c>
      <c r="D317" t="s">
        <v>1198</v>
      </c>
      <c r="E317" t="s">
        <v>14</v>
      </c>
      <c r="F317" t="s">
        <v>15</v>
      </c>
      <c r="G317">
        <v>15212</v>
      </c>
      <c r="H317" t="s">
        <v>43</v>
      </c>
      <c r="I317">
        <v>7</v>
      </c>
      <c r="J317">
        <v>1</v>
      </c>
      <c r="K317" t="s">
        <v>8131</v>
      </c>
    </row>
    <row r="318" spans="1:11" x14ac:dyDescent="0.25">
      <c r="A318" t="s">
        <v>1199</v>
      </c>
      <c r="B318" t="s">
        <v>1200</v>
      </c>
      <c r="C318" t="s">
        <v>1201</v>
      </c>
      <c r="D318" t="s">
        <v>1202</v>
      </c>
      <c r="E318" t="s">
        <v>14</v>
      </c>
      <c r="F318" t="s">
        <v>15</v>
      </c>
      <c r="G318">
        <v>15289</v>
      </c>
      <c r="H318" t="s">
        <v>21</v>
      </c>
      <c r="I318">
        <v>53</v>
      </c>
      <c r="J318">
        <v>0</v>
      </c>
      <c r="K318" t="s">
        <v>8121</v>
      </c>
    </row>
    <row r="319" spans="1:11" x14ac:dyDescent="0.25">
      <c r="A319" t="s">
        <v>1203</v>
      </c>
      <c r="B319" t="s">
        <v>474</v>
      </c>
      <c r="C319" t="s">
        <v>1204</v>
      </c>
      <c r="D319" t="s">
        <v>1205</v>
      </c>
      <c r="E319" t="s">
        <v>14</v>
      </c>
      <c r="F319" t="s">
        <v>15</v>
      </c>
      <c r="G319">
        <v>15219</v>
      </c>
      <c r="H319" t="s">
        <v>113</v>
      </c>
      <c r="I319">
        <v>9</v>
      </c>
      <c r="J319">
        <v>0</v>
      </c>
      <c r="K319" t="s">
        <v>8120</v>
      </c>
    </row>
    <row r="320" spans="1:11" x14ac:dyDescent="0.25">
      <c r="A320" t="s">
        <v>1206</v>
      </c>
      <c r="B320" t="s">
        <v>1207</v>
      </c>
      <c r="C320" t="s">
        <v>1208</v>
      </c>
      <c r="D320" t="s">
        <v>1209</v>
      </c>
      <c r="E320" t="s">
        <v>14</v>
      </c>
      <c r="F320" t="s">
        <v>15</v>
      </c>
      <c r="G320">
        <v>15222</v>
      </c>
      <c r="H320" t="s">
        <v>21</v>
      </c>
      <c r="I320">
        <v>6</v>
      </c>
      <c r="J320">
        <v>0</v>
      </c>
      <c r="K320" t="s">
        <v>8131</v>
      </c>
    </row>
    <row r="321" spans="1:11" x14ac:dyDescent="0.25">
      <c r="A321" t="s">
        <v>1210</v>
      </c>
      <c r="B321" t="s">
        <v>1211</v>
      </c>
      <c r="C321" t="s">
        <v>1212</v>
      </c>
      <c r="D321" t="s">
        <v>1213</v>
      </c>
      <c r="E321" t="s">
        <v>14</v>
      </c>
      <c r="F321" t="s">
        <v>15</v>
      </c>
      <c r="G321">
        <v>15213</v>
      </c>
      <c r="H321" t="s">
        <v>48</v>
      </c>
      <c r="I321">
        <v>54</v>
      </c>
      <c r="J321">
        <v>0</v>
      </c>
      <c r="K321" t="s">
        <v>8131</v>
      </c>
    </row>
    <row r="322" spans="1:11" x14ac:dyDescent="0.25">
      <c r="A322" t="s">
        <v>1214</v>
      </c>
      <c r="B322" t="s">
        <v>1215</v>
      </c>
      <c r="C322" t="s">
        <v>1216</v>
      </c>
      <c r="E322" t="s">
        <v>14</v>
      </c>
      <c r="F322" t="s">
        <v>15</v>
      </c>
      <c r="G322">
        <v>15044</v>
      </c>
      <c r="H322" t="s">
        <v>21</v>
      </c>
      <c r="I322">
        <v>36</v>
      </c>
      <c r="J322">
        <v>1</v>
      </c>
      <c r="K322" t="s">
        <v>8131</v>
      </c>
    </row>
    <row r="323" spans="1:11" x14ac:dyDescent="0.25">
      <c r="A323" t="s">
        <v>1217</v>
      </c>
      <c r="B323" t="s">
        <v>1218</v>
      </c>
      <c r="C323" t="s">
        <v>1219</v>
      </c>
      <c r="D323" t="s">
        <v>457</v>
      </c>
      <c r="E323" t="s">
        <v>14</v>
      </c>
      <c r="F323" t="s">
        <v>15</v>
      </c>
      <c r="G323">
        <v>15226</v>
      </c>
      <c r="H323" t="s">
        <v>92</v>
      </c>
      <c r="I323">
        <v>32</v>
      </c>
      <c r="J323">
        <v>1</v>
      </c>
      <c r="K323" t="s">
        <v>8121</v>
      </c>
    </row>
    <row r="324" spans="1:11" x14ac:dyDescent="0.25">
      <c r="A324" t="s">
        <v>1220</v>
      </c>
      <c r="B324" t="s">
        <v>1221</v>
      </c>
      <c r="C324" t="s">
        <v>1222</v>
      </c>
      <c r="D324" t="s">
        <v>1223</v>
      </c>
      <c r="E324" t="s">
        <v>14</v>
      </c>
      <c r="F324" t="s">
        <v>15</v>
      </c>
      <c r="G324">
        <v>15213</v>
      </c>
      <c r="H324" t="s">
        <v>48</v>
      </c>
      <c r="I324">
        <v>9</v>
      </c>
      <c r="J324">
        <v>1</v>
      </c>
      <c r="K324" t="s">
        <v>8122</v>
      </c>
    </row>
    <row r="325" spans="1:11" x14ac:dyDescent="0.25">
      <c r="A325" t="s">
        <v>1224</v>
      </c>
      <c r="B325" t="s">
        <v>1225</v>
      </c>
      <c r="C325" t="s">
        <v>1226</v>
      </c>
      <c r="D325" t="s">
        <v>1227</v>
      </c>
      <c r="E325" t="s">
        <v>14</v>
      </c>
      <c r="F325" t="s">
        <v>15</v>
      </c>
      <c r="G325">
        <v>15212</v>
      </c>
      <c r="H325" t="s">
        <v>48</v>
      </c>
      <c r="I325">
        <v>239</v>
      </c>
      <c r="J325">
        <v>1</v>
      </c>
      <c r="K325" t="s">
        <v>8132</v>
      </c>
    </row>
    <row r="326" spans="1:11" x14ac:dyDescent="0.25">
      <c r="A326" t="s">
        <v>1228</v>
      </c>
      <c r="B326" t="s">
        <v>1229</v>
      </c>
      <c r="C326" t="s">
        <v>1230</v>
      </c>
      <c r="D326" t="s">
        <v>1231</v>
      </c>
      <c r="E326" t="s">
        <v>14</v>
      </c>
      <c r="F326" t="s">
        <v>15</v>
      </c>
      <c r="G326">
        <v>15212</v>
      </c>
      <c r="H326" t="s">
        <v>16</v>
      </c>
      <c r="I326">
        <v>13</v>
      </c>
      <c r="J326">
        <v>1</v>
      </c>
      <c r="K326" t="s">
        <v>8131</v>
      </c>
    </row>
    <row r="327" spans="1:11" x14ac:dyDescent="0.25">
      <c r="A327" t="s">
        <v>1232</v>
      </c>
      <c r="B327" t="s">
        <v>115</v>
      </c>
      <c r="C327" t="s">
        <v>1233</v>
      </c>
      <c r="D327" t="s">
        <v>1234</v>
      </c>
      <c r="E327" t="s">
        <v>14</v>
      </c>
      <c r="F327" t="s">
        <v>15</v>
      </c>
      <c r="G327">
        <v>15237</v>
      </c>
      <c r="H327" t="s">
        <v>113</v>
      </c>
      <c r="I327">
        <v>5</v>
      </c>
      <c r="J327">
        <v>1</v>
      </c>
      <c r="K327" t="s">
        <v>8120</v>
      </c>
    </row>
    <row r="328" spans="1:11" x14ac:dyDescent="0.25">
      <c r="A328" t="s">
        <v>1235</v>
      </c>
      <c r="B328" t="s">
        <v>1236</v>
      </c>
      <c r="C328" t="s">
        <v>1237</v>
      </c>
      <c r="D328" t="s">
        <v>1238</v>
      </c>
      <c r="E328" t="s">
        <v>14</v>
      </c>
      <c r="F328" t="s">
        <v>15</v>
      </c>
      <c r="G328">
        <v>15212</v>
      </c>
      <c r="H328" t="s">
        <v>48</v>
      </c>
      <c r="I328">
        <v>62</v>
      </c>
      <c r="J328">
        <v>1</v>
      </c>
      <c r="K328" t="s">
        <v>8131</v>
      </c>
    </row>
    <row r="329" spans="1:11" x14ac:dyDescent="0.25">
      <c r="A329" t="s">
        <v>1239</v>
      </c>
      <c r="B329" t="s">
        <v>1240</v>
      </c>
      <c r="C329" t="s">
        <v>1241</v>
      </c>
      <c r="D329" t="s">
        <v>1242</v>
      </c>
      <c r="E329" t="s">
        <v>14</v>
      </c>
      <c r="F329" t="s">
        <v>15</v>
      </c>
      <c r="G329">
        <v>15213</v>
      </c>
      <c r="H329" t="s">
        <v>34</v>
      </c>
      <c r="I329">
        <v>68</v>
      </c>
      <c r="J329">
        <v>1</v>
      </c>
      <c r="K329" t="s">
        <v>8124</v>
      </c>
    </row>
    <row r="330" spans="1:11" x14ac:dyDescent="0.25">
      <c r="A330" t="s">
        <v>1243</v>
      </c>
      <c r="B330" t="s">
        <v>1244</v>
      </c>
      <c r="C330" t="s">
        <v>1245</v>
      </c>
      <c r="D330" t="s">
        <v>1246</v>
      </c>
      <c r="E330" t="s">
        <v>14</v>
      </c>
      <c r="F330" t="s">
        <v>15</v>
      </c>
      <c r="G330">
        <v>15232</v>
      </c>
      <c r="H330" t="s">
        <v>48</v>
      </c>
      <c r="I330">
        <v>75</v>
      </c>
      <c r="J330">
        <v>0</v>
      </c>
      <c r="K330" t="s">
        <v>8131</v>
      </c>
    </row>
    <row r="331" spans="1:11" x14ac:dyDescent="0.25">
      <c r="A331" t="s">
        <v>1247</v>
      </c>
      <c r="B331" t="s">
        <v>1248</v>
      </c>
      <c r="C331" t="s">
        <v>1249</v>
      </c>
      <c r="D331" t="s">
        <v>1250</v>
      </c>
      <c r="E331" t="s">
        <v>14</v>
      </c>
      <c r="F331" t="s">
        <v>15</v>
      </c>
      <c r="G331">
        <v>15236</v>
      </c>
      <c r="H331" t="s">
        <v>21</v>
      </c>
      <c r="I331">
        <v>5</v>
      </c>
      <c r="J331">
        <v>1</v>
      </c>
      <c r="K331" t="s">
        <v>8131</v>
      </c>
    </row>
    <row r="332" spans="1:11" x14ac:dyDescent="0.25">
      <c r="A332" t="s">
        <v>1251</v>
      </c>
      <c r="B332" t="s">
        <v>1252</v>
      </c>
      <c r="C332" t="s">
        <v>1253</v>
      </c>
      <c r="D332" t="s">
        <v>1254</v>
      </c>
      <c r="E332" t="s">
        <v>14</v>
      </c>
      <c r="F332" t="s">
        <v>15</v>
      </c>
      <c r="G332">
        <v>15236</v>
      </c>
      <c r="H332" t="s">
        <v>48</v>
      </c>
      <c r="I332">
        <v>25</v>
      </c>
      <c r="J332">
        <v>0</v>
      </c>
      <c r="K332" t="s">
        <v>8117</v>
      </c>
    </row>
    <row r="333" spans="1:11" x14ac:dyDescent="0.25">
      <c r="A333" t="s">
        <v>1255</v>
      </c>
      <c r="B333" t="s">
        <v>1256</v>
      </c>
      <c r="C333" t="s">
        <v>1257</v>
      </c>
      <c r="D333" t="s">
        <v>1258</v>
      </c>
      <c r="E333" t="s">
        <v>14</v>
      </c>
      <c r="F333" t="s">
        <v>15</v>
      </c>
      <c r="G333">
        <v>15207</v>
      </c>
      <c r="H333" t="s">
        <v>16</v>
      </c>
      <c r="I333">
        <v>52</v>
      </c>
      <c r="J333">
        <v>1</v>
      </c>
      <c r="K333" t="s">
        <v>8132</v>
      </c>
    </row>
    <row r="334" spans="1:11" x14ac:dyDescent="0.25">
      <c r="A334" t="s">
        <v>1259</v>
      </c>
      <c r="B334" t="s">
        <v>1260</v>
      </c>
      <c r="C334" t="s">
        <v>1261</v>
      </c>
      <c r="D334" t="s">
        <v>1262</v>
      </c>
      <c r="E334" t="s">
        <v>14</v>
      </c>
      <c r="F334" t="s">
        <v>15</v>
      </c>
      <c r="G334">
        <v>15203</v>
      </c>
      <c r="H334" t="s">
        <v>48</v>
      </c>
      <c r="I334">
        <v>5</v>
      </c>
      <c r="J334">
        <v>0</v>
      </c>
      <c r="K334" t="s">
        <v>8120</v>
      </c>
    </row>
    <row r="335" spans="1:11" x14ac:dyDescent="0.25">
      <c r="A335" t="s">
        <v>1263</v>
      </c>
      <c r="B335" t="s">
        <v>282</v>
      </c>
      <c r="C335" t="s">
        <v>1264</v>
      </c>
      <c r="D335" t="s">
        <v>1265</v>
      </c>
      <c r="E335" t="s">
        <v>14</v>
      </c>
      <c r="F335" t="s">
        <v>15</v>
      </c>
      <c r="G335">
        <v>15235</v>
      </c>
      <c r="H335" t="s">
        <v>16</v>
      </c>
      <c r="I335">
        <v>4</v>
      </c>
      <c r="J335">
        <v>1</v>
      </c>
      <c r="K335" t="s">
        <v>8124</v>
      </c>
    </row>
    <row r="336" spans="1:11" x14ac:dyDescent="0.25">
      <c r="A336" t="s">
        <v>1266</v>
      </c>
      <c r="B336" t="s">
        <v>1267</v>
      </c>
      <c r="C336" t="s">
        <v>1268</v>
      </c>
      <c r="D336" t="s">
        <v>751</v>
      </c>
      <c r="E336" t="s">
        <v>14</v>
      </c>
      <c r="F336" t="s">
        <v>15</v>
      </c>
      <c r="G336">
        <v>15234</v>
      </c>
      <c r="H336" t="s">
        <v>34</v>
      </c>
      <c r="I336">
        <v>17</v>
      </c>
      <c r="J336">
        <v>0</v>
      </c>
      <c r="K336" t="s">
        <v>8131</v>
      </c>
    </row>
    <row r="337" spans="1:11" x14ac:dyDescent="0.25">
      <c r="A337" t="s">
        <v>1269</v>
      </c>
      <c r="B337" t="s">
        <v>1187</v>
      </c>
      <c r="C337" t="s">
        <v>1270</v>
      </c>
      <c r="D337" t="s">
        <v>1271</v>
      </c>
      <c r="E337" t="s">
        <v>14</v>
      </c>
      <c r="F337" t="s">
        <v>15</v>
      </c>
      <c r="G337">
        <v>15201</v>
      </c>
      <c r="H337" t="s">
        <v>16</v>
      </c>
      <c r="I337">
        <v>296</v>
      </c>
      <c r="J337">
        <v>1</v>
      </c>
      <c r="K337" t="s">
        <v>8131</v>
      </c>
    </row>
    <row r="338" spans="1:11" x14ac:dyDescent="0.25">
      <c r="A338" t="s">
        <v>1272</v>
      </c>
      <c r="B338" t="s">
        <v>1273</v>
      </c>
      <c r="C338" t="s">
        <v>1001</v>
      </c>
      <c r="D338" t="s">
        <v>1274</v>
      </c>
      <c r="E338" t="s">
        <v>14</v>
      </c>
      <c r="F338" t="s">
        <v>15</v>
      </c>
      <c r="G338">
        <v>15213</v>
      </c>
      <c r="H338" t="s">
        <v>34</v>
      </c>
      <c r="I338">
        <v>33</v>
      </c>
      <c r="J338">
        <v>1</v>
      </c>
      <c r="K338" t="s">
        <v>8131</v>
      </c>
    </row>
    <row r="339" spans="1:11" x14ac:dyDescent="0.25">
      <c r="A339" t="s">
        <v>1275</v>
      </c>
      <c r="B339" t="s">
        <v>1276</v>
      </c>
      <c r="C339" t="s">
        <v>1277</v>
      </c>
      <c r="D339" t="s">
        <v>1278</v>
      </c>
      <c r="E339" t="s">
        <v>14</v>
      </c>
      <c r="F339" t="s">
        <v>15</v>
      </c>
      <c r="G339">
        <v>15211</v>
      </c>
      <c r="H339" t="s">
        <v>48</v>
      </c>
      <c r="I339">
        <v>184</v>
      </c>
      <c r="J339">
        <v>1</v>
      </c>
      <c r="K339" t="s">
        <v>8131</v>
      </c>
    </row>
    <row r="340" spans="1:11" x14ac:dyDescent="0.25">
      <c r="A340" t="s">
        <v>1279</v>
      </c>
      <c r="B340" t="s">
        <v>1280</v>
      </c>
      <c r="C340" t="s">
        <v>1281</v>
      </c>
      <c r="D340" t="s">
        <v>1282</v>
      </c>
      <c r="E340" t="s">
        <v>14</v>
      </c>
      <c r="F340" t="s">
        <v>15</v>
      </c>
      <c r="G340">
        <v>15222</v>
      </c>
      <c r="H340" t="s">
        <v>16</v>
      </c>
      <c r="I340">
        <v>282</v>
      </c>
      <c r="J340">
        <v>0</v>
      </c>
      <c r="K340" t="s">
        <v>8133</v>
      </c>
    </row>
    <row r="341" spans="1:11" x14ac:dyDescent="0.25">
      <c r="A341" t="s">
        <v>1283</v>
      </c>
      <c r="B341" t="s">
        <v>36</v>
      </c>
      <c r="C341" t="s">
        <v>901</v>
      </c>
      <c r="D341" t="s">
        <v>1284</v>
      </c>
      <c r="E341" t="s">
        <v>14</v>
      </c>
      <c r="F341" t="s">
        <v>15</v>
      </c>
      <c r="G341">
        <v>15213</v>
      </c>
      <c r="H341" t="s">
        <v>157</v>
      </c>
      <c r="I341">
        <v>19</v>
      </c>
      <c r="J341">
        <v>1</v>
      </c>
      <c r="K341" t="s">
        <v>8131</v>
      </c>
    </row>
    <row r="342" spans="1:11" x14ac:dyDescent="0.25">
      <c r="A342" t="s">
        <v>1285</v>
      </c>
      <c r="B342" t="s">
        <v>1286</v>
      </c>
      <c r="C342" t="s">
        <v>1287</v>
      </c>
      <c r="D342" t="s">
        <v>1288</v>
      </c>
      <c r="E342" t="s">
        <v>14</v>
      </c>
      <c r="F342" t="s">
        <v>15</v>
      </c>
      <c r="G342">
        <v>15203</v>
      </c>
      <c r="H342" t="s">
        <v>16</v>
      </c>
      <c r="I342">
        <v>60</v>
      </c>
      <c r="J342">
        <v>1</v>
      </c>
      <c r="K342" t="s">
        <v>8132</v>
      </c>
    </row>
    <row r="343" spans="1:11" x14ac:dyDescent="0.25">
      <c r="A343" t="s">
        <v>1289</v>
      </c>
      <c r="B343" t="s">
        <v>578</v>
      </c>
      <c r="C343" t="s">
        <v>1290</v>
      </c>
      <c r="D343" t="s">
        <v>1291</v>
      </c>
      <c r="E343" t="s">
        <v>14</v>
      </c>
      <c r="F343" t="s">
        <v>15</v>
      </c>
      <c r="G343">
        <v>15235</v>
      </c>
      <c r="H343" t="s">
        <v>34</v>
      </c>
      <c r="I343">
        <v>40</v>
      </c>
      <c r="J343">
        <v>0</v>
      </c>
      <c r="K343" t="s">
        <v>8131</v>
      </c>
    </row>
    <row r="344" spans="1:11" x14ac:dyDescent="0.25">
      <c r="A344" t="s">
        <v>1292</v>
      </c>
      <c r="B344" t="s">
        <v>1293</v>
      </c>
      <c r="C344" t="s">
        <v>1294</v>
      </c>
      <c r="D344" t="s">
        <v>1295</v>
      </c>
      <c r="E344" t="s">
        <v>14</v>
      </c>
      <c r="F344" t="s">
        <v>15</v>
      </c>
      <c r="G344">
        <v>15213</v>
      </c>
      <c r="H344" t="s">
        <v>48</v>
      </c>
      <c r="I344">
        <v>44</v>
      </c>
      <c r="J344">
        <v>1</v>
      </c>
      <c r="K344" t="s">
        <v>8131</v>
      </c>
    </row>
    <row r="345" spans="1:11" x14ac:dyDescent="0.25">
      <c r="A345" t="s">
        <v>1296</v>
      </c>
      <c r="B345" t="s">
        <v>1297</v>
      </c>
      <c r="C345" t="s">
        <v>1298</v>
      </c>
      <c r="D345" t="s">
        <v>1299</v>
      </c>
      <c r="E345" t="s">
        <v>14</v>
      </c>
      <c r="F345" t="s">
        <v>15</v>
      </c>
      <c r="G345">
        <v>15222</v>
      </c>
      <c r="H345" t="s">
        <v>21</v>
      </c>
      <c r="I345">
        <v>1618</v>
      </c>
      <c r="J345">
        <v>1</v>
      </c>
      <c r="K345" t="s">
        <v>8127</v>
      </c>
    </row>
    <row r="346" spans="1:11" x14ac:dyDescent="0.25">
      <c r="A346" t="s">
        <v>1300</v>
      </c>
      <c r="B346" t="s">
        <v>578</v>
      </c>
      <c r="C346" t="s">
        <v>1301</v>
      </c>
      <c r="D346" t="s">
        <v>1302</v>
      </c>
      <c r="E346" t="s">
        <v>14</v>
      </c>
      <c r="F346" t="s">
        <v>15</v>
      </c>
      <c r="G346">
        <v>15222</v>
      </c>
      <c r="H346" t="s">
        <v>34</v>
      </c>
      <c r="I346">
        <v>302</v>
      </c>
      <c r="J346">
        <v>0</v>
      </c>
      <c r="K346" t="s">
        <v>8131</v>
      </c>
    </row>
    <row r="347" spans="1:11" x14ac:dyDescent="0.25">
      <c r="A347" t="s">
        <v>1303</v>
      </c>
      <c r="B347" t="s">
        <v>1304</v>
      </c>
      <c r="C347" t="s">
        <v>1305</v>
      </c>
      <c r="D347" t="s">
        <v>1306</v>
      </c>
      <c r="E347" t="s">
        <v>14</v>
      </c>
      <c r="F347" t="s">
        <v>15</v>
      </c>
      <c r="G347">
        <v>15203</v>
      </c>
      <c r="H347" t="s">
        <v>16</v>
      </c>
      <c r="I347">
        <v>223</v>
      </c>
      <c r="J347">
        <v>1</v>
      </c>
      <c r="K347" t="s">
        <v>8131</v>
      </c>
    </row>
    <row r="348" spans="1:11" x14ac:dyDescent="0.25">
      <c r="A348" t="s">
        <v>1307</v>
      </c>
      <c r="B348" t="s">
        <v>578</v>
      </c>
      <c r="C348" t="s">
        <v>1308</v>
      </c>
      <c r="D348" t="s">
        <v>1309</v>
      </c>
      <c r="E348" t="s">
        <v>14</v>
      </c>
      <c r="F348" t="s">
        <v>15</v>
      </c>
      <c r="G348">
        <v>15238</v>
      </c>
      <c r="H348" t="s">
        <v>34</v>
      </c>
      <c r="I348">
        <v>15</v>
      </c>
      <c r="J348">
        <v>0</v>
      </c>
      <c r="K348" t="s">
        <v>8131</v>
      </c>
    </row>
    <row r="349" spans="1:11" x14ac:dyDescent="0.25">
      <c r="A349" t="s">
        <v>1310</v>
      </c>
      <c r="B349" t="s">
        <v>1311</v>
      </c>
      <c r="C349" t="s">
        <v>1312</v>
      </c>
      <c r="D349" t="s">
        <v>1313</v>
      </c>
      <c r="E349" t="s">
        <v>14</v>
      </c>
      <c r="F349" t="s">
        <v>15</v>
      </c>
      <c r="G349">
        <v>15216</v>
      </c>
      <c r="H349" t="s">
        <v>48</v>
      </c>
      <c r="I349">
        <v>20</v>
      </c>
      <c r="J349">
        <v>1</v>
      </c>
      <c r="K349" t="s">
        <v>8131</v>
      </c>
    </row>
    <row r="350" spans="1:11" x14ac:dyDescent="0.25">
      <c r="A350" t="s">
        <v>1314</v>
      </c>
      <c r="B350" t="s">
        <v>309</v>
      </c>
      <c r="C350" t="s">
        <v>228</v>
      </c>
      <c r="D350" t="s">
        <v>1315</v>
      </c>
      <c r="E350" t="s">
        <v>14</v>
      </c>
      <c r="F350" t="s">
        <v>15</v>
      </c>
      <c r="G350">
        <v>15236</v>
      </c>
      <c r="H350" t="s">
        <v>157</v>
      </c>
      <c r="I350">
        <v>10</v>
      </c>
      <c r="J350">
        <v>1</v>
      </c>
      <c r="K350" t="s">
        <v>8131</v>
      </c>
    </row>
    <row r="351" spans="1:11" x14ac:dyDescent="0.25">
      <c r="A351" t="s">
        <v>1316</v>
      </c>
      <c r="B351" t="s">
        <v>1317</v>
      </c>
      <c r="C351" t="s">
        <v>1318</v>
      </c>
      <c r="D351" t="s">
        <v>1319</v>
      </c>
      <c r="E351" t="s">
        <v>14</v>
      </c>
      <c r="F351" t="s">
        <v>15</v>
      </c>
      <c r="G351">
        <v>15241</v>
      </c>
      <c r="H351" t="s">
        <v>34</v>
      </c>
      <c r="I351">
        <v>6</v>
      </c>
      <c r="J351">
        <v>1</v>
      </c>
      <c r="K351" t="s">
        <v>8131</v>
      </c>
    </row>
    <row r="352" spans="1:11" x14ac:dyDescent="0.25">
      <c r="A352" t="s">
        <v>1320</v>
      </c>
      <c r="B352" t="s">
        <v>1321</v>
      </c>
      <c r="C352" t="s">
        <v>1322</v>
      </c>
      <c r="D352" t="s">
        <v>1323</v>
      </c>
      <c r="E352" t="s">
        <v>14</v>
      </c>
      <c r="F352" t="s">
        <v>15</v>
      </c>
      <c r="G352">
        <v>15212</v>
      </c>
      <c r="H352" t="s">
        <v>21</v>
      </c>
      <c r="I352">
        <v>42</v>
      </c>
      <c r="J352">
        <v>1</v>
      </c>
      <c r="K352" t="s">
        <v>8131</v>
      </c>
    </row>
    <row r="353" spans="1:11" x14ac:dyDescent="0.25">
      <c r="A353" t="s">
        <v>1324</v>
      </c>
      <c r="B353" t="s">
        <v>1325</v>
      </c>
      <c r="C353" t="s">
        <v>1326</v>
      </c>
      <c r="D353" t="s">
        <v>1327</v>
      </c>
      <c r="E353" t="s">
        <v>14</v>
      </c>
      <c r="F353" t="s">
        <v>15</v>
      </c>
      <c r="G353">
        <v>15222</v>
      </c>
      <c r="H353" t="s">
        <v>48</v>
      </c>
      <c r="I353">
        <v>144</v>
      </c>
      <c r="J353">
        <v>0</v>
      </c>
      <c r="K353" t="s">
        <v>8121</v>
      </c>
    </row>
    <row r="354" spans="1:11" x14ac:dyDescent="0.25">
      <c r="A354" t="s">
        <v>1328</v>
      </c>
      <c r="B354" t="s">
        <v>1329</v>
      </c>
      <c r="C354" t="s">
        <v>1330</v>
      </c>
      <c r="D354" t="s">
        <v>1331</v>
      </c>
      <c r="E354" t="s">
        <v>14</v>
      </c>
      <c r="F354" t="s">
        <v>15</v>
      </c>
      <c r="G354">
        <v>15224</v>
      </c>
      <c r="H354" t="s">
        <v>34</v>
      </c>
      <c r="I354">
        <v>259</v>
      </c>
      <c r="J354">
        <v>1</v>
      </c>
      <c r="K354" t="s">
        <v>8131</v>
      </c>
    </row>
    <row r="355" spans="1:11" x14ac:dyDescent="0.25">
      <c r="A355" t="s">
        <v>1332</v>
      </c>
      <c r="B355" t="s">
        <v>1333</v>
      </c>
      <c r="C355" t="s">
        <v>608</v>
      </c>
      <c r="D355" t="s">
        <v>1309</v>
      </c>
      <c r="E355" t="s">
        <v>14</v>
      </c>
      <c r="F355" t="s">
        <v>15</v>
      </c>
      <c r="G355">
        <v>15238</v>
      </c>
      <c r="H355" t="s">
        <v>34</v>
      </c>
      <c r="I355">
        <v>47</v>
      </c>
      <c r="J355">
        <v>1</v>
      </c>
      <c r="K355" t="s">
        <v>8122</v>
      </c>
    </row>
    <row r="356" spans="1:11" x14ac:dyDescent="0.25">
      <c r="A356" t="s">
        <v>1334</v>
      </c>
      <c r="B356" t="s">
        <v>447</v>
      </c>
      <c r="C356" t="s">
        <v>1335</v>
      </c>
      <c r="D356" t="s">
        <v>1336</v>
      </c>
      <c r="E356" t="s">
        <v>14</v>
      </c>
      <c r="F356" t="s">
        <v>15</v>
      </c>
      <c r="G356">
        <v>15216</v>
      </c>
      <c r="H356" t="s">
        <v>48</v>
      </c>
      <c r="I356">
        <v>17</v>
      </c>
      <c r="J356">
        <v>1</v>
      </c>
      <c r="K356" t="s">
        <v>8122</v>
      </c>
    </row>
    <row r="357" spans="1:11" x14ac:dyDescent="0.25">
      <c r="A357" t="s">
        <v>1337</v>
      </c>
      <c r="B357" t="s">
        <v>1338</v>
      </c>
      <c r="C357" t="s">
        <v>1339</v>
      </c>
      <c r="D357" t="s">
        <v>1340</v>
      </c>
      <c r="E357" t="s">
        <v>14</v>
      </c>
      <c r="F357" t="s">
        <v>15</v>
      </c>
      <c r="G357">
        <v>15238</v>
      </c>
      <c r="H357" t="s">
        <v>34</v>
      </c>
      <c r="I357">
        <v>30</v>
      </c>
      <c r="J357">
        <v>1</v>
      </c>
      <c r="K357" t="s">
        <v>8120</v>
      </c>
    </row>
    <row r="358" spans="1:11" x14ac:dyDescent="0.25">
      <c r="A358" t="s">
        <v>1341</v>
      </c>
      <c r="B358" t="s">
        <v>1342</v>
      </c>
      <c r="C358" t="s">
        <v>1343</v>
      </c>
      <c r="D358" t="s">
        <v>1344</v>
      </c>
      <c r="E358" t="s">
        <v>14</v>
      </c>
      <c r="F358" t="s">
        <v>15</v>
      </c>
      <c r="G358">
        <v>15219</v>
      </c>
      <c r="H358" t="s">
        <v>16</v>
      </c>
      <c r="I358">
        <v>74</v>
      </c>
      <c r="J358">
        <v>1</v>
      </c>
      <c r="K358" t="s">
        <v>8120</v>
      </c>
    </row>
    <row r="359" spans="1:11" x14ac:dyDescent="0.25">
      <c r="A359" t="s">
        <v>1345</v>
      </c>
      <c r="B359" t="s">
        <v>1346</v>
      </c>
      <c r="C359" t="s">
        <v>1347</v>
      </c>
      <c r="D359" t="s">
        <v>1234</v>
      </c>
      <c r="E359" t="s">
        <v>14</v>
      </c>
      <c r="F359" t="s">
        <v>15</v>
      </c>
      <c r="G359">
        <v>15237</v>
      </c>
      <c r="H359" t="s">
        <v>34</v>
      </c>
      <c r="I359">
        <v>4</v>
      </c>
      <c r="J359">
        <v>0</v>
      </c>
      <c r="K359" t="s">
        <v>8131</v>
      </c>
    </row>
    <row r="360" spans="1:11" x14ac:dyDescent="0.25">
      <c r="A360" t="s">
        <v>1348</v>
      </c>
      <c r="B360" t="s">
        <v>1349</v>
      </c>
      <c r="C360" t="s">
        <v>1350</v>
      </c>
      <c r="D360" t="s">
        <v>1351</v>
      </c>
      <c r="E360" t="s">
        <v>14</v>
      </c>
      <c r="F360" t="s">
        <v>15</v>
      </c>
      <c r="G360">
        <v>15238</v>
      </c>
      <c r="H360" t="s">
        <v>34</v>
      </c>
      <c r="I360">
        <v>7</v>
      </c>
      <c r="J360">
        <v>1</v>
      </c>
      <c r="K360" t="s">
        <v>8131</v>
      </c>
    </row>
    <row r="361" spans="1:11" x14ac:dyDescent="0.25">
      <c r="A361" t="s">
        <v>1352</v>
      </c>
      <c r="B361" t="s">
        <v>1353</v>
      </c>
      <c r="C361" t="s">
        <v>1354</v>
      </c>
      <c r="D361" t="s">
        <v>1355</v>
      </c>
      <c r="E361" t="s">
        <v>14</v>
      </c>
      <c r="F361" t="s">
        <v>15</v>
      </c>
      <c r="G361">
        <v>15203</v>
      </c>
      <c r="H361" t="s">
        <v>16</v>
      </c>
      <c r="I361">
        <v>31</v>
      </c>
      <c r="J361">
        <v>1</v>
      </c>
      <c r="K361" t="s">
        <v>8131</v>
      </c>
    </row>
    <row r="362" spans="1:11" x14ac:dyDescent="0.25">
      <c r="A362" t="s">
        <v>1356</v>
      </c>
      <c r="B362" t="s">
        <v>1357</v>
      </c>
      <c r="C362" t="s">
        <v>1358</v>
      </c>
      <c r="D362" t="s">
        <v>1359</v>
      </c>
      <c r="E362" t="s">
        <v>14</v>
      </c>
      <c r="F362" t="s">
        <v>15</v>
      </c>
      <c r="G362">
        <v>15222</v>
      </c>
      <c r="H362" t="s">
        <v>48</v>
      </c>
      <c r="I362">
        <v>5</v>
      </c>
      <c r="J362">
        <v>0</v>
      </c>
      <c r="K362" t="s">
        <v>8131</v>
      </c>
    </row>
    <row r="363" spans="1:11" x14ac:dyDescent="0.25">
      <c r="A363" t="s">
        <v>1360</v>
      </c>
      <c r="B363" t="s">
        <v>1361</v>
      </c>
      <c r="C363" t="s">
        <v>1362</v>
      </c>
      <c r="D363" t="s">
        <v>1363</v>
      </c>
      <c r="E363" t="s">
        <v>14</v>
      </c>
      <c r="F363" t="s">
        <v>15</v>
      </c>
      <c r="G363">
        <v>15222</v>
      </c>
      <c r="H363" t="s">
        <v>48</v>
      </c>
      <c r="I363">
        <v>5</v>
      </c>
      <c r="J363">
        <v>1</v>
      </c>
      <c r="K363" t="s">
        <v>8131</v>
      </c>
    </row>
    <row r="364" spans="1:11" x14ac:dyDescent="0.25">
      <c r="A364" t="s">
        <v>1364</v>
      </c>
      <c r="B364" t="s">
        <v>1365</v>
      </c>
      <c r="C364" t="s">
        <v>1366</v>
      </c>
      <c r="D364" t="s">
        <v>1367</v>
      </c>
      <c r="E364" t="s">
        <v>14</v>
      </c>
      <c r="F364" t="s">
        <v>15</v>
      </c>
      <c r="G364">
        <v>15203</v>
      </c>
      <c r="H364" t="s">
        <v>48</v>
      </c>
      <c r="I364">
        <v>265</v>
      </c>
      <c r="J364">
        <v>1</v>
      </c>
      <c r="K364" t="s">
        <v>8122</v>
      </c>
    </row>
    <row r="365" spans="1:11" x14ac:dyDescent="0.25">
      <c r="A365" t="s">
        <v>1368</v>
      </c>
      <c r="B365" t="s">
        <v>967</v>
      </c>
      <c r="C365" t="s">
        <v>1369</v>
      </c>
      <c r="D365" t="s">
        <v>1370</v>
      </c>
      <c r="E365" t="s">
        <v>14</v>
      </c>
      <c r="F365" t="s">
        <v>15</v>
      </c>
      <c r="G365">
        <v>15219</v>
      </c>
      <c r="H365" t="s">
        <v>16</v>
      </c>
      <c r="I365">
        <v>8</v>
      </c>
      <c r="J365">
        <v>0</v>
      </c>
      <c r="K365" t="s">
        <v>8131</v>
      </c>
    </row>
    <row r="366" spans="1:11" x14ac:dyDescent="0.25">
      <c r="A366" t="s">
        <v>1371</v>
      </c>
      <c r="B366" t="s">
        <v>1372</v>
      </c>
      <c r="C366" t="s">
        <v>1373</v>
      </c>
      <c r="D366" t="s">
        <v>1374</v>
      </c>
      <c r="E366" t="s">
        <v>14</v>
      </c>
      <c r="F366" t="s">
        <v>15</v>
      </c>
      <c r="G366">
        <v>15219</v>
      </c>
      <c r="H366" t="s">
        <v>16</v>
      </c>
      <c r="I366">
        <v>15</v>
      </c>
      <c r="J366">
        <v>1</v>
      </c>
      <c r="K366" t="s">
        <v>8131</v>
      </c>
    </row>
    <row r="367" spans="1:11" x14ac:dyDescent="0.25">
      <c r="A367" t="s">
        <v>1375</v>
      </c>
      <c r="B367" t="s">
        <v>1376</v>
      </c>
      <c r="C367" t="s">
        <v>1377</v>
      </c>
      <c r="D367" t="s">
        <v>1378</v>
      </c>
      <c r="E367" t="s">
        <v>14</v>
      </c>
      <c r="F367" t="s">
        <v>15</v>
      </c>
      <c r="G367">
        <v>15221</v>
      </c>
      <c r="H367" t="s">
        <v>113</v>
      </c>
      <c r="I367">
        <v>10</v>
      </c>
      <c r="J367">
        <v>1</v>
      </c>
      <c r="K367" t="s">
        <v>8131</v>
      </c>
    </row>
    <row r="368" spans="1:11" x14ac:dyDescent="0.25">
      <c r="A368" t="s">
        <v>1379</v>
      </c>
      <c r="B368" t="s">
        <v>1380</v>
      </c>
      <c r="C368" t="s">
        <v>1381</v>
      </c>
      <c r="D368" t="s">
        <v>1382</v>
      </c>
      <c r="E368" t="s">
        <v>14</v>
      </c>
      <c r="F368" t="s">
        <v>15</v>
      </c>
      <c r="G368">
        <v>15210</v>
      </c>
      <c r="H368" t="s">
        <v>113</v>
      </c>
      <c r="I368">
        <v>9</v>
      </c>
      <c r="J368">
        <v>1</v>
      </c>
      <c r="K368" t="s">
        <v>8120</v>
      </c>
    </row>
    <row r="369" spans="1:11" x14ac:dyDescent="0.25">
      <c r="A369" t="s">
        <v>1383</v>
      </c>
      <c r="B369" t="s">
        <v>1384</v>
      </c>
      <c r="C369" t="s">
        <v>1385</v>
      </c>
      <c r="D369" t="s">
        <v>1386</v>
      </c>
      <c r="E369" t="s">
        <v>14</v>
      </c>
      <c r="F369" t="s">
        <v>15</v>
      </c>
      <c r="G369">
        <v>15222</v>
      </c>
      <c r="H369" t="s">
        <v>34</v>
      </c>
      <c r="I369">
        <v>57</v>
      </c>
      <c r="J369">
        <v>0</v>
      </c>
      <c r="K369" t="s">
        <v>8131</v>
      </c>
    </row>
    <row r="370" spans="1:11" x14ac:dyDescent="0.25">
      <c r="A370" t="s">
        <v>1387</v>
      </c>
      <c r="B370" t="s">
        <v>1388</v>
      </c>
      <c r="C370" t="s">
        <v>1389</v>
      </c>
      <c r="D370" t="s">
        <v>1390</v>
      </c>
      <c r="E370" t="s">
        <v>14</v>
      </c>
      <c r="F370" t="s">
        <v>15</v>
      </c>
      <c r="G370">
        <v>15212</v>
      </c>
      <c r="H370" t="s">
        <v>92</v>
      </c>
      <c r="I370">
        <v>3</v>
      </c>
      <c r="J370">
        <v>1</v>
      </c>
      <c r="K370" t="s">
        <v>8131</v>
      </c>
    </row>
    <row r="371" spans="1:11" x14ac:dyDescent="0.25">
      <c r="A371" t="s">
        <v>1391</v>
      </c>
      <c r="B371" t="s">
        <v>1392</v>
      </c>
      <c r="C371" t="s">
        <v>1393</v>
      </c>
      <c r="D371" t="s">
        <v>580</v>
      </c>
      <c r="E371" t="s">
        <v>14</v>
      </c>
      <c r="F371" t="s">
        <v>15</v>
      </c>
      <c r="G371">
        <v>15232</v>
      </c>
      <c r="H371" t="s">
        <v>16</v>
      </c>
      <c r="I371">
        <v>4</v>
      </c>
      <c r="J371">
        <v>1</v>
      </c>
      <c r="K371" t="s">
        <v>8121</v>
      </c>
    </row>
    <row r="372" spans="1:11" x14ac:dyDescent="0.25">
      <c r="A372" t="s">
        <v>1394</v>
      </c>
      <c r="B372" t="s">
        <v>1395</v>
      </c>
      <c r="C372" t="s">
        <v>1396</v>
      </c>
      <c r="D372" t="s">
        <v>1397</v>
      </c>
      <c r="E372" t="s">
        <v>14</v>
      </c>
      <c r="F372" t="s">
        <v>15</v>
      </c>
      <c r="G372">
        <v>15219</v>
      </c>
      <c r="H372" t="s">
        <v>92</v>
      </c>
      <c r="I372">
        <v>13</v>
      </c>
      <c r="J372">
        <v>0</v>
      </c>
      <c r="K372" t="s">
        <v>8132</v>
      </c>
    </row>
    <row r="373" spans="1:11" x14ac:dyDescent="0.25">
      <c r="A373" t="s">
        <v>1398</v>
      </c>
      <c r="B373" t="s">
        <v>1399</v>
      </c>
      <c r="C373" t="s">
        <v>1400</v>
      </c>
      <c r="D373" t="s">
        <v>1401</v>
      </c>
      <c r="E373" t="s">
        <v>14</v>
      </c>
      <c r="F373" t="s">
        <v>15</v>
      </c>
      <c r="G373">
        <v>15217</v>
      </c>
      <c r="H373" t="s">
        <v>48</v>
      </c>
      <c r="I373">
        <v>48</v>
      </c>
      <c r="J373">
        <v>0</v>
      </c>
      <c r="K373" t="s">
        <v>8131</v>
      </c>
    </row>
    <row r="374" spans="1:11" x14ac:dyDescent="0.25">
      <c r="A374" t="s">
        <v>1402</v>
      </c>
      <c r="B374" t="s">
        <v>1403</v>
      </c>
      <c r="C374" t="s">
        <v>1404</v>
      </c>
      <c r="D374" t="s">
        <v>1405</v>
      </c>
      <c r="E374" t="s">
        <v>14</v>
      </c>
      <c r="F374" t="s">
        <v>15</v>
      </c>
      <c r="G374">
        <v>15222</v>
      </c>
      <c r="H374" t="s">
        <v>21</v>
      </c>
      <c r="I374">
        <v>71</v>
      </c>
      <c r="J374">
        <v>1</v>
      </c>
      <c r="K374" t="s">
        <v>8131</v>
      </c>
    </row>
    <row r="375" spans="1:11" x14ac:dyDescent="0.25">
      <c r="A375" t="s">
        <v>1406</v>
      </c>
      <c r="B375" t="s">
        <v>1407</v>
      </c>
      <c r="C375" t="s">
        <v>1408</v>
      </c>
      <c r="D375" t="s">
        <v>1409</v>
      </c>
      <c r="E375" t="s">
        <v>14</v>
      </c>
      <c r="F375" t="s">
        <v>15</v>
      </c>
      <c r="G375">
        <v>15220</v>
      </c>
      <c r="H375" t="s">
        <v>43</v>
      </c>
      <c r="I375">
        <v>7</v>
      </c>
      <c r="J375">
        <v>1</v>
      </c>
      <c r="K375" t="s">
        <v>8131</v>
      </c>
    </row>
    <row r="376" spans="1:11" x14ac:dyDescent="0.25">
      <c r="A376" t="s">
        <v>1410</v>
      </c>
      <c r="B376" t="s">
        <v>239</v>
      </c>
      <c r="C376" t="s">
        <v>1411</v>
      </c>
      <c r="D376" t="s">
        <v>654</v>
      </c>
      <c r="E376" t="s">
        <v>14</v>
      </c>
      <c r="F376" t="s">
        <v>15</v>
      </c>
      <c r="G376">
        <v>15227</v>
      </c>
      <c r="H376" t="s">
        <v>48</v>
      </c>
      <c r="I376">
        <v>6</v>
      </c>
      <c r="J376">
        <v>0</v>
      </c>
      <c r="K376" t="s">
        <v>8122</v>
      </c>
    </row>
    <row r="377" spans="1:11" x14ac:dyDescent="0.25">
      <c r="A377" t="s">
        <v>1412</v>
      </c>
      <c r="B377" t="s">
        <v>36</v>
      </c>
      <c r="C377" t="s">
        <v>1413</v>
      </c>
      <c r="D377" t="s">
        <v>1414</v>
      </c>
      <c r="E377" t="s">
        <v>14</v>
      </c>
      <c r="F377" t="s">
        <v>15</v>
      </c>
      <c r="G377">
        <v>15226</v>
      </c>
      <c r="H377" t="s">
        <v>34</v>
      </c>
      <c r="I377">
        <v>11</v>
      </c>
      <c r="J377">
        <v>1</v>
      </c>
      <c r="K377" t="s">
        <v>8131</v>
      </c>
    </row>
    <row r="378" spans="1:11" x14ac:dyDescent="0.25">
      <c r="A378" t="s">
        <v>1415</v>
      </c>
      <c r="B378" t="s">
        <v>1416</v>
      </c>
      <c r="C378" t="s">
        <v>32</v>
      </c>
      <c r="D378" t="s">
        <v>1417</v>
      </c>
      <c r="E378" t="s">
        <v>14</v>
      </c>
      <c r="F378" t="s">
        <v>15</v>
      </c>
      <c r="G378">
        <v>15275</v>
      </c>
      <c r="H378" t="s">
        <v>113</v>
      </c>
      <c r="I378">
        <v>5</v>
      </c>
      <c r="J378">
        <v>1</v>
      </c>
      <c r="K378" t="s">
        <v>8131</v>
      </c>
    </row>
    <row r="379" spans="1:11" x14ac:dyDescent="0.25">
      <c r="A379" t="s">
        <v>1418</v>
      </c>
      <c r="B379" t="s">
        <v>1419</v>
      </c>
      <c r="C379" t="s">
        <v>1420</v>
      </c>
      <c r="D379" t="s">
        <v>1421</v>
      </c>
      <c r="E379" t="s">
        <v>14</v>
      </c>
      <c r="F379" t="s">
        <v>15</v>
      </c>
      <c r="G379">
        <v>15229</v>
      </c>
      <c r="H379" t="s">
        <v>21</v>
      </c>
      <c r="I379">
        <v>6</v>
      </c>
      <c r="J379">
        <v>0</v>
      </c>
      <c r="K379" t="s">
        <v>8131</v>
      </c>
    </row>
    <row r="380" spans="1:11" x14ac:dyDescent="0.25">
      <c r="A380" t="s">
        <v>1422</v>
      </c>
      <c r="B380" t="s">
        <v>1423</v>
      </c>
      <c r="C380" t="s">
        <v>1424</v>
      </c>
      <c r="D380" t="s">
        <v>1425</v>
      </c>
      <c r="E380" t="s">
        <v>14</v>
      </c>
      <c r="F380" t="s">
        <v>15</v>
      </c>
      <c r="G380">
        <v>15220</v>
      </c>
      <c r="H380" t="s">
        <v>21</v>
      </c>
      <c r="I380">
        <v>51</v>
      </c>
      <c r="J380">
        <v>1</v>
      </c>
      <c r="K380" t="s">
        <v>8131</v>
      </c>
    </row>
    <row r="381" spans="1:11" x14ac:dyDescent="0.25">
      <c r="A381" t="s">
        <v>1426</v>
      </c>
      <c r="B381" t="s">
        <v>1427</v>
      </c>
      <c r="C381" t="s">
        <v>1428</v>
      </c>
      <c r="D381" t="s">
        <v>1429</v>
      </c>
      <c r="E381" t="s">
        <v>14</v>
      </c>
      <c r="F381" t="s">
        <v>15</v>
      </c>
      <c r="G381">
        <v>15222</v>
      </c>
      <c r="H381" t="s">
        <v>48</v>
      </c>
      <c r="I381">
        <v>64</v>
      </c>
      <c r="J381">
        <v>1</v>
      </c>
      <c r="K381" t="s">
        <v>8131</v>
      </c>
    </row>
    <row r="382" spans="1:11" x14ac:dyDescent="0.25">
      <c r="A382" t="s">
        <v>1430</v>
      </c>
      <c r="B382" t="s">
        <v>1431</v>
      </c>
      <c r="C382" t="s">
        <v>1432</v>
      </c>
      <c r="D382" t="s">
        <v>1433</v>
      </c>
      <c r="E382" t="s">
        <v>14</v>
      </c>
      <c r="F382" t="s">
        <v>15</v>
      </c>
      <c r="G382">
        <v>15212</v>
      </c>
      <c r="H382" t="s">
        <v>16</v>
      </c>
      <c r="I382">
        <v>220</v>
      </c>
      <c r="J382">
        <v>1</v>
      </c>
      <c r="K382" t="s">
        <v>8132</v>
      </c>
    </row>
    <row r="383" spans="1:11" x14ac:dyDescent="0.25">
      <c r="A383" t="s">
        <v>1434</v>
      </c>
      <c r="B383" t="s">
        <v>1435</v>
      </c>
      <c r="C383" t="s">
        <v>1436</v>
      </c>
      <c r="D383" t="s">
        <v>1437</v>
      </c>
      <c r="E383" t="s">
        <v>14</v>
      </c>
      <c r="F383" t="s">
        <v>15</v>
      </c>
      <c r="G383">
        <v>15203</v>
      </c>
      <c r="H383" t="s">
        <v>48</v>
      </c>
      <c r="I383">
        <v>88</v>
      </c>
      <c r="J383">
        <v>1</v>
      </c>
      <c r="K383" t="s">
        <v>8131</v>
      </c>
    </row>
    <row r="384" spans="1:11" x14ac:dyDescent="0.25">
      <c r="A384" t="s">
    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  <v>15</v>
      </c>
      <c r="G384">
        <v>15201</v>
      </c>
      <c r="H384" t="s">
        <v>16</v>
      </c>
      <c r="I384">
        <v>52</v>
      </c>
      <c r="J384">
        <v>1</v>
      </c>
      <c r="K384" t="s">
        <v>8131</v>
      </c>
    </row>
    <row r="385" spans="1:11" x14ac:dyDescent="0.25">
      <c r="A385" t="s">
        <v>1442</v>
      </c>
      <c r="B385" t="s">
        <v>1443</v>
      </c>
      <c r="C385" t="s">
        <v>1444</v>
      </c>
      <c r="D385" t="s">
        <v>1445</v>
      </c>
      <c r="E385" t="s">
        <v>14</v>
      </c>
      <c r="F385" t="s">
        <v>15</v>
      </c>
      <c r="G385">
        <v>15212</v>
      </c>
      <c r="H385" t="s">
        <v>48</v>
      </c>
      <c r="I385">
        <v>469</v>
      </c>
      <c r="J385">
        <v>1</v>
      </c>
      <c r="K385" t="s">
        <v>8131</v>
      </c>
    </row>
    <row r="386" spans="1:11" x14ac:dyDescent="0.25">
      <c r="A386" t="s">
        <v>1446</v>
      </c>
      <c r="B386" t="s">
        <v>267</v>
      </c>
      <c r="C386" t="s">
        <v>1447</v>
      </c>
      <c r="D386" t="s">
        <v>1448</v>
      </c>
      <c r="E386" t="s">
        <v>14</v>
      </c>
      <c r="F386" t="s">
        <v>15</v>
      </c>
      <c r="G386">
        <v>15238</v>
      </c>
      <c r="H386" t="s">
        <v>34</v>
      </c>
      <c r="I386">
        <v>3</v>
      </c>
      <c r="J386">
        <v>1</v>
      </c>
      <c r="K386" t="s">
        <v>8131</v>
      </c>
    </row>
    <row r="387" spans="1:11" x14ac:dyDescent="0.25">
      <c r="A387" t="s">
        <v>1449</v>
      </c>
      <c r="B387" t="s">
        <v>1450</v>
      </c>
      <c r="C387" t="s">
        <v>1451</v>
      </c>
      <c r="D387" t="s">
        <v>1452</v>
      </c>
      <c r="E387" t="s">
        <v>14</v>
      </c>
      <c r="F387" t="s">
        <v>15</v>
      </c>
      <c r="G387">
        <v>15222</v>
      </c>
      <c r="H387" t="s">
        <v>92</v>
      </c>
      <c r="I387">
        <v>70</v>
      </c>
      <c r="J387">
        <v>1</v>
      </c>
      <c r="K387" t="s">
        <v>8122</v>
      </c>
    </row>
    <row r="388" spans="1:11" x14ac:dyDescent="0.25">
      <c r="A388" t="s">
        <v>1453</v>
      </c>
      <c r="B388" t="s">
        <v>578</v>
      </c>
      <c r="C388" t="s">
        <v>1454</v>
      </c>
      <c r="D388" t="s">
        <v>1455</v>
      </c>
      <c r="E388" t="s">
        <v>14</v>
      </c>
      <c r="F388" t="s">
        <v>15</v>
      </c>
      <c r="G388">
        <v>15215</v>
      </c>
      <c r="H388" t="s">
        <v>21</v>
      </c>
      <c r="I388">
        <v>28</v>
      </c>
      <c r="J388">
        <v>0</v>
      </c>
      <c r="K388" t="s">
        <v>8131</v>
      </c>
    </row>
    <row r="389" spans="1:11" x14ac:dyDescent="0.25">
      <c r="A389" t="s">
        <v>1456</v>
      </c>
      <c r="B389" t="s">
        <v>1457</v>
      </c>
      <c r="C389" t="s">
        <v>1458</v>
      </c>
      <c r="D389" t="s">
        <v>1459</v>
      </c>
      <c r="E389" t="s">
        <v>14</v>
      </c>
      <c r="F389" t="s">
        <v>15</v>
      </c>
      <c r="G389">
        <v>15104</v>
      </c>
      <c r="H389" t="s">
        <v>92</v>
      </c>
      <c r="I389">
        <v>17</v>
      </c>
      <c r="J389">
        <v>1</v>
      </c>
      <c r="K389" t="s">
        <v>8131</v>
      </c>
    </row>
    <row r="390" spans="1:11" x14ac:dyDescent="0.25">
      <c r="A390" t="s">
        <v>1460</v>
      </c>
      <c r="B390" t="s">
        <v>65</v>
      </c>
      <c r="C390" t="s">
        <v>1461</v>
      </c>
      <c r="D390" t="s">
        <v>1462</v>
      </c>
      <c r="E390" t="s">
        <v>14</v>
      </c>
      <c r="F390" t="s">
        <v>15</v>
      </c>
      <c r="G390">
        <v>15234</v>
      </c>
      <c r="H390" t="s">
        <v>48</v>
      </c>
      <c r="I390">
        <v>12</v>
      </c>
      <c r="J390">
        <v>1</v>
      </c>
      <c r="K390" t="s">
        <v>8131</v>
      </c>
    </row>
    <row r="391" spans="1:11" x14ac:dyDescent="0.25">
      <c r="A391" t="s">
        <v>1463</v>
      </c>
      <c r="B391" t="s">
        <v>1026</v>
      </c>
      <c r="C391" t="s">
        <v>1464</v>
      </c>
      <c r="D391" t="s">
        <v>1465</v>
      </c>
      <c r="E391" t="s">
        <v>14</v>
      </c>
      <c r="F391" t="s">
        <v>15</v>
      </c>
      <c r="G391">
        <v>15203</v>
      </c>
      <c r="H391" t="s">
        <v>113</v>
      </c>
      <c r="I391">
        <v>40</v>
      </c>
      <c r="J391">
        <v>1</v>
      </c>
      <c r="K391" t="s">
        <v>8131</v>
      </c>
    </row>
    <row r="392" spans="1:11" x14ac:dyDescent="0.25">
      <c r="A392" t="s">
        <v>1466</v>
      </c>
      <c r="B392" t="s">
        <v>1467</v>
      </c>
      <c r="C392" t="s">
        <v>1468</v>
      </c>
      <c r="D392" t="s">
        <v>1469</v>
      </c>
      <c r="E392" t="s">
        <v>14</v>
      </c>
      <c r="F392" t="s">
        <v>15</v>
      </c>
      <c r="G392">
        <v>15213</v>
      </c>
      <c r="H392" t="s">
        <v>16</v>
      </c>
      <c r="I392">
        <v>4</v>
      </c>
      <c r="J392">
        <v>0</v>
      </c>
      <c r="K392" t="s">
        <v>8131</v>
      </c>
    </row>
    <row r="393" spans="1:11" x14ac:dyDescent="0.25">
      <c r="A393" t="s">
        <v>1470</v>
      </c>
      <c r="B393" t="s">
        <v>1471</v>
      </c>
      <c r="C393" t="s">
        <v>1472</v>
      </c>
      <c r="D393" t="s">
        <v>1473</v>
      </c>
      <c r="E393" t="s">
        <v>14</v>
      </c>
      <c r="F393" t="s">
        <v>15</v>
      </c>
      <c r="G393">
        <v>15206</v>
      </c>
      <c r="H393" t="s">
        <v>16</v>
      </c>
      <c r="I393">
        <v>219</v>
      </c>
      <c r="J393">
        <v>1</v>
      </c>
      <c r="K393" t="s">
        <v>8119</v>
      </c>
    </row>
    <row r="394" spans="1:11" x14ac:dyDescent="0.25">
      <c r="A394" t="s">
        <v>1474</v>
      </c>
      <c r="B394" t="s">
        <v>1475</v>
      </c>
      <c r="C394" t="s">
        <v>1476</v>
      </c>
      <c r="D394" t="s">
        <v>1477</v>
      </c>
      <c r="E394" t="s">
        <v>14</v>
      </c>
      <c r="F394" t="s">
        <v>15</v>
      </c>
      <c r="G394">
        <v>15275</v>
      </c>
      <c r="H394" t="s">
        <v>48</v>
      </c>
      <c r="I394">
        <v>53</v>
      </c>
      <c r="J394">
        <v>1</v>
      </c>
      <c r="K394" t="s">
        <v>8131</v>
      </c>
    </row>
    <row r="395" spans="1:11" x14ac:dyDescent="0.25">
      <c r="A395" t="s">
        <v>1478</v>
      </c>
      <c r="B395" t="s">
        <v>1479</v>
      </c>
      <c r="C395" t="s">
        <v>1480</v>
      </c>
      <c r="D395" t="s">
        <v>1481</v>
      </c>
      <c r="E395" t="s">
        <v>14</v>
      </c>
      <c r="F395" t="s">
        <v>15</v>
      </c>
      <c r="G395">
        <v>15211</v>
      </c>
      <c r="H395" t="s">
        <v>16</v>
      </c>
      <c r="I395">
        <v>34</v>
      </c>
      <c r="J395">
        <v>1</v>
      </c>
      <c r="K395" t="s">
        <v>8131</v>
      </c>
    </row>
    <row r="396" spans="1:11" x14ac:dyDescent="0.25">
      <c r="A396" t="s">
        <v>1482</v>
      </c>
      <c r="B396" t="s">
        <v>1483</v>
      </c>
      <c r="C396" t="s">
        <v>1484</v>
      </c>
      <c r="D396" t="s">
        <v>1485</v>
      </c>
      <c r="E396" t="s">
        <v>14</v>
      </c>
      <c r="F396" t="s">
        <v>15</v>
      </c>
      <c r="G396">
        <v>15226</v>
      </c>
      <c r="H396" t="s">
        <v>16</v>
      </c>
      <c r="I396">
        <v>8</v>
      </c>
      <c r="J396">
        <v>0</v>
      </c>
      <c r="K396" t="s">
        <v>8128</v>
      </c>
    </row>
    <row r="397" spans="1:11" x14ac:dyDescent="0.25">
      <c r="A397" t="s">
        <v>1486</v>
      </c>
      <c r="B397" t="s">
        <v>1487</v>
      </c>
      <c r="C397" t="s">
        <v>913</v>
      </c>
      <c r="D397" t="s">
        <v>1488</v>
      </c>
      <c r="E397" t="s">
        <v>14</v>
      </c>
      <c r="F397" t="s">
        <v>15</v>
      </c>
      <c r="G397">
        <v>15237</v>
      </c>
      <c r="H397" t="s">
        <v>43</v>
      </c>
      <c r="I397">
        <v>5</v>
      </c>
      <c r="J397">
        <v>1</v>
      </c>
      <c r="K397" t="s">
        <v>8122</v>
      </c>
    </row>
    <row r="398" spans="1:11" x14ac:dyDescent="0.25">
      <c r="A398" t="s">
        <v>1489</v>
      </c>
      <c r="B398" t="s">
        <v>1490</v>
      </c>
      <c r="C398" t="s">
        <v>1491</v>
      </c>
      <c r="D398" t="s">
        <v>1492</v>
      </c>
      <c r="E398" t="s">
        <v>14</v>
      </c>
      <c r="F398" t="s">
        <v>15</v>
      </c>
      <c r="G398">
        <v>15216</v>
      </c>
      <c r="H398" t="s">
        <v>16</v>
      </c>
      <c r="I398">
        <v>117</v>
      </c>
      <c r="J398">
        <v>1</v>
      </c>
      <c r="K398" t="s">
        <v>8131</v>
      </c>
    </row>
    <row r="399" spans="1:11" x14ac:dyDescent="0.25">
      <c r="A399" t="s">
        <v>1493</v>
      </c>
      <c r="B399" t="s">
        <v>1494</v>
      </c>
      <c r="C399" t="s">
        <v>1495</v>
      </c>
      <c r="D399" t="s">
        <v>1496</v>
      </c>
      <c r="E399" t="s">
        <v>14</v>
      </c>
      <c r="F399" t="s">
        <v>15</v>
      </c>
      <c r="G399">
        <v>15219</v>
      </c>
      <c r="H399" t="s">
        <v>21</v>
      </c>
      <c r="I399">
        <v>20</v>
      </c>
      <c r="J399">
        <v>0</v>
      </c>
      <c r="K399" t="s">
        <v>8122</v>
      </c>
    </row>
    <row r="400" spans="1:11" x14ac:dyDescent="0.25">
      <c r="A400" t="s">
        <v>1497</v>
      </c>
      <c r="B400" t="s">
        <v>282</v>
      </c>
      <c r="C400" t="s">
        <v>1498</v>
      </c>
      <c r="D400" t="s">
        <v>1499</v>
      </c>
      <c r="E400" t="s">
        <v>14</v>
      </c>
      <c r="F400" t="s">
        <v>15</v>
      </c>
      <c r="G400">
        <v>15210</v>
      </c>
      <c r="H400" t="s">
        <v>34</v>
      </c>
      <c r="I400">
        <v>4</v>
      </c>
      <c r="J400">
        <v>0</v>
      </c>
      <c r="K400" t="s">
        <v>8124</v>
      </c>
    </row>
    <row r="401" spans="1:11" x14ac:dyDescent="0.25">
      <c r="A401" t="s">
        <v>1500</v>
      </c>
      <c r="B401" t="s">
        <v>119</v>
      </c>
      <c r="C401" t="s">
        <v>1501</v>
      </c>
      <c r="D401" t="s">
        <v>1502</v>
      </c>
      <c r="E401" t="s">
        <v>14</v>
      </c>
      <c r="F401" t="s">
        <v>15</v>
      </c>
      <c r="G401">
        <v>15223</v>
      </c>
      <c r="H401" t="s">
        <v>16</v>
      </c>
      <c r="I401">
        <v>4</v>
      </c>
      <c r="J401">
        <v>1</v>
      </c>
      <c r="K401" t="s">
        <v>8131</v>
      </c>
    </row>
    <row r="402" spans="1:11" x14ac:dyDescent="0.25">
      <c r="A402" t="s">
        <v>1503</v>
      </c>
      <c r="B402" t="s">
        <v>1504</v>
      </c>
      <c r="C402" t="s">
        <v>1505</v>
      </c>
      <c r="D402" t="s">
        <v>1506</v>
      </c>
      <c r="E402" t="s">
        <v>14</v>
      </c>
      <c r="F402" t="s">
        <v>15</v>
      </c>
      <c r="G402">
        <v>15224</v>
      </c>
      <c r="H402" t="s">
        <v>16</v>
      </c>
      <c r="I402">
        <v>3</v>
      </c>
      <c r="J402">
        <v>1</v>
      </c>
      <c r="K402" t="s">
        <v>8131</v>
      </c>
    </row>
    <row r="403" spans="1:11" x14ac:dyDescent="0.25">
      <c r="A403" t="s">
        <v>1507</v>
      </c>
      <c r="B403" t="s">
        <v>1508</v>
      </c>
      <c r="C403" t="s">
        <v>1509</v>
      </c>
      <c r="D403" t="s">
        <v>1510</v>
      </c>
      <c r="E403" t="s">
        <v>14</v>
      </c>
      <c r="F403" t="s">
        <v>15</v>
      </c>
      <c r="G403">
        <v>15217</v>
      </c>
      <c r="H403" t="s">
        <v>43</v>
      </c>
      <c r="I403">
        <v>3</v>
      </c>
      <c r="J403">
        <v>0</v>
      </c>
      <c r="K403" t="s">
        <v>8131</v>
      </c>
    </row>
    <row r="404" spans="1:11" x14ac:dyDescent="0.25">
      <c r="A404" t="s">
        <v>1511</v>
      </c>
      <c r="B404" t="s">
        <v>298</v>
      </c>
      <c r="C404" t="s">
        <v>32</v>
      </c>
      <c r="D404" t="s">
        <v>1512</v>
      </c>
      <c r="E404" t="s">
        <v>14</v>
      </c>
      <c r="F404" t="s">
        <v>15</v>
      </c>
      <c r="G404">
        <v>15232</v>
      </c>
      <c r="H404" t="s">
        <v>34</v>
      </c>
      <c r="I404">
        <v>7</v>
      </c>
      <c r="J404">
        <v>1</v>
      </c>
      <c r="K404" t="s">
        <v>8131</v>
      </c>
    </row>
    <row r="405" spans="1:11" x14ac:dyDescent="0.25">
      <c r="A405" t="s">
        <v>1513</v>
      </c>
      <c r="B405" t="s">
        <v>319</v>
      </c>
      <c r="C405" t="s">
        <v>1514</v>
      </c>
      <c r="D405" t="s">
        <v>1515</v>
      </c>
      <c r="E405" t="s">
        <v>14</v>
      </c>
      <c r="F405" t="s">
        <v>15</v>
      </c>
      <c r="G405">
        <v>15222</v>
      </c>
      <c r="H405" t="s">
        <v>48</v>
      </c>
      <c r="I405">
        <v>8</v>
      </c>
      <c r="J405">
        <v>0</v>
      </c>
      <c r="K405" t="s">
        <v>8120</v>
      </c>
    </row>
    <row r="406" spans="1:11" x14ac:dyDescent="0.25">
      <c r="A406" t="s">
        <v>1516</v>
      </c>
      <c r="B406" t="s">
        <v>36</v>
      </c>
      <c r="C406" t="s">
        <v>1517</v>
      </c>
      <c r="D406" t="s">
        <v>1518</v>
      </c>
      <c r="E406" t="s">
        <v>14</v>
      </c>
      <c r="F406" t="s">
        <v>15</v>
      </c>
      <c r="G406">
        <v>15237</v>
      </c>
      <c r="H406" t="s">
        <v>48</v>
      </c>
      <c r="I406">
        <v>10</v>
      </c>
      <c r="J406">
        <v>0</v>
      </c>
      <c r="K406" t="s">
        <v>8131</v>
      </c>
    </row>
    <row r="407" spans="1:11" x14ac:dyDescent="0.25">
      <c r="A407" t="s">
        <v>1519</v>
      </c>
      <c r="B407" t="s">
        <v>1520</v>
      </c>
      <c r="C407" t="s">
        <v>1521</v>
      </c>
      <c r="D407" t="s">
        <v>1522</v>
      </c>
      <c r="E407" t="s">
        <v>14</v>
      </c>
      <c r="F407" t="s">
        <v>15</v>
      </c>
      <c r="G407">
        <v>15212</v>
      </c>
      <c r="H407" t="s">
        <v>21</v>
      </c>
      <c r="I407">
        <v>77</v>
      </c>
      <c r="J407">
        <v>1</v>
      </c>
      <c r="K407" t="s">
        <v>8131</v>
      </c>
    </row>
    <row r="408" spans="1:11" x14ac:dyDescent="0.25">
      <c r="A408" t="s">
        <v>1523</v>
      </c>
      <c r="B408" t="s">
        <v>1524</v>
      </c>
      <c r="C408" t="s">
        <v>1525</v>
      </c>
      <c r="D408" t="s">
        <v>1526</v>
      </c>
      <c r="E408" t="s">
        <v>14</v>
      </c>
      <c r="F408" t="s">
        <v>15</v>
      </c>
      <c r="G408">
        <v>15211</v>
      </c>
      <c r="H408" t="s">
        <v>34</v>
      </c>
      <c r="I408">
        <v>117</v>
      </c>
      <c r="J408">
        <v>1</v>
      </c>
      <c r="K408" t="s">
        <v>8131</v>
      </c>
    </row>
    <row r="409" spans="1:11" x14ac:dyDescent="0.25">
      <c r="A409" t="s">
        <v>1527</v>
      </c>
      <c r="B409" t="s">
        <v>963</v>
      </c>
      <c r="C409" t="s">
        <v>1528</v>
      </c>
      <c r="D409" t="s">
        <v>1529</v>
      </c>
      <c r="E409" t="s">
        <v>14</v>
      </c>
      <c r="F409" t="s">
        <v>15</v>
      </c>
      <c r="G409">
        <v>15217</v>
      </c>
      <c r="H409" t="s">
        <v>21</v>
      </c>
      <c r="I409">
        <v>5</v>
      </c>
      <c r="J409">
        <v>1</v>
      </c>
      <c r="K409" t="s">
        <v>8121</v>
      </c>
    </row>
    <row r="410" spans="1:11" x14ac:dyDescent="0.25">
      <c r="A410" t="s">
        <v>1530</v>
      </c>
      <c r="B410" t="s">
        <v>1531</v>
      </c>
      <c r="C410" t="s">
        <v>1532</v>
      </c>
      <c r="D410" t="s">
        <v>1533</v>
      </c>
      <c r="E410" t="s">
        <v>14</v>
      </c>
      <c r="F410" t="s">
        <v>15</v>
      </c>
      <c r="G410">
        <v>15205</v>
      </c>
      <c r="H410" t="s">
        <v>16</v>
      </c>
      <c r="I410">
        <v>7</v>
      </c>
      <c r="J410">
        <v>0</v>
      </c>
      <c r="K410" t="s">
        <v>8131</v>
      </c>
    </row>
    <row r="411" spans="1:11" x14ac:dyDescent="0.25">
      <c r="A411" t="s">
        <v>1534</v>
      </c>
      <c r="B411" t="s">
        <v>1535</v>
      </c>
      <c r="C411" t="s">
        <v>1536</v>
      </c>
      <c r="D411" t="s">
        <v>1537</v>
      </c>
      <c r="E411" t="s">
        <v>14</v>
      </c>
      <c r="F411" t="s">
        <v>15</v>
      </c>
      <c r="G411">
        <v>15213</v>
      </c>
      <c r="H411" t="s">
        <v>34</v>
      </c>
      <c r="I411">
        <v>42</v>
      </c>
      <c r="J411">
        <v>1</v>
      </c>
      <c r="K411" t="s">
        <v>8120</v>
      </c>
    </row>
    <row r="412" spans="1:11" x14ac:dyDescent="0.25">
      <c r="A412" t="s">
        <v>1538</v>
      </c>
      <c r="B412" t="s">
        <v>1539</v>
      </c>
      <c r="C412" t="s">
        <v>1540</v>
      </c>
      <c r="D412" t="s">
        <v>1541</v>
      </c>
      <c r="E412" t="s">
        <v>14</v>
      </c>
      <c r="F412" t="s">
        <v>15</v>
      </c>
      <c r="G412">
        <v>15212</v>
      </c>
      <c r="H412" t="s">
        <v>16</v>
      </c>
      <c r="I412">
        <v>7</v>
      </c>
      <c r="J412">
        <v>1</v>
      </c>
      <c r="K412" t="s">
        <v>8131</v>
      </c>
    </row>
    <row r="413" spans="1:11" x14ac:dyDescent="0.25">
      <c r="A413" t="s">
        <v>1542</v>
      </c>
      <c r="B413" t="s">
        <v>1543</v>
      </c>
      <c r="C413" t="s">
        <v>1544</v>
      </c>
      <c r="D413" t="s">
        <v>1545</v>
      </c>
      <c r="E413" t="s">
        <v>14</v>
      </c>
      <c r="F413" t="s">
        <v>15</v>
      </c>
      <c r="G413">
        <v>15207</v>
      </c>
      <c r="H413" t="s">
        <v>48</v>
      </c>
      <c r="I413">
        <v>9</v>
      </c>
      <c r="J413">
        <v>1</v>
      </c>
      <c r="K413" t="s">
        <v>8131</v>
      </c>
    </row>
    <row r="414" spans="1:11" x14ac:dyDescent="0.25">
      <c r="A414" t="s">
        <v>1546</v>
      </c>
      <c r="B414" t="s">
        <v>1547</v>
      </c>
      <c r="C414" t="s">
        <v>1548</v>
      </c>
      <c r="D414" t="s">
        <v>1549</v>
      </c>
      <c r="E414" t="s">
        <v>14</v>
      </c>
      <c r="F414" t="s">
        <v>15</v>
      </c>
      <c r="G414">
        <v>15217</v>
      </c>
      <c r="H414" t="s">
        <v>16</v>
      </c>
      <c r="I414">
        <v>92</v>
      </c>
      <c r="J414">
        <v>1</v>
      </c>
      <c r="K414" t="s">
        <v>8131</v>
      </c>
    </row>
    <row r="415" spans="1:11" x14ac:dyDescent="0.25">
      <c r="A415" t="s">
        <v>1550</v>
      </c>
      <c r="B415" t="s">
        <v>36</v>
      </c>
      <c r="C415" t="s">
        <v>1551</v>
      </c>
      <c r="D415" t="s">
        <v>1552</v>
      </c>
      <c r="E415" t="s">
        <v>14</v>
      </c>
      <c r="F415" t="s">
        <v>15</v>
      </c>
      <c r="G415">
        <v>15239</v>
      </c>
      <c r="H415" t="s">
        <v>48</v>
      </c>
      <c r="I415">
        <v>7</v>
      </c>
      <c r="J415">
        <v>1</v>
      </c>
      <c r="K415" t="s">
        <v>8131</v>
      </c>
    </row>
    <row r="416" spans="1:11" x14ac:dyDescent="0.25">
      <c r="A416" t="s">
        <v>1553</v>
      </c>
      <c r="B416" t="s">
        <v>1554</v>
      </c>
      <c r="C416" t="s">
        <v>1001</v>
      </c>
      <c r="D416" t="s">
        <v>1555</v>
      </c>
      <c r="E416" t="s">
        <v>14</v>
      </c>
      <c r="F416" t="s">
        <v>15</v>
      </c>
      <c r="G416">
        <v>15236</v>
      </c>
      <c r="H416" t="s">
        <v>34</v>
      </c>
      <c r="I416">
        <v>11</v>
      </c>
      <c r="J416">
        <v>1</v>
      </c>
      <c r="K416" t="s">
        <v>8131</v>
      </c>
    </row>
    <row r="417" spans="1:11" x14ac:dyDescent="0.25">
      <c r="A417" t="s">
        <v>1556</v>
      </c>
      <c r="B417" t="s">
        <v>65</v>
      </c>
      <c r="C417" t="s">
        <v>1557</v>
      </c>
      <c r="D417" t="s">
        <v>1558</v>
      </c>
      <c r="E417" t="s">
        <v>14</v>
      </c>
      <c r="F417" t="s">
        <v>15</v>
      </c>
      <c r="G417">
        <v>15203</v>
      </c>
      <c r="H417" t="s">
        <v>34</v>
      </c>
      <c r="I417">
        <v>23</v>
      </c>
      <c r="J417">
        <v>1</v>
      </c>
      <c r="K417" t="s">
        <v>8131</v>
      </c>
    </row>
    <row r="418" spans="1:11" x14ac:dyDescent="0.25">
      <c r="A418" t="s">
        <v>1559</v>
      </c>
      <c r="B418" t="s">
        <v>1560</v>
      </c>
      <c r="C418" t="s">
        <v>1561</v>
      </c>
      <c r="D418" t="s">
        <v>1562</v>
      </c>
      <c r="E418" t="s">
        <v>14</v>
      </c>
      <c r="F418" t="s">
        <v>15</v>
      </c>
      <c r="G418">
        <v>15234</v>
      </c>
      <c r="H418" t="s">
        <v>16</v>
      </c>
      <c r="I418">
        <v>26</v>
      </c>
      <c r="J418">
        <v>1</v>
      </c>
      <c r="K418" t="s">
        <v>8120</v>
      </c>
    </row>
    <row r="419" spans="1:11" x14ac:dyDescent="0.25">
      <c r="A419" t="s">
        <v>1563</v>
      </c>
      <c r="B419" t="s">
        <v>282</v>
      </c>
      <c r="C419" t="s">
        <v>1564</v>
      </c>
      <c r="D419" t="s">
        <v>1565</v>
      </c>
      <c r="E419" t="s">
        <v>14</v>
      </c>
      <c r="F419" t="s">
        <v>15</v>
      </c>
      <c r="G419">
        <v>15222</v>
      </c>
      <c r="H419" t="s">
        <v>21</v>
      </c>
      <c r="I419">
        <v>7</v>
      </c>
      <c r="J419">
        <v>0</v>
      </c>
      <c r="K419" t="s">
        <v>8124</v>
      </c>
    </row>
    <row r="420" spans="1:11" x14ac:dyDescent="0.25">
      <c r="A420" t="s">
        <v>1566</v>
      </c>
      <c r="B420" t="s">
        <v>1567</v>
      </c>
      <c r="C420" t="s">
        <v>1568</v>
      </c>
      <c r="D420" t="s">
        <v>1569</v>
      </c>
      <c r="E420" t="s">
        <v>14</v>
      </c>
      <c r="F420" t="s">
        <v>15</v>
      </c>
      <c r="G420">
        <v>15211</v>
      </c>
      <c r="H420" t="s">
        <v>48</v>
      </c>
      <c r="I420">
        <v>60</v>
      </c>
      <c r="J420">
        <v>0</v>
      </c>
      <c r="K420" t="s">
        <v>8120</v>
      </c>
    </row>
    <row r="421" spans="1:11" x14ac:dyDescent="0.25">
      <c r="A421" t="s">
        <v>1570</v>
      </c>
      <c r="B421" t="s">
        <v>1571</v>
      </c>
      <c r="C421" t="s">
        <v>1572</v>
      </c>
      <c r="D421" t="s">
        <v>1573</v>
      </c>
      <c r="E421" t="s">
        <v>14</v>
      </c>
      <c r="F421" t="s">
        <v>15</v>
      </c>
      <c r="G421">
        <v>15219</v>
      </c>
      <c r="H421" t="s">
        <v>34</v>
      </c>
      <c r="I421">
        <v>47</v>
      </c>
      <c r="J421">
        <v>1</v>
      </c>
      <c r="K421" t="s">
        <v>8131</v>
      </c>
    </row>
    <row r="422" spans="1:11" x14ac:dyDescent="0.25">
      <c r="A422" t="s">
        <v>1574</v>
      </c>
      <c r="B422" t="s">
        <v>267</v>
      </c>
      <c r="C422" t="s">
        <v>1575</v>
      </c>
      <c r="D422" t="s">
        <v>1576</v>
      </c>
      <c r="E422" t="s">
        <v>14</v>
      </c>
      <c r="F422" t="s">
        <v>15</v>
      </c>
      <c r="G422">
        <v>15238</v>
      </c>
      <c r="H422" t="s">
        <v>43</v>
      </c>
      <c r="I422">
        <v>6</v>
      </c>
      <c r="J422">
        <v>0</v>
      </c>
      <c r="K422" t="s">
        <v>8131</v>
      </c>
    </row>
    <row r="423" spans="1:11" x14ac:dyDescent="0.25">
      <c r="A423" t="s">
        <v>1577</v>
      </c>
      <c r="B423" t="s">
        <v>1578</v>
      </c>
      <c r="C423" t="s">
        <v>1579</v>
      </c>
      <c r="D423" t="s">
        <v>1580</v>
      </c>
      <c r="E423" t="s">
        <v>14</v>
      </c>
      <c r="F423" t="s">
        <v>15</v>
      </c>
      <c r="G423">
        <v>15222</v>
      </c>
      <c r="H423" t="s">
        <v>34</v>
      </c>
      <c r="I423">
        <v>18</v>
      </c>
      <c r="J423">
        <v>0</v>
      </c>
      <c r="K423" t="s">
        <v>8120</v>
      </c>
    </row>
    <row r="424" spans="1:11" x14ac:dyDescent="0.25">
      <c r="A424" t="s">
        <v>1581</v>
      </c>
      <c r="B424" t="s">
        <v>536</v>
      </c>
      <c r="C424" t="s">
        <v>1582</v>
      </c>
      <c r="D424" t="s">
        <v>1583</v>
      </c>
      <c r="E424" t="s">
        <v>14</v>
      </c>
      <c r="F424" t="s">
        <v>15</v>
      </c>
      <c r="G424">
        <v>15219</v>
      </c>
      <c r="H424" t="s">
        <v>34</v>
      </c>
      <c r="I424">
        <v>20</v>
      </c>
      <c r="J424">
        <v>1</v>
      </c>
      <c r="K424" t="s">
        <v>8131</v>
      </c>
    </row>
    <row r="425" spans="1:11" x14ac:dyDescent="0.25">
      <c r="A425" t="s">
        <v>1584</v>
      </c>
      <c r="B425" t="s">
        <v>1585</v>
      </c>
      <c r="C425" t="s">
        <v>1586</v>
      </c>
      <c r="D425" t="s">
        <v>1587</v>
      </c>
      <c r="E425" t="s">
        <v>14</v>
      </c>
      <c r="F425" t="s">
        <v>15</v>
      </c>
      <c r="G425">
        <v>15213</v>
      </c>
      <c r="H425" t="s">
        <v>48</v>
      </c>
      <c r="I425">
        <v>222</v>
      </c>
      <c r="J425">
        <v>1</v>
      </c>
      <c r="K425" t="s">
        <v>8131</v>
      </c>
    </row>
    <row r="426" spans="1:11" x14ac:dyDescent="0.25">
      <c r="A426" t="s">
        <v>1588</v>
      </c>
      <c r="B426" t="s">
        <v>1589</v>
      </c>
      <c r="C426" t="s">
        <v>1590</v>
      </c>
      <c r="D426" t="s">
        <v>1591</v>
      </c>
      <c r="E426" t="s">
        <v>14</v>
      </c>
      <c r="F426" t="s">
        <v>15</v>
      </c>
      <c r="G426">
        <v>15201</v>
      </c>
      <c r="H426" t="s">
        <v>21</v>
      </c>
      <c r="I426">
        <v>397</v>
      </c>
      <c r="J426">
        <v>1</v>
      </c>
      <c r="K426" t="s">
        <v>8125</v>
      </c>
    </row>
    <row r="427" spans="1:11" x14ac:dyDescent="0.25">
      <c r="A427" t="s">
        <v>1592</v>
      </c>
      <c r="B427" t="s">
        <v>1593</v>
      </c>
      <c r="C427" t="s">
        <v>1594</v>
      </c>
      <c r="D427" t="s">
        <v>1595</v>
      </c>
      <c r="E427" t="s">
        <v>14</v>
      </c>
      <c r="F427" t="s">
        <v>15</v>
      </c>
      <c r="G427">
        <v>15222</v>
      </c>
      <c r="H427" t="s">
        <v>48</v>
      </c>
      <c r="I427">
        <v>47</v>
      </c>
      <c r="J427">
        <v>1</v>
      </c>
      <c r="K427" t="s">
        <v>8132</v>
      </c>
    </row>
    <row r="428" spans="1:11" x14ac:dyDescent="0.25">
      <c r="A428" t="s">
        <v>1596</v>
      </c>
      <c r="B428" t="s">
        <v>1597</v>
      </c>
      <c r="C428" t="s">
        <v>1598</v>
      </c>
      <c r="D428" t="s">
        <v>1599</v>
      </c>
      <c r="E428" t="s">
        <v>14</v>
      </c>
      <c r="F428" t="s">
        <v>15</v>
      </c>
      <c r="G428">
        <v>15215</v>
      </c>
      <c r="H428" t="s">
        <v>92</v>
      </c>
      <c r="I428">
        <v>4</v>
      </c>
      <c r="J428">
        <v>1</v>
      </c>
      <c r="K428" t="s">
        <v>8131</v>
      </c>
    </row>
    <row r="429" spans="1:11" x14ac:dyDescent="0.25">
      <c r="A429" t="s">
        <v>1600</v>
      </c>
      <c r="B429" t="s">
        <v>1384</v>
      </c>
      <c r="C429" t="s">
        <v>1601</v>
      </c>
      <c r="D429" t="s">
        <v>1602</v>
      </c>
      <c r="E429" t="s">
        <v>14</v>
      </c>
      <c r="F429" t="s">
        <v>15</v>
      </c>
      <c r="G429">
        <v>15221</v>
      </c>
      <c r="H429" t="s">
        <v>34</v>
      </c>
      <c r="I429">
        <v>12</v>
      </c>
      <c r="J429">
        <v>0</v>
      </c>
      <c r="K429" t="s">
        <v>8131</v>
      </c>
    </row>
    <row r="430" spans="1:11" x14ac:dyDescent="0.25">
      <c r="A430" t="s">
        <v>1603</v>
      </c>
      <c r="B430" t="s">
        <v>36</v>
      </c>
      <c r="C430" t="s">
        <v>128</v>
      </c>
      <c r="D430" t="s">
        <v>1604</v>
      </c>
      <c r="E430" t="s">
        <v>14</v>
      </c>
      <c r="F430" t="s">
        <v>15</v>
      </c>
      <c r="G430">
        <v>15222</v>
      </c>
      <c r="H430" t="s">
        <v>16</v>
      </c>
      <c r="I430">
        <v>36</v>
      </c>
      <c r="J430">
        <v>1</v>
      </c>
      <c r="K430" t="s">
        <v>8131</v>
      </c>
    </row>
    <row r="431" spans="1:11" x14ac:dyDescent="0.25">
      <c r="A431" t="s">
        <v>1605</v>
      </c>
      <c r="B431" t="s">
        <v>1606</v>
      </c>
      <c r="C431" t="s">
        <v>1607</v>
      </c>
      <c r="D431" t="s">
        <v>1608</v>
      </c>
      <c r="E431" t="s">
        <v>14</v>
      </c>
      <c r="F431" t="s">
        <v>15</v>
      </c>
      <c r="G431">
        <v>15213</v>
      </c>
      <c r="H431" t="s">
        <v>43</v>
      </c>
      <c r="I431">
        <v>112</v>
      </c>
      <c r="J431">
        <v>1</v>
      </c>
      <c r="K431" t="s">
        <v>8124</v>
      </c>
    </row>
    <row r="432" spans="1:11" x14ac:dyDescent="0.25">
      <c r="A432" t="s">
        <v>1609</v>
      </c>
      <c r="B432" t="s">
        <v>267</v>
      </c>
      <c r="C432" t="s">
        <v>1610</v>
      </c>
      <c r="D432" t="s">
        <v>1611</v>
      </c>
      <c r="E432" t="s">
        <v>14</v>
      </c>
      <c r="F432" t="s">
        <v>15</v>
      </c>
      <c r="G432">
        <v>15219</v>
      </c>
      <c r="H432" t="s">
        <v>48</v>
      </c>
      <c r="I432">
        <v>31</v>
      </c>
      <c r="J432">
        <v>1</v>
      </c>
      <c r="K432" t="s">
        <v>8131</v>
      </c>
    </row>
    <row r="433" spans="1:11" x14ac:dyDescent="0.25">
      <c r="A433" t="s">
        <v>1612</v>
      </c>
      <c r="B433" t="s">
        <v>1613</v>
      </c>
      <c r="C433" t="s">
        <v>1614</v>
      </c>
      <c r="D433" t="s">
        <v>1615</v>
      </c>
      <c r="E433" t="s">
        <v>14</v>
      </c>
      <c r="F433" t="s">
        <v>15</v>
      </c>
      <c r="G433">
        <v>15217</v>
      </c>
      <c r="H433" t="s">
        <v>48</v>
      </c>
      <c r="I433">
        <v>27</v>
      </c>
      <c r="J433">
        <v>0</v>
      </c>
      <c r="K433" t="s">
        <v>8120</v>
      </c>
    </row>
    <row r="434" spans="1:11" x14ac:dyDescent="0.25">
      <c r="A434" t="s">
        <v>1616</v>
      </c>
      <c r="B434" t="s">
        <v>1617</v>
      </c>
      <c r="C434" t="s">
        <v>1618</v>
      </c>
      <c r="D434" t="s">
        <v>1619</v>
      </c>
      <c r="E434" t="s">
        <v>14</v>
      </c>
      <c r="F434" t="s">
        <v>15</v>
      </c>
      <c r="G434">
        <v>15216</v>
      </c>
      <c r="H434" t="s">
        <v>34</v>
      </c>
      <c r="I434">
        <v>4</v>
      </c>
      <c r="J434">
        <v>1</v>
      </c>
      <c r="K434" t="s">
        <v>8131</v>
      </c>
    </row>
    <row r="435" spans="1:11" x14ac:dyDescent="0.25">
      <c r="A435" t="s">
        <v>1620</v>
      </c>
      <c r="B435" t="s">
        <v>1621</v>
      </c>
      <c r="C435" t="s">
        <v>1622</v>
      </c>
      <c r="D435" t="s">
        <v>1623</v>
      </c>
      <c r="E435" t="s">
        <v>14</v>
      </c>
      <c r="F435" t="s">
        <v>15</v>
      </c>
      <c r="G435">
        <v>15212</v>
      </c>
      <c r="H435" t="s">
        <v>16</v>
      </c>
      <c r="I435">
        <v>29</v>
      </c>
      <c r="J435">
        <v>0</v>
      </c>
      <c r="K435" t="s">
        <v>8118</v>
      </c>
    </row>
    <row r="436" spans="1:11" x14ac:dyDescent="0.25">
      <c r="A436" t="s">
        <v>1624</v>
      </c>
      <c r="B436" t="s">
        <v>1625</v>
      </c>
      <c r="C436" t="s">
        <v>1150</v>
      </c>
      <c r="D436" t="s">
        <v>1626</v>
      </c>
      <c r="E436" t="s">
        <v>14</v>
      </c>
      <c r="F436" t="s">
        <v>15</v>
      </c>
      <c r="G436">
        <v>15237</v>
      </c>
      <c r="H436" t="s">
        <v>43</v>
      </c>
      <c r="I436">
        <v>7</v>
      </c>
      <c r="J436">
        <v>1</v>
      </c>
      <c r="K436" t="s">
        <v>8131</v>
      </c>
    </row>
    <row r="437" spans="1:11" x14ac:dyDescent="0.25">
      <c r="A437" t="s">
        <v>1627</v>
      </c>
      <c r="B437" t="s">
        <v>1628</v>
      </c>
      <c r="C437" t="s">
        <v>1629</v>
      </c>
      <c r="D437" t="s">
        <v>1630</v>
      </c>
      <c r="E437" t="s">
        <v>14</v>
      </c>
      <c r="F437" t="s">
        <v>15</v>
      </c>
      <c r="G437">
        <v>15215</v>
      </c>
      <c r="H437" t="s">
        <v>16</v>
      </c>
      <c r="I437">
        <v>17</v>
      </c>
      <c r="J437">
        <v>1</v>
      </c>
      <c r="K437" t="s">
        <v>8120</v>
      </c>
    </row>
    <row r="438" spans="1:11" x14ac:dyDescent="0.25">
      <c r="A438" t="s">
        <v>1631</v>
      </c>
      <c r="B438" t="s">
        <v>1632</v>
      </c>
      <c r="C438" t="s">
        <v>1633</v>
      </c>
      <c r="D438" t="s">
        <v>1634</v>
      </c>
      <c r="E438" t="s">
        <v>14</v>
      </c>
      <c r="F438" t="s">
        <v>15</v>
      </c>
      <c r="G438">
        <v>15222</v>
      </c>
      <c r="H438" t="s">
        <v>21</v>
      </c>
      <c r="I438">
        <v>530</v>
      </c>
      <c r="J438">
        <v>1</v>
      </c>
      <c r="K438" t="s">
        <v>8131</v>
      </c>
    </row>
    <row r="439" spans="1:11" x14ac:dyDescent="0.25">
      <c r="A439" t="s">
        <v>1635</v>
      </c>
      <c r="B439" t="s">
        <v>1636</v>
      </c>
      <c r="C439" t="s">
        <v>1637</v>
      </c>
      <c r="D439" t="s">
        <v>1638</v>
      </c>
      <c r="E439" t="s">
        <v>14</v>
      </c>
      <c r="F439" t="s">
        <v>15</v>
      </c>
      <c r="G439">
        <v>15216</v>
      </c>
      <c r="H439" t="s">
        <v>48</v>
      </c>
      <c r="I439">
        <v>64</v>
      </c>
      <c r="J439">
        <v>0</v>
      </c>
      <c r="K439" t="s">
        <v>8131</v>
      </c>
    </row>
    <row r="440" spans="1:11" x14ac:dyDescent="0.25">
      <c r="A440" t="s">
        <v>1639</v>
      </c>
      <c r="B440" t="s">
        <v>1640</v>
      </c>
      <c r="C440" t="s">
        <v>1641</v>
      </c>
      <c r="D440" t="s">
        <v>1642</v>
      </c>
      <c r="E440" t="s">
        <v>14</v>
      </c>
      <c r="F440" t="s">
        <v>15</v>
      </c>
      <c r="G440">
        <v>15222</v>
      </c>
      <c r="H440" t="s">
        <v>48</v>
      </c>
      <c r="I440">
        <v>70</v>
      </c>
      <c r="J440">
        <v>0</v>
      </c>
      <c r="K440" t="s">
        <v>8131</v>
      </c>
    </row>
    <row r="441" spans="1:11" x14ac:dyDescent="0.25">
      <c r="A441" t="s">
        <v>1643</v>
      </c>
      <c r="B441" t="s">
        <v>1644</v>
      </c>
      <c r="C441" t="s">
        <v>1645</v>
      </c>
      <c r="D441" t="s">
        <v>1646</v>
      </c>
      <c r="E441" t="s">
        <v>14</v>
      </c>
      <c r="F441" t="s">
        <v>15</v>
      </c>
      <c r="G441">
        <v>15224</v>
      </c>
      <c r="H441" t="s">
        <v>48</v>
      </c>
      <c r="I441">
        <v>23</v>
      </c>
      <c r="J441">
        <v>1</v>
      </c>
      <c r="K441" t="s">
        <v>8131</v>
      </c>
    </row>
    <row r="442" spans="1:11" x14ac:dyDescent="0.25">
      <c r="A442" t="s">
        <v>1647</v>
      </c>
      <c r="B442" t="s">
        <v>1648</v>
      </c>
      <c r="C442" t="s">
        <v>1649</v>
      </c>
      <c r="D442" t="s">
        <v>1650</v>
      </c>
      <c r="E442" t="s">
        <v>14</v>
      </c>
      <c r="F442" t="s">
        <v>15</v>
      </c>
      <c r="G442">
        <v>15232</v>
      </c>
      <c r="H442" t="s">
        <v>16</v>
      </c>
      <c r="I442">
        <v>318</v>
      </c>
      <c r="J442">
        <v>1</v>
      </c>
      <c r="K442" t="s">
        <v>8120</v>
      </c>
    </row>
    <row r="443" spans="1:11" x14ac:dyDescent="0.25">
      <c r="A443" t="s">
        <v>1651</v>
      </c>
      <c r="B443" t="s">
        <v>65</v>
      </c>
      <c r="C443" t="s">
        <v>1652</v>
      </c>
      <c r="D443" t="s">
        <v>1653</v>
      </c>
      <c r="E443" t="s">
        <v>14</v>
      </c>
      <c r="F443" t="s">
        <v>15</v>
      </c>
      <c r="G443">
        <v>15227</v>
      </c>
      <c r="H443" t="s">
        <v>48</v>
      </c>
      <c r="I443">
        <v>19</v>
      </c>
      <c r="J443">
        <v>1</v>
      </c>
      <c r="K443" t="s">
        <v>8131</v>
      </c>
    </row>
    <row r="444" spans="1:11" x14ac:dyDescent="0.25">
      <c r="A444" t="s">
        <v>1654</v>
      </c>
      <c r="B444" t="s">
        <v>1655</v>
      </c>
      <c r="C444" t="s">
        <v>1656</v>
      </c>
      <c r="D444" t="s">
        <v>1657</v>
      </c>
      <c r="E444" t="s">
        <v>14</v>
      </c>
      <c r="F444" t="s">
        <v>15</v>
      </c>
      <c r="G444">
        <v>15222</v>
      </c>
      <c r="H444" t="s">
        <v>48</v>
      </c>
      <c r="I444">
        <v>47</v>
      </c>
      <c r="J444">
        <v>1</v>
      </c>
      <c r="K444" t="s">
        <v>8131</v>
      </c>
    </row>
    <row r="445" spans="1:11" x14ac:dyDescent="0.25">
      <c r="A445" t="s">
        <v>1658</v>
      </c>
      <c r="B445" t="s">
        <v>377</v>
      </c>
      <c r="C445" t="s">
        <v>1659</v>
      </c>
      <c r="D445" t="s">
        <v>1660</v>
      </c>
      <c r="E445" t="s">
        <v>14</v>
      </c>
      <c r="F445" t="s">
        <v>15</v>
      </c>
      <c r="G445">
        <v>15201</v>
      </c>
      <c r="H445" t="s">
        <v>34</v>
      </c>
      <c r="I445">
        <v>8</v>
      </c>
      <c r="J445">
        <v>0</v>
      </c>
      <c r="K445" t="s">
        <v>8124</v>
      </c>
    </row>
    <row r="446" spans="1:11" x14ac:dyDescent="0.25">
      <c r="A446" t="s">
        <v>1661</v>
      </c>
      <c r="B446" t="s">
        <v>227</v>
      </c>
      <c r="C446" t="s">
        <v>228</v>
      </c>
      <c r="D446" t="s">
        <v>1662</v>
      </c>
      <c r="E446" t="s">
        <v>14</v>
      </c>
      <c r="F446" t="s">
        <v>15</v>
      </c>
      <c r="G446">
        <v>15220</v>
      </c>
      <c r="H446" t="s">
        <v>1028</v>
      </c>
      <c r="I446">
        <v>18</v>
      </c>
      <c r="J446">
        <v>1</v>
      </c>
      <c r="K446" t="s">
        <v>8131</v>
      </c>
    </row>
    <row r="447" spans="1:11" x14ac:dyDescent="0.25">
      <c r="A447" t="s">
        <v>1663</v>
      </c>
      <c r="B447" t="s">
        <v>1664</v>
      </c>
      <c r="C447" t="s">
        <v>1665</v>
      </c>
      <c r="D447" t="s">
        <v>1666</v>
      </c>
      <c r="E447" t="s">
        <v>14</v>
      </c>
      <c r="F447" t="s">
        <v>15</v>
      </c>
      <c r="G447">
        <v>15222</v>
      </c>
      <c r="H447" t="s">
        <v>43</v>
      </c>
      <c r="I447">
        <v>10</v>
      </c>
      <c r="J447">
        <v>0</v>
      </c>
      <c r="K447" t="s">
        <v>8131</v>
      </c>
    </row>
    <row r="448" spans="1:11" x14ac:dyDescent="0.25">
      <c r="A448" t="s">
        <v>1667</v>
      </c>
      <c r="B448" t="s">
        <v>1668</v>
      </c>
      <c r="C448" t="s">
        <v>1669</v>
      </c>
      <c r="D448" t="s">
        <v>1670</v>
      </c>
      <c r="E448" t="s">
        <v>14</v>
      </c>
      <c r="F448" t="s">
        <v>15</v>
      </c>
      <c r="G448">
        <v>15222</v>
      </c>
      <c r="H448" t="s">
        <v>21</v>
      </c>
      <c r="I448">
        <v>1133</v>
      </c>
      <c r="J448">
        <v>1</v>
      </c>
      <c r="K448" t="s">
        <v>8122</v>
      </c>
    </row>
    <row r="449" spans="1:11" x14ac:dyDescent="0.25">
      <c r="A449" t="s">
        <v>1671</v>
      </c>
      <c r="B449" t="s">
        <v>1672</v>
      </c>
      <c r="C449" t="s">
        <v>1673</v>
      </c>
      <c r="D449" t="s">
        <v>1674</v>
      </c>
      <c r="E449" t="s">
        <v>14</v>
      </c>
      <c r="F449" t="s">
        <v>15</v>
      </c>
      <c r="G449">
        <v>15210</v>
      </c>
      <c r="H449" t="s">
        <v>21</v>
      </c>
      <c r="I449">
        <v>103</v>
      </c>
      <c r="J449">
        <v>1</v>
      </c>
      <c r="K449" t="s">
        <v>8133</v>
      </c>
    </row>
    <row r="450" spans="1:11" x14ac:dyDescent="0.25">
      <c r="A450" t="s">
        <v>1675</v>
      </c>
      <c r="B450" t="s">
        <v>1676</v>
      </c>
      <c r="C450" t="s">
        <v>1677</v>
      </c>
      <c r="D450" t="s">
        <v>1678</v>
      </c>
      <c r="E450" t="s">
        <v>14</v>
      </c>
      <c r="F450" t="s">
        <v>15</v>
      </c>
      <c r="G450">
        <v>15218</v>
      </c>
      <c r="H450" t="s">
        <v>21</v>
      </c>
      <c r="I450">
        <v>16</v>
      </c>
      <c r="J450">
        <v>1</v>
      </c>
      <c r="K450" t="s">
        <v>8132</v>
      </c>
    </row>
    <row r="451" spans="1:11" x14ac:dyDescent="0.25">
      <c r="A451" t="s">
        <v>1679</v>
      </c>
      <c r="B451" t="s">
        <v>1680</v>
      </c>
      <c r="C451" t="s">
        <v>1681</v>
      </c>
      <c r="D451" t="s">
        <v>1682</v>
      </c>
      <c r="E451" t="s">
        <v>14</v>
      </c>
      <c r="F451" t="s">
        <v>15</v>
      </c>
      <c r="G451">
        <v>15236</v>
      </c>
      <c r="H451" t="s">
        <v>34</v>
      </c>
      <c r="I451">
        <v>46</v>
      </c>
      <c r="J451">
        <v>1</v>
      </c>
      <c r="K451" t="s">
        <v>8131</v>
      </c>
    </row>
    <row r="452" spans="1:11" x14ac:dyDescent="0.25">
      <c r="A452" t="s">
        <v>1683</v>
      </c>
      <c r="B452" t="s">
        <v>1684</v>
      </c>
      <c r="C452" t="s">
        <v>1685</v>
      </c>
      <c r="D452" t="s">
        <v>1686</v>
      </c>
      <c r="E452" t="s">
        <v>14</v>
      </c>
      <c r="F452" t="s">
        <v>15</v>
      </c>
      <c r="G452">
        <v>15237</v>
      </c>
      <c r="H452" t="s">
        <v>21</v>
      </c>
      <c r="I452">
        <v>7</v>
      </c>
      <c r="J452">
        <v>1</v>
      </c>
      <c r="K452" t="s">
        <v>8132</v>
      </c>
    </row>
    <row r="453" spans="1:11" x14ac:dyDescent="0.25">
      <c r="A453" t="s">
        <v>1687</v>
      </c>
      <c r="B453" t="s">
        <v>1688</v>
      </c>
      <c r="C453" t="s">
        <v>1689</v>
      </c>
      <c r="D453" t="s">
        <v>1690</v>
      </c>
      <c r="E453" t="s">
        <v>14</v>
      </c>
      <c r="F453" t="s">
        <v>15</v>
      </c>
      <c r="G453">
        <v>15203</v>
      </c>
      <c r="H453" t="s">
        <v>21</v>
      </c>
      <c r="I453">
        <v>366</v>
      </c>
      <c r="J453">
        <v>1</v>
      </c>
      <c r="K453" t="s">
        <v>8132</v>
      </c>
    </row>
    <row r="454" spans="1:11" x14ac:dyDescent="0.25">
      <c r="A454" t="s">
        <v>1691</v>
      </c>
      <c r="B454" t="s">
        <v>1692</v>
      </c>
      <c r="C454" t="s">
        <v>1693</v>
      </c>
      <c r="D454" t="s">
        <v>1694</v>
      </c>
      <c r="E454" t="s">
        <v>14</v>
      </c>
      <c r="F454" t="s">
        <v>15</v>
      </c>
      <c r="G454">
        <v>15205</v>
      </c>
      <c r="H454" t="s">
        <v>16</v>
      </c>
      <c r="I454">
        <v>489</v>
      </c>
      <c r="J454">
        <v>1</v>
      </c>
      <c r="K454" t="s">
        <v>8123</v>
      </c>
    </row>
    <row r="455" spans="1:11" x14ac:dyDescent="0.25">
      <c r="A455" t="s">
        <v>1695</v>
      </c>
      <c r="B455" t="s">
        <v>1696</v>
      </c>
      <c r="C455" t="s">
        <v>1150</v>
      </c>
      <c r="D455" t="s">
        <v>1697</v>
      </c>
      <c r="E455" t="s">
        <v>14</v>
      </c>
      <c r="F455" t="s">
        <v>15</v>
      </c>
      <c r="G455">
        <v>15238</v>
      </c>
      <c r="H455" t="s">
        <v>34</v>
      </c>
      <c r="I455">
        <v>33</v>
      </c>
      <c r="J455">
        <v>1</v>
      </c>
      <c r="K455" t="s">
        <v>8131</v>
      </c>
    </row>
    <row r="456" spans="1:11" x14ac:dyDescent="0.25">
      <c r="A456" t="s">
        <v>1698</v>
      </c>
      <c r="B456" t="s">
        <v>1699</v>
      </c>
      <c r="C456" t="s">
        <v>1700</v>
      </c>
      <c r="D456" t="s">
        <v>1701</v>
      </c>
      <c r="E456" t="s">
        <v>14</v>
      </c>
      <c r="F456" t="s">
        <v>15</v>
      </c>
      <c r="G456">
        <v>15224</v>
      </c>
      <c r="H456" t="s">
        <v>21</v>
      </c>
      <c r="I456">
        <v>47</v>
      </c>
      <c r="J456">
        <v>1</v>
      </c>
      <c r="K456" t="s">
        <v>8121</v>
      </c>
    </row>
    <row r="457" spans="1:11" x14ac:dyDescent="0.25">
      <c r="A457" t="s">
        <v>1702</v>
      </c>
      <c r="B457" t="s">
        <v>1703</v>
      </c>
      <c r="C457" t="s">
        <v>1704</v>
      </c>
      <c r="D457" t="s">
        <v>1705</v>
      </c>
      <c r="E457" t="s">
        <v>14</v>
      </c>
      <c r="F457" t="s">
        <v>15</v>
      </c>
      <c r="G457">
        <v>15205</v>
      </c>
      <c r="H457" t="s">
        <v>48</v>
      </c>
      <c r="I457">
        <v>177</v>
      </c>
      <c r="J457">
        <v>1</v>
      </c>
      <c r="K457" t="s">
        <v>8133</v>
      </c>
    </row>
    <row r="458" spans="1:11" x14ac:dyDescent="0.25">
      <c r="A458" t="s">
        <v>1706</v>
      </c>
      <c r="B458" t="s">
        <v>1707</v>
      </c>
      <c r="C458" t="s">
        <v>1708</v>
      </c>
      <c r="D458" t="s">
        <v>1709</v>
      </c>
      <c r="E458" t="s">
        <v>14</v>
      </c>
      <c r="F458" t="s">
        <v>15</v>
      </c>
      <c r="G458">
        <v>15235</v>
      </c>
      <c r="H458" t="s">
        <v>48</v>
      </c>
      <c r="I458">
        <v>3</v>
      </c>
      <c r="J458">
        <v>1</v>
      </c>
      <c r="K458" t="s">
        <v>8131</v>
      </c>
    </row>
    <row r="459" spans="1:11" x14ac:dyDescent="0.25">
      <c r="A459" t="s">
        <v>1710</v>
      </c>
      <c r="B459" t="s">
        <v>1711</v>
      </c>
      <c r="C459" t="s">
        <v>1712</v>
      </c>
      <c r="E459" t="s">
        <v>14</v>
      </c>
      <c r="F459" t="s">
        <v>15</v>
      </c>
      <c r="G459">
        <v>15212</v>
      </c>
      <c r="H459" t="s">
        <v>43</v>
      </c>
      <c r="I459">
        <v>3</v>
      </c>
      <c r="J459">
        <v>1</v>
      </c>
      <c r="K459" t="s">
        <v>8124</v>
      </c>
    </row>
    <row r="460" spans="1:11" x14ac:dyDescent="0.25">
      <c r="A460" t="s">
        <v>1713</v>
      </c>
      <c r="B460" t="s">
        <v>1714</v>
      </c>
      <c r="C460" t="s">
        <v>1715</v>
      </c>
      <c r="D460" t="s">
        <v>1716</v>
      </c>
      <c r="E460" t="s">
        <v>14</v>
      </c>
      <c r="F460" t="s">
        <v>15</v>
      </c>
      <c r="G460">
        <v>15241</v>
      </c>
      <c r="H460" t="s">
        <v>113</v>
      </c>
      <c r="I460">
        <v>8</v>
      </c>
      <c r="J460">
        <v>1</v>
      </c>
      <c r="K460" t="s">
        <v>8131</v>
      </c>
    </row>
    <row r="461" spans="1:11" x14ac:dyDescent="0.25">
      <c r="A461" t="s">
        <v>1717</v>
      </c>
      <c r="B461" t="s">
        <v>1718</v>
      </c>
      <c r="C461" t="s">
        <v>147</v>
      </c>
      <c r="D461" t="s">
        <v>1719</v>
      </c>
      <c r="E461" t="s">
        <v>14</v>
      </c>
      <c r="F461" t="s">
        <v>15</v>
      </c>
      <c r="G461">
        <v>15213</v>
      </c>
      <c r="H461" t="s">
        <v>48</v>
      </c>
      <c r="I461">
        <v>295</v>
      </c>
      <c r="J461">
        <v>1</v>
      </c>
      <c r="K461" t="s">
        <v>8131</v>
      </c>
    </row>
    <row r="462" spans="1:11" x14ac:dyDescent="0.25">
      <c r="A462" t="s">
        <v>1720</v>
      </c>
      <c r="B462" t="s">
        <v>1721</v>
      </c>
      <c r="C462" t="s">
        <v>1722</v>
      </c>
      <c r="D462" t="s">
        <v>1723</v>
      </c>
      <c r="E462" t="s">
        <v>14</v>
      </c>
      <c r="F462" t="s">
        <v>15</v>
      </c>
      <c r="G462">
        <v>15212</v>
      </c>
      <c r="H462" t="s">
        <v>16</v>
      </c>
      <c r="I462">
        <v>15</v>
      </c>
      <c r="J462">
        <v>1</v>
      </c>
      <c r="K462" t="s">
        <v>8131</v>
      </c>
    </row>
    <row r="463" spans="1:11" x14ac:dyDescent="0.25">
      <c r="A463" t="s">
        <v>1724</v>
      </c>
      <c r="B463" t="s">
        <v>1725</v>
      </c>
      <c r="C463" t="s">
        <v>1726</v>
      </c>
      <c r="D463" t="s">
        <v>1727</v>
      </c>
      <c r="E463" t="s">
        <v>14</v>
      </c>
      <c r="F463" t="s">
        <v>15</v>
      </c>
      <c r="G463">
        <v>15222</v>
      </c>
      <c r="H463" t="s">
        <v>16</v>
      </c>
      <c r="I463">
        <v>5</v>
      </c>
      <c r="J463">
        <v>1</v>
      </c>
      <c r="K463" t="s">
        <v>8133</v>
      </c>
    </row>
    <row r="464" spans="1:11" x14ac:dyDescent="0.25">
      <c r="A464" t="s">
        <v>1728</v>
      </c>
      <c r="B464" t="s">
        <v>1729</v>
      </c>
      <c r="C464" t="s">
        <v>1730</v>
      </c>
      <c r="D464" t="s">
        <v>1731</v>
      </c>
      <c r="E464" t="s">
        <v>14</v>
      </c>
      <c r="F464" t="s">
        <v>15</v>
      </c>
      <c r="G464">
        <v>15222</v>
      </c>
      <c r="H464" t="s">
        <v>16</v>
      </c>
      <c r="I464">
        <v>64</v>
      </c>
      <c r="J464">
        <v>1</v>
      </c>
      <c r="K464" t="s">
        <v>8131</v>
      </c>
    </row>
    <row r="465" spans="1:11" x14ac:dyDescent="0.25">
      <c r="A465" t="s">
        <v>1732</v>
      </c>
      <c r="B465" t="s">
        <v>1733</v>
      </c>
      <c r="C465" t="s">
        <v>1734</v>
      </c>
      <c r="D465" t="s">
        <v>1735</v>
      </c>
      <c r="E465" t="s">
        <v>14</v>
      </c>
      <c r="F465" t="s">
        <v>15</v>
      </c>
      <c r="G465">
        <v>15216</v>
      </c>
      <c r="H465" t="s">
        <v>34</v>
      </c>
      <c r="I465">
        <v>171</v>
      </c>
      <c r="J465">
        <v>1</v>
      </c>
      <c r="K465" t="s">
        <v>8131</v>
      </c>
    </row>
    <row r="466" spans="1:11" x14ac:dyDescent="0.25">
      <c r="A466" t="s">
        <v>1736</v>
      </c>
      <c r="B466" t="s">
        <v>455</v>
      </c>
      <c r="C466" t="s">
        <v>1737</v>
      </c>
      <c r="D466" t="s">
        <v>1738</v>
      </c>
      <c r="E466" t="s">
        <v>14</v>
      </c>
      <c r="F466" t="s">
        <v>15</v>
      </c>
      <c r="G466">
        <v>15222</v>
      </c>
      <c r="H466" t="s">
        <v>16</v>
      </c>
      <c r="I466">
        <v>21</v>
      </c>
      <c r="J466">
        <v>0</v>
      </c>
      <c r="K466" t="s">
        <v>8123</v>
      </c>
    </row>
    <row r="467" spans="1:11" x14ac:dyDescent="0.25">
      <c r="A467" t="s">
        <v>1739</v>
      </c>
      <c r="B467" t="s">
        <v>1740</v>
      </c>
      <c r="C467" t="s">
        <v>1741</v>
      </c>
      <c r="D467" t="s">
        <v>814</v>
      </c>
      <c r="E467" t="s">
        <v>14</v>
      </c>
      <c r="F467" t="s">
        <v>15</v>
      </c>
      <c r="G467">
        <v>15212</v>
      </c>
      <c r="H467" t="s">
        <v>48</v>
      </c>
      <c r="I467">
        <v>34</v>
      </c>
      <c r="J467">
        <v>0</v>
      </c>
      <c r="K467" t="s">
        <v>8120</v>
      </c>
    </row>
    <row r="468" spans="1:11" x14ac:dyDescent="0.25">
      <c r="A468" t="s">
        <v>1742</v>
      </c>
      <c r="B468" t="s">
        <v>1384</v>
      </c>
      <c r="C468" t="s">
        <v>1743</v>
      </c>
      <c r="D468" t="s">
        <v>1744</v>
      </c>
      <c r="E468" t="s">
        <v>14</v>
      </c>
      <c r="F468" t="s">
        <v>15</v>
      </c>
      <c r="G468">
        <v>15232</v>
      </c>
      <c r="H468" t="s">
        <v>48</v>
      </c>
      <c r="I468">
        <v>234</v>
      </c>
      <c r="J468">
        <v>1</v>
      </c>
      <c r="K468" t="s">
        <v>8131</v>
      </c>
    </row>
    <row r="469" spans="1:11" x14ac:dyDescent="0.25">
      <c r="A469" t="s">
        <v>1745</v>
      </c>
      <c r="B469" t="s">
        <v>1746</v>
      </c>
      <c r="C469" t="s">
        <v>1747</v>
      </c>
      <c r="D469" t="s">
        <v>1748</v>
      </c>
      <c r="E469" t="s">
        <v>14</v>
      </c>
      <c r="F469" t="s">
        <v>15</v>
      </c>
      <c r="G469">
        <v>15222</v>
      </c>
      <c r="H469" t="s">
        <v>16</v>
      </c>
      <c r="I469">
        <v>5</v>
      </c>
      <c r="J469">
        <v>0</v>
      </c>
      <c r="K469" t="s">
        <v>8131</v>
      </c>
    </row>
    <row r="470" spans="1:11" x14ac:dyDescent="0.25">
      <c r="A470" t="s">
        <v>1749</v>
      </c>
      <c r="B470" t="s">
        <v>1750</v>
      </c>
      <c r="C470" t="s">
        <v>1751</v>
      </c>
      <c r="D470" t="s">
        <v>576</v>
      </c>
      <c r="E470" t="s">
        <v>14</v>
      </c>
      <c r="F470" t="s">
        <v>15</v>
      </c>
      <c r="G470">
        <v>15219</v>
      </c>
      <c r="H470" t="s">
        <v>21</v>
      </c>
      <c r="I470">
        <v>142</v>
      </c>
      <c r="J470">
        <v>1</v>
      </c>
      <c r="K470" t="s">
        <v>8131</v>
      </c>
    </row>
    <row r="471" spans="1:11" x14ac:dyDescent="0.25">
      <c r="A471" t="s">
        <v>1752</v>
      </c>
      <c r="B471" t="s">
        <v>1753</v>
      </c>
      <c r="C471" t="s">
        <v>1754</v>
      </c>
      <c r="D471" t="s">
        <v>1755</v>
      </c>
      <c r="E471" t="s">
        <v>14</v>
      </c>
      <c r="F471" t="s">
        <v>15</v>
      </c>
      <c r="G471">
        <v>15236</v>
      </c>
      <c r="H471" t="s">
        <v>21</v>
      </c>
      <c r="I471">
        <v>3</v>
      </c>
      <c r="J471">
        <v>1</v>
      </c>
      <c r="K471" t="s">
        <v>8131</v>
      </c>
    </row>
    <row r="472" spans="1:11" x14ac:dyDescent="0.25">
      <c r="A472" t="s">
        <v>1756</v>
      </c>
      <c r="B472" t="s">
        <v>1757</v>
      </c>
      <c r="C472" t="s">
        <v>1758</v>
      </c>
      <c r="D472" t="s">
        <v>1759</v>
      </c>
      <c r="E472" t="s">
        <v>14</v>
      </c>
      <c r="F472" t="s">
        <v>15</v>
      </c>
      <c r="G472">
        <v>15202</v>
      </c>
      <c r="H472" t="s">
        <v>48</v>
      </c>
      <c r="I472">
        <v>79</v>
      </c>
      <c r="J472">
        <v>1</v>
      </c>
      <c r="K472" t="s">
        <v>8122</v>
      </c>
    </row>
    <row r="473" spans="1:11" x14ac:dyDescent="0.25">
      <c r="A473" t="s">
        <v>1760</v>
      </c>
      <c r="B473" t="s">
        <v>1761</v>
      </c>
      <c r="C473" t="s">
        <v>1762</v>
      </c>
      <c r="D473" t="s">
        <v>1763</v>
      </c>
      <c r="E473" t="s">
        <v>14</v>
      </c>
      <c r="F473" t="s">
        <v>15</v>
      </c>
      <c r="G473">
        <v>15206</v>
      </c>
      <c r="H473" t="s">
        <v>34</v>
      </c>
      <c r="I473">
        <v>72</v>
      </c>
      <c r="J473">
        <v>1</v>
      </c>
      <c r="K473" t="s">
        <v>8131</v>
      </c>
    </row>
    <row r="474" spans="1:11" x14ac:dyDescent="0.25">
      <c r="A474" t="s">
        <v>1764</v>
      </c>
      <c r="B474" t="s">
        <v>319</v>
      </c>
      <c r="C474" t="s">
        <v>1765</v>
      </c>
      <c r="D474" t="s">
        <v>1766</v>
      </c>
      <c r="E474" t="s">
        <v>14</v>
      </c>
      <c r="F474" t="s">
        <v>15</v>
      </c>
      <c r="G474">
        <v>15237</v>
      </c>
      <c r="H474" t="s">
        <v>48</v>
      </c>
      <c r="I474">
        <v>59</v>
      </c>
      <c r="J474">
        <v>1</v>
      </c>
      <c r="K474" t="s">
        <v>8120</v>
      </c>
    </row>
    <row r="475" spans="1:11" x14ac:dyDescent="0.25">
      <c r="A475" t="s">
        <v>1767</v>
      </c>
      <c r="B475" t="s">
        <v>1768</v>
      </c>
      <c r="C475" t="s">
        <v>1769</v>
      </c>
      <c r="D475" t="s">
        <v>1770</v>
      </c>
      <c r="E475" t="s">
        <v>14</v>
      </c>
      <c r="F475" t="s">
        <v>15</v>
      </c>
      <c r="G475">
        <v>15228</v>
      </c>
      <c r="H475" t="s">
        <v>21</v>
      </c>
      <c r="I475">
        <v>16</v>
      </c>
      <c r="J475">
        <v>0</v>
      </c>
      <c r="K475" t="s">
        <v>8131</v>
      </c>
    </row>
    <row r="476" spans="1:11" x14ac:dyDescent="0.25">
      <c r="A476" t="s">
        <v>1771</v>
      </c>
      <c r="B476" t="s">
        <v>1621</v>
      </c>
      <c r="C476" t="s">
        <v>1772</v>
      </c>
      <c r="D476" t="s">
        <v>1623</v>
      </c>
      <c r="E476" t="s">
        <v>14</v>
      </c>
      <c r="F476" t="s">
        <v>15</v>
      </c>
      <c r="G476">
        <v>15212</v>
      </c>
      <c r="H476" t="s">
        <v>21</v>
      </c>
      <c r="I476">
        <v>13</v>
      </c>
      <c r="J476">
        <v>1</v>
      </c>
      <c r="K476" t="s">
        <v>8118</v>
      </c>
    </row>
    <row r="477" spans="1:11" x14ac:dyDescent="0.25">
      <c r="A477" t="s">
        <v>1773</v>
      </c>
      <c r="B477" t="s">
        <v>1774</v>
      </c>
      <c r="C477" t="s">
        <v>1775</v>
      </c>
      <c r="D477" t="s">
        <v>1776</v>
      </c>
      <c r="E477" t="s">
        <v>14</v>
      </c>
      <c r="F477" t="s">
        <v>15</v>
      </c>
      <c r="G477">
        <v>15206</v>
      </c>
      <c r="H477" t="s">
        <v>16</v>
      </c>
      <c r="I477">
        <v>134</v>
      </c>
      <c r="J477">
        <v>1</v>
      </c>
      <c r="K477" t="s">
        <v>8128</v>
      </c>
    </row>
    <row r="478" spans="1:11" x14ac:dyDescent="0.25">
      <c r="A478" t="s">
        <v>1777</v>
      </c>
      <c r="B478" t="s">
        <v>1778</v>
      </c>
      <c r="C478" t="s">
        <v>1641</v>
      </c>
      <c r="D478" t="s">
        <v>1779</v>
      </c>
      <c r="E478" t="s">
        <v>14</v>
      </c>
      <c r="F478" t="s">
        <v>15</v>
      </c>
      <c r="G478">
        <v>15222</v>
      </c>
      <c r="H478" t="s">
        <v>48</v>
      </c>
      <c r="I478">
        <v>35</v>
      </c>
      <c r="J478">
        <v>0</v>
      </c>
      <c r="K478" t="s">
        <v>8131</v>
      </c>
    </row>
    <row r="479" spans="1:11" x14ac:dyDescent="0.25">
      <c r="A479" t="s">
        <v>1780</v>
      </c>
      <c r="B479" t="s">
        <v>1781</v>
      </c>
      <c r="C479" t="s">
        <v>901</v>
      </c>
      <c r="D479" t="s">
        <v>1782</v>
      </c>
      <c r="E479" t="s">
        <v>14</v>
      </c>
      <c r="F479" t="s">
        <v>15</v>
      </c>
      <c r="G479">
        <v>15238</v>
      </c>
      <c r="H479" t="s">
        <v>113</v>
      </c>
      <c r="I479">
        <v>4</v>
      </c>
      <c r="J479">
        <v>1</v>
      </c>
      <c r="K479" t="s">
        <v>8131</v>
      </c>
    </row>
    <row r="480" spans="1:11" x14ac:dyDescent="0.25">
      <c r="A480" t="s">
        <v>1783</v>
      </c>
      <c r="B480" t="s">
        <v>36</v>
      </c>
      <c r="C480" t="s">
        <v>1784</v>
      </c>
      <c r="D480" t="s">
        <v>1785</v>
      </c>
      <c r="E480" t="s">
        <v>14</v>
      </c>
      <c r="F480" t="s">
        <v>15</v>
      </c>
      <c r="G480">
        <v>15234</v>
      </c>
      <c r="H480" t="s">
        <v>16</v>
      </c>
      <c r="I480">
        <v>50</v>
      </c>
      <c r="J480">
        <v>1</v>
      </c>
      <c r="K480" t="s">
        <v>8131</v>
      </c>
    </row>
    <row r="481" spans="1:11" x14ac:dyDescent="0.25">
      <c r="A481" t="s">
        <v>1786</v>
      </c>
      <c r="B481" t="s">
        <v>1787</v>
      </c>
      <c r="C481" t="s">
        <v>1788</v>
      </c>
      <c r="D481" t="s">
        <v>1789</v>
      </c>
      <c r="E481" t="s">
        <v>14</v>
      </c>
      <c r="F481" t="s">
        <v>15</v>
      </c>
      <c r="G481">
        <v>15222</v>
      </c>
      <c r="H481" t="s">
        <v>21</v>
      </c>
      <c r="I481">
        <v>202</v>
      </c>
      <c r="J481">
        <v>1</v>
      </c>
      <c r="K481" t="s">
        <v>8129</v>
      </c>
    </row>
    <row r="482" spans="1:11" x14ac:dyDescent="0.25">
      <c r="A482" t="s">
        <v>1790</v>
      </c>
      <c r="B482" t="s">
        <v>94</v>
      </c>
      <c r="C482" t="s">
        <v>1791</v>
      </c>
      <c r="D482" t="s">
        <v>1792</v>
      </c>
      <c r="E482" t="s">
        <v>14</v>
      </c>
      <c r="F482" t="s">
        <v>15</v>
      </c>
      <c r="G482">
        <v>15222</v>
      </c>
      <c r="H482" t="s">
        <v>21</v>
      </c>
      <c r="I482">
        <v>12</v>
      </c>
      <c r="J482">
        <v>0</v>
      </c>
      <c r="K482" t="s">
        <v>8131</v>
      </c>
    </row>
    <row r="483" spans="1:11" x14ac:dyDescent="0.25">
      <c r="A483" t="s">
        <v>1793</v>
      </c>
      <c r="B483" t="s">
        <v>1794</v>
      </c>
      <c r="C483" t="s">
        <v>1795</v>
      </c>
      <c r="D483" t="s">
        <v>1796</v>
      </c>
      <c r="E483" t="s">
        <v>14</v>
      </c>
      <c r="F483" t="s">
        <v>15</v>
      </c>
      <c r="G483">
        <v>15222</v>
      </c>
      <c r="H483" t="s">
        <v>48</v>
      </c>
      <c r="I483">
        <v>239</v>
      </c>
      <c r="J483">
        <v>1</v>
      </c>
      <c r="K483" t="s">
        <v>8122</v>
      </c>
    </row>
    <row r="484" spans="1:11" x14ac:dyDescent="0.25">
      <c r="A484" t="s">
        <v>1797</v>
      </c>
      <c r="B484" t="s">
        <v>720</v>
      </c>
      <c r="C484" t="s">
        <v>1798</v>
      </c>
      <c r="D484" t="s">
        <v>1799</v>
      </c>
      <c r="E484" t="s">
        <v>14</v>
      </c>
      <c r="F484" t="s">
        <v>15</v>
      </c>
      <c r="G484">
        <v>15237</v>
      </c>
      <c r="H484" t="s">
        <v>16</v>
      </c>
      <c r="I484">
        <v>137</v>
      </c>
      <c r="J484">
        <v>1</v>
      </c>
      <c r="K484" t="s">
        <v>8131</v>
      </c>
    </row>
    <row r="485" spans="1:11" x14ac:dyDescent="0.25">
      <c r="A485" t="s">
        <v>1800</v>
      </c>
      <c r="B485" t="s">
        <v>1801</v>
      </c>
      <c r="C485" t="s">
        <v>1802</v>
      </c>
      <c r="D485" t="s">
        <v>1803</v>
      </c>
      <c r="E485" t="s">
        <v>14</v>
      </c>
      <c r="F485" t="s">
        <v>15</v>
      </c>
      <c r="G485">
        <v>15220</v>
      </c>
      <c r="H485" t="s">
        <v>48</v>
      </c>
      <c r="I485">
        <v>49</v>
      </c>
      <c r="J485">
        <v>1</v>
      </c>
      <c r="K485" t="s">
        <v>8120</v>
      </c>
    </row>
    <row r="486" spans="1:11" x14ac:dyDescent="0.25">
      <c r="A486" t="s">
        <v>1804</v>
      </c>
      <c r="B486" t="s">
        <v>65</v>
      </c>
      <c r="C486" t="s">
        <v>271</v>
      </c>
      <c r="D486" t="s">
        <v>1805</v>
      </c>
      <c r="E486" t="s">
        <v>14</v>
      </c>
      <c r="F486" t="s">
        <v>15</v>
      </c>
      <c r="G486">
        <v>15239</v>
      </c>
      <c r="H486" t="s">
        <v>34</v>
      </c>
      <c r="I486">
        <v>9</v>
      </c>
      <c r="J486">
        <v>1</v>
      </c>
      <c r="K486" t="s">
        <v>8131</v>
      </c>
    </row>
    <row r="487" spans="1:11" x14ac:dyDescent="0.25">
      <c r="A487" t="s">
        <v>1806</v>
      </c>
      <c r="B487" t="s">
        <v>1807</v>
      </c>
      <c r="C487" t="s">
        <v>1808</v>
      </c>
      <c r="D487" t="s">
        <v>1809</v>
      </c>
      <c r="E487" t="s">
        <v>14</v>
      </c>
      <c r="F487" t="s">
        <v>15</v>
      </c>
      <c r="G487">
        <v>15201</v>
      </c>
      <c r="H487" t="s">
        <v>21</v>
      </c>
      <c r="I487">
        <v>82</v>
      </c>
      <c r="J487">
        <v>1</v>
      </c>
      <c r="K487" t="s">
        <v>8131</v>
      </c>
    </row>
    <row r="488" spans="1:11" x14ac:dyDescent="0.25">
      <c r="A488" t="s">
        <v>1810</v>
      </c>
      <c r="B488" t="s">
        <v>1811</v>
      </c>
      <c r="C488" t="s">
        <v>1812</v>
      </c>
      <c r="D488" t="s">
        <v>1813</v>
      </c>
      <c r="E488" t="s">
        <v>14</v>
      </c>
      <c r="F488" t="s">
        <v>15</v>
      </c>
      <c r="G488">
        <v>15241</v>
      </c>
      <c r="H488" t="s">
        <v>48</v>
      </c>
      <c r="I488">
        <v>11</v>
      </c>
      <c r="J488">
        <v>1</v>
      </c>
      <c r="K488" t="s">
        <v>8117</v>
      </c>
    </row>
    <row r="489" spans="1:11" x14ac:dyDescent="0.25">
      <c r="A489" t="s">
        <v>1814</v>
      </c>
      <c r="B489" t="s">
        <v>1815</v>
      </c>
      <c r="C489" t="s">
        <v>1816</v>
      </c>
      <c r="D489" t="s">
        <v>929</v>
      </c>
      <c r="E489" t="s">
        <v>14</v>
      </c>
      <c r="F489" t="s">
        <v>15</v>
      </c>
      <c r="G489">
        <v>15232</v>
      </c>
      <c r="H489" t="s">
        <v>21</v>
      </c>
      <c r="I489">
        <v>146</v>
      </c>
      <c r="J489">
        <v>1</v>
      </c>
      <c r="K489" t="s">
        <v>8131</v>
      </c>
    </row>
    <row r="490" spans="1:11" x14ac:dyDescent="0.25">
      <c r="A490" t="s">
        <v>1817</v>
      </c>
      <c r="B490" t="s">
        <v>1818</v>
      </c>
      <c r="C490" t="s">
        <v>1819</v>
      </c>
      <c r="D490" t="s">
        <v>1820</v>
      </c>
      <c r="E490" t="s">
        <v>14</v>
      </c>
      <c r="F490" t="s">
        <v>15</v>
      </c>
      <c r="G490">
        <v>15222</v>
      </c>
      <c r="H490" t="s">
        <v>21</v>
      </c>
      <c r="I490">
        <v>47</v>
      </c>
      <c r="J490">
        <v>0</v>
      </c>
      <c r="K490" t="s">
        <v>8121</v>
      </c>
    </row>
    <row r="491" spans="1:11" x14ac:dyDescent="0.25">
      <c r="A491" t="s">
        <v>1821</v>
      </c>
      <c r="B491" t="s">
        <v>1822</v>
      </c>
      <c r="C491" t="s">
        <v>1823</v>
      </c>
      <c r="D491" t="s">
        <v>1824</v>
      </c>
      <c r="E491" t="s">
        <v>14</v>
      </c>
      <c r="F491" t="s">
        <v>15</v>
      </c>
      <c r="G491">
        <v>15224</v>
      </c>
      <c r="H491" t="s">
        <v>21</v>
      </c>
      <c r="I491">
        <v>38</v>
      </c>
      <c r="J491">
        <v>0</v>
      </c>
      <c r="K491" t="s">
        <v>8131</v>
      </c>
    </row>
    <row r="492" spans="1:11" x14ac:dyDescent="0.25">
      <c r="A492" t="s">
        <v>1825</v>
      </c>
      <c r="B492" t="s">
        <v>1826</v>
      </c>
      <c r="C492" t="s">
        <v>1827</v>
      </c>
      <c r="D492" t="s">
        <v>1223</v>
      </c>
      <c r="E492" t="s">
        <v>14</v>
      </c>
      <c r="F492" t="s">
        <v>15</v>
      </c>
      <c r="G492">
        <v>15213</v>
      </c>
      <c r="H492" t="s">
        <v>48</v>
      </c>
      <c r="I492">
        <v>585</v>
      </c>
      <c r="J492">
        <v>1</v>
      </c>
      <c r="K492" t="s">
        <v>8131</v>
      </c>
    </row>
    <row r="493" spans="1:11" x14ac:dyDescent="0.25">
      <c r="A493" t="s">
        <v>1828</v>
      </c>
      <c r="B493" t="s">
        <v>1829</v>
      </c>
      <c r="C493" t="s">
        <v>1830</v>
      </c>
      <c r="D493" t="s">
        <v>1831</v>
      </c>
      <c r="E493" t="s">
        <v>14</v>
      </c>
      <c r="F493" t="s">
        <v>15</v>
      </c>
      <c r="G493">
        <v>15206</v>
      </c>
      <c r="H493" t="s">
        <v>16</v>
      </c>
      <c r="I493">
        <v>24</v>
      </c>
      <c r="J493">
        <v>0</v>
      </c>
      <c r="K493" t="s">
        <v>8131</v>
      </c>
    </row>
    <row r="494" spans="1:11" x14ac:dyDescent="0.25">
      <c r="A494" t="s">
        <v>1832</v>
      </c>
      <c r="B494" t="s">
        <v>1833</v>
      </c>
      <c r="C494" t="s">
        <v>1834</v>
      </c>
      <c r="D494" t="s">
        <v>1835</v>
      </c>
      <c r="E494" t="s">
        <v>14</v>
      </c>
      <c r="F494" t="s">
        <v>15</v>
      </c>
      <c r="G494">
        <v>15238</v>
      </c>
      <c r="H494" t="s">
        <v>113</v>
      </c>
      <c r="I494">
        <v>5</v>
      </c>
      <c r="J494">
        <v>1</v>
      </c>
      <c r="K494" t="s">
        <v>8131</v>
      </c>
    </row>
    <row r="495" spans="1:11" x14ac:dyDescent="0.25">
      <c r="A495" t="s">
        <v>1836</v>
      </c>
      <c r="B495" t="s">
        <v>1837</v>
      </c>
      <c r="C495" t="s">
        <v>1001</v>
      </c>
      <c r="D495" t="s">
        <v>272</v>
      </c>
      <c r="E495" t="s">
        <v>14</v>
      </c>
      <c r="F495" t="s">
        <v>15</v>
      </c>
      <c r="G495">
        <v>15232</v>
      </c>
      <c r="H495" t="s">
        <v>43</v>
      </c>
      <c r="I495">
        <v>47</v>
      </c>
      <c r="J495">
        <v>1</v>
      </c>
      <c r="K495" t="s">
        <v>8131</v>
      </c>
    </row>
    <row r="496" spans="1:11" x14ac:dyDescent="0.25">
      <c r="A496" t="s">
        <v>1838</v>
      </c>
      <c r="B496" t="s">
        <v>1839</v>
      </c>
      <c r="C496" t="s">
        <v>1840</v>
      </c>
      <c r="D496" t="s">
        <v>1841</v>
      </c>
      <c r="E496" t="s">
        <v>14</v>
      </c>
      <c r="F496" t="s">
        <v>15</v>
      </c>
      <c r="G496">
        <v>15224</v>
      </c>
      <c r="H496" t="s">
        <v>16</v>
      </c>
      <c r="I496">
        <v>106</v>
      </c>
      <c r="J496">
        <v>1</v>
      </c>
      <c r="K496" t="s">
        <v>8126</v>
      </c>
    </row>
    <row r="497" spans="1:11" x14ac:dyDescent="0.25">
      <c r="A497" t="s">
        <v>1842</v>
      </c>
      <c r="B497" t="s">
        <v>1843</v>
      </c>
      <c r="C497" t="s">
        <v>1844</v>
      </c>
      <c r="D497" t="s">
        <v>1845</v>
      </c>
      <c r="E497" t="s">
        <v>14</v>
      </c>
      <c r="F497" t="s">
        <v>15</v>
      </c>
      <c r="G497">
        <v>15228</v>
      </c>
      <c r="H497" t="s">
        <v>16</v>
      </c>
      <c r="I497">
        <v>70</v>
      </c>
      <c r="J497">
        <v>1</v>
      </c>
      <c r="K497" t="s">
        <v>8131</v>
      </c>
    </row>
    <row r="498" spans="1:11" x14ac:dyDescent="0.25">
      <c r="A498" t="s">
        <v>1846</v>
      </c>
      <c r="B498" t="s">
        <v>1847</v>
      </c>
      <c r="C498" t="s">
        <v>1848</v>
      </c>
      <c r="D498" t="s">
        <v>1849</v>
      </c>
      <c r="E498" t="s">
        <v>14</v>
      </c>
      <c r="F498" t="s">
        <v>15</v>
      </c>
      <c r="G498">
        <v>15226</v>
      </c>
      <c r="H498" t="s">
        <v>16</v>
      </c>
      <c r="I498">
        <v>4</v>
      </c>
      <c r="J498">
        <v>1</v>
      </c>
      <c r="K498" t="s">
        <v>8131</v>
      </c>
    </row>
    <row r="499" spans="1:11" x14ac:dyDescent="0.25">
      <c r="A499" t="s">
        <v>1850</v>
      </c>
      <c r="B499" t="s">
        <v>1851</v>
      </c>
      <c r="C499" t="s">
        <v>1852</v>
      </c>
      <c r="D499" t="s">
        <v>1853</v>
      </c>
      <c r="E499" t="s">
        <v>14</v>
      </c>
      <c r="F499" t="s">
        <v>15</v>
      </c>
      <c r="G499">
        <v>15234</v>
      </c>
      <c r="H499" t="s">
        <v>34</v>
      </c>
      <c r="I499">
        <v>42</v>
      </c>
      <c r="J499">
        <v>1</v>
      </c>
      <c r="K499" t="s">
        <v>8131</v>
      </c>
    </row>
    <row r="500" spans="1:11" x14ac:dyDescent="0.25">
      <c r="A500" t="s">
        <v>1854</v>
      </c>
      <c r="B500" t="s">
        <v>1855</v>
      </c>
      <c r="C500" t="s">
        <v>1856</v>
      </c>
      <c r="D500" t="s">
        <v>1857</v>
      </c>
      <c r="E500" t="s">
        <v>14</v>
      </c>
      <c r="F500" t="s">
        <v>15</v>
      </c>
      <c r="G500">
        <v>15201</v>
      </c>
      <c r="H500" t="s">
        <v>21</v>
      </c>
      <c r="I500">
        <v>43</v>
      </c>
      <c r="J500">
        <v>1</v>
      </c>
      <c r="K500" t="s">
        <v>8131</v>
      </c>
    </row>
    <row r="501" spans="1:11" x14ac:dyDescent="0.25">
      <c r="A501" t="s">
        <v>1858</v>
      </c>
      <c r="B501" t="s">
        <v>1859</v>
      </c>
      <c r="C501" t="s">
        <v>1860</v>
      </c>
      <c r="D501" t="s">
        <v>1861</v>
      </c>
      <c r="E501" t="s">
        <v>14</v>
      </c>
      <c r="F501" t="s">
        <v>15</v>
      </c>
      <c r="G501">
        <v>15206</v>
      </c>
      <c r="H501" t="s">
        <v>21</v>
      </c>
      <c r="I501">
        <v>17</v>
      </c>
      <c r="J501">
        <v>1</v>
      </c>
      <c r="K501" t="s">
        <v>8131</v>
      </c>
    </row>
    <row r="502" spans="1:11" x14ac:dyDescent="0.25">
      <c r="A502" t="s">
        <v>1862</v>
      </c>
      <c r="B502" t="s">
        <v>1863</v>
      </c>
      <c r="C502" t="s">
        <v>132</v>
      </c>
      <c r="D502" t="s">
        <v>1864</v>
      </c>
      <c r="E502" t="s">
        <v>14</v>
      </c>
      <c r="F502" t="s">
        <v>15</v>
      </c>
      <c r="G502">
        <v>15213</v>
      </c>
      <c r="H502" t="s">
        <v>16</v>
      </c>
      <c r="I502">
        <v>21</v>
      </c>
      <c r="J502">
        <v>0</v>
      </c>
      <c r="K502" t="s">
        <v>8131</v>
      </c>
    </row>
    <row r="503" spans="1:11" x14ac:dyDescent="0.25">
      <c r="A503" t="s">
        <v>1865</v>
      </c>
      <c r="B503" t="s">
        <v>720</v>
      </c>
      <c r="C503" t="s">
        <v>1866</v>
      </c>
      <c r="D503" t="s">
        <v>1867</v>
      </c>
      <c r="E503" t="s">
        <v>14</v>
      </c>
      <c r="F503" t="s">
        <v>15</v>
      </c>
      <c r="G503">
        <v>15233</v>
      </c>
      <c r="H503" t="s">
        <v>16</v>
      </c>
      <c r="I503">
        <v>397</v>
      </c>
      <c r="J503">
        <v>1</v>
      </c>
      <c r="K503" t="s">
        <v>8131</v>
      </c>
    </row>
    <row r="504" spans="1:11" x14ac:dyDescent="0.25">
      <c r="A504" t="s">
        <v>1868</v>
      </c>
      <c r="B504" t="s">
        <v>1869</v>
      </c>
      <c r="C504" t="s">
        <v>1870</v>
      </c>
      <c r="D504" t="s">
        <v>1871</v>
      </c>
      <c r="E504" t="s">
        <v>14</v>
      </c>
      <c r="F504" t="s">
        <v>15</v>
      </c>
      <c r="G504">
        <v>15235</v>
      </c>
      <c r="H504" t="s">
        <v>16</v>
      </c>
      <c r="I504">
        <v>11</v>
      </c>
      <c r="J504">
        <v>1</v>
      </c>
      <c r="K504" t="s">
        <v>8131</v>
      </c>
    </row>
    <row r="505" spans="1:11" x14ac:dyDescent="0.25">
      <c r="A505" t="s">
        <v>1872</v>
      </c>
      <c r="B505" t="s">
        <v>1873</v>
      </c>
      <c r="C505" t="s">
        <v>1874</v>
      </c>
      <c r="D505" t="s">
        <v>1875</v>
      </c>
      <c r="E505" t="s">
        <v>14</v>
      </c>
      <c r="F505" t="s">
        <v>15</v>
      </c>
      <c r="G505">
        <v>15216</v>
      </c>
      <c r="H505" t="s">
        <v>16</v>
      </c>
      <c r="I505">
        <v>106</v>
      </c>
      <c r="J505">
        <v>1</v>
      </c>
      <c r="K505" t="s">
        <v>8131</v>
      </c>
    </row>
    <row r="506" spans="1:11" x14ac:dyDescent="0.25">
      <c r="A506" t="s">
        <v>1876</v>
      </c>
      <c r="B506" t="s">
        <v>1877</v>
      </c>
      <c r="C506" t="s">
        <v>1878</v>
      </c>
      <c r="D506" t="s">
        <v>1879</v>
      </c>
      <c r="E506" t="s">
        <v>14</v>
      </c>
      <c r="F506" t="s">
        <v>15</v>
      </c>
      <c r="G506">
        <v>15213</v>
      </c>
      <c r="H506" t="s">
        <v>34</v>
      </c>
      <c r="I506">
        <v>5</v>
      </c>
      <c r="J506">
        <v>0</v>
      </c>
      <c r="K506" t="s">
        <v>8131</v>
      </c>
    </row>
    <row r="507" spans="1:11" x14ac:dyDescent="0.25">
      <c r="A507" t="s">
        <v>1880</v>
      </c>
      <c r="B507" t="s">
        <v>1881</v>
      </c>
      <c r="C507" t="s">
        <v>1882</v>
      </c>
      <c r="D507" t="s">
        <v>245</v>
      </c>
      <c r="E507" t="s">
        <v>14</v>
      </c>
      <c r="F507" t="s">
        <v>15</v>
      </c>
      <c r="G507">
        <v>15275</v>
      </c>
      <c r="H507" t="s">
        <v>48</v>
      </c>
      <c r="I507">
        <v>5</v>
      </c>
      <c r="J507">
        <v>0</v>
      </c>
      <c r="K507" t="s">
        <v>8131</v>
      </c>
    </row>
    <row r="508" spans="1:11" x14ac:dyDescent="0.25">
      <c r="A508" t="s">
        <v>1883</v>
      </c>
      <c r="B508" t="s">
        <v>1884</v>
      </c>
      <c r="C508" t="s">
        <v>1885</v>
      </c>
      <c r="D508" t="s">
        <v>1886</v>
      </c>
      <c r="E508" t="s">
        <v>14</v>
      </c>
      <c r="F508" t="s">
        <v>15</v>
      </c>
      <c r="G508">
        <v>15206</v>
      </c>
      <c r="H508" t="s">
        <v>16</v>
      </c>
      <c r="I508">
        <v>80</v>
      </c>
      <c r="J508">
        <v>1</v>
      </c>
      <c r="K508" t="s">
        <v>8131</v>
      </c>
    </row>
    <row r="509" spans="1:11" x14ac:dyDescent="0.25">
      <c r="A509" t="s">
        <v>1887</v>
      </c>
      <c r="B509" t="s">
        <v>1888</v>
      </c>
      <c r="C509" t="s">
        <v>1889</v>
      </c>
      <c r="D509" t="s">
        <v>1890</v>
      </c>
      <c r="E509" t="s">
        <v>14</v>
      </c>
      <c r="F509" t="s">
        <v>15</v>
      </c>
      <c r="G509">
        <v>15237</v>
      </c>
      <c r="H509" t="s">
        <v>48</v>
      </c>
      <c r="I509">
        <v>124</v>
      </c>
      <c r="J509">
        <v>1</v>
      </c>
      <c r="K509" t="s">
        <v>8122</v>
      </c>
    </row>
    <row r="510" spans="1:11" x14ac:dyDescent="0.25">
      <c r="A510" t="s">
        <v>1891</v>
      </c>
      <c r="B510" t="s">
        <v>1892</v>
      </c>
      <c r="C510" t="s">
        <v>1893</v>
      </c>
      <c r="D510" t="s">
        <v>1894</v>
      </c>
      <c r="E510" t="s">
        <v>14</v>
      </c>
      <c r="F510" t="s">
        <v>15</v>
      </c>
      <c r="G510">
        <v>15228</v>
      </c>
      <c r="H510" t="s">
        <v>48</v>
      </c>
      <c r="I510">
        <v>54</v>
      </c>
      <c r="J510">
        <v>1</v>
      </c>
      <c r="K510" t="s">
        <v>8131</v>
      </c>
    </row>
    <row r="511" spans="1:11" x14ac:dyDescent="0.25">
      <c r="A511" t="s">
        <v>1895</v>
      </c>
      <c r="B511" t="s">
        <v>1896</v>
      </c>
      <c r="C511" t="s">
        <v>1897</v>
      </c>
      <c r="D511" t="s">
        <v>1898</v>
      </c>
      <c r="E511" t="s">
        <v>14</v>
      </c>
      <c r="F511" t="s">
        <v>15</v>
      </c>
      <c r="G511">
        <v>15206</v>
      </c>
      <c r="H511" t="s">
        <v>48</v>
      </c>
      <c r="I511">
        <v>395</v>
      </c>
      <c r="J511">
        <v>0</v>
      </c>
      <c r="K511" t="s">
        <v>8131</v>
      </c>
    </row>
    <row r="512" spans="1:11" x14ac:dyDescent="0.25">
      <c r="A512" t="s">
        <v>1899</v>
      </c>
      <c r="B512" t="s">
        <v>1900</v>
      </c>
      <c r="C512" t="s">
        <v>913</v>
      </c>
      <c r="D512" t="s">
        <v>1901</v>
      </c>
      <c r="E512" t="s">
        <v>14</v>
      </c>
      <c r="F512" t="s">
        <v>15</v>
      </c>
      <c r="G512">
        <v>15220</v>
      </c>
      <c r="H512" t="s">
        <v>43</v>
      </c>
      <c r="I512">
        <v>15</v>
      </c>
      <c r="J512">
        <v>1</v>
      </c>
      <c r="K512" t="s">
        <v>8122</v>
      </c>
    </row>
    <row r="513" spans="1:11" x14ac:dyDescent="0.25">
      <c r="A513" t="s">
        <v>1902</v>
      </c>
      <c r="B513" t="s">
        <v>1903</v>
      </c>
      <c r="C513" t="s">
        <v>1904</v>
      </c>
      <c r="D513" t="s">
        <v>1141</v>
      </c>
      <c r="E513" t="s">
        <v>14</v>
      </c>
      <c r="F513" t="s">
        <v>15</v>
      </c>
      <c r="G513">
        <v>15212</v>
      </c>
      <c r="H513" t="s">
        <v>34</v>
      </c>
      <c r="I513">
        <v>5</v>
      </c>
      <c r="J513">
        <v>0</v>
      </c>
      <c r="K513" t="s">
        <v>8131</v>
      </c>
    </row>
    <row r="514" spans="1:11" x14ac:dyDescent="0.25">
      <c r="A514" t="s">
        <v>1905</v>
      </c>
      <c r="B514" t="s">
        <v>578</v>
      </c>
      <c r="C514" t="s">
        <v>1906</v>
      </c>
      <c r="D514" t="s">
        <v>1907</v>
      </c>
      <c r="E514" t="s">
        <v>14</v>
      </c>
      <c r="F514" t="s">
        <v>15</v>
      </c>
      <c r="G514">
        <v>15211</v>
      </c>
      <c r="H514" t="s">
        <v>48</v>
      </c>
      <c r="I514">
        <v>85</v>
      </c>
      <c r="J514">
        <v>1</v>
      </c>
      <c r="K514" t="s">
        <v>8131</v>
      </c>
    </row>
    <row r="515" spans="1:11" x14ac:dyDescent="0.25">
      <c r="A515" t="s">
        <v>1908</v>
      </c>
      <c r="B515" t="s">
        <v>1909</v>
      </c>
      <c r="C515" t="s">
        <v>1575</v>
      </c>
      <c r="D515" t="s">
        <v>1910</v>
      </c>
      <c r="E515" t="s">
        <v>14</v>
      </c>
      <c r="F515" t="s">
        <v>15</v>
      </c>
      <c r="G515">
        <v>15241</v>
      </c>
      <c r="H515" t="s">
        <v>43</v>
      </c>
      <c r="I515">
        <v>19</v>
      </c>
      <c r="J515">
        <v>0</v>
      </c>
      <c r="K515" t="s">
        <v>8131</v>
      </c>
    </row>
    <row r="516" spans="1:11" x14ac:dyDescent="0.25">
      <c r="A516" t="s">
        <v>1911</v>
      </c>
      <c r="B516" t="s">
        <v>1912</v>
      </c>
      <c r="C516" t="s">
        <v>1913</v>
      </c>
      <c r="D516" t="s">
        <v>1914</v>
      </c>
      <c r="E516" t="s">
        <v>14</v>
      </c>
      <c r="F516" t="s">
        <v>15</v>
      </c>
      <c r="G516">
        <v>15202</v>
      </c>
      <c r="H516" t="s">
        <v>21</v>
      </c>
      <c r="I516">
        <v>97</v>
      </c>
      <c r="J516">
        <v>1</v>
      </c>
      <c r="K516" t="s">
        <v>8131</v>
      </c>
    </row>
    <row r="517" spans="1:11" x14ac:dyDescent="0.25">
      <c r="A517" t="s">
        <v>1915</v>
      </c>
      <c r="B517" t="s">
        <v>65</v>
      </c>
      <c r="C517" t="s">
        <v>1916</v>
      </c>
      <c r="D517" t="s">
        <v>1917</v>
      </c>
      <c r="E517" t="s">
        <v>14</v>
      </c>
      <c r="F517" t="s">
        <v>15</v>
      </c>
      <c r="G517">
        <v>15216</v>
      </c>
      <c r="H517" t="s">
        <v>48</v>
      </c>
      <c r="I517">
        <v>49</v>
      </c>
      <c r="J517">
        <v>1</v>
      </c>
      <c r="K517" t="s">
        <v>8131</v>
      </c>
    </row>
    <row r="518" spans="1:11" x14ac:dyDescent="0.25">
      <c r="A518" t="s">
        <v>1918</v>
      </c>
      <c r="B518" t="s">
        <v>36</v>
      </c>
      <c r="C518" t="s">
        <v>1919</v>
      </c>
      <c r="D518" t="s">
        <v>1920</v>
      </c>
      <c r="E518" t="s">
        <v>14</v>
      </c>
      <c r="F518" t="s">
        <v>15</v>
      </c>
      <c r="G518">
        <v>15228</v>
      </c>
      <c r="H518" t="s">
        <v>48</v>
      </c>
      <c r="I518">
        <v>55</v>
      </c>
      <c r="J518">
        <v>1</v>
      </c>
      <c r="K518" t="s">
        <v>8131</v>
      </c>
    </row>
    <row r="519" spans="1:11" x14ac:dyDescent="0.25">
      <c r="A519" t="s">
        <v>1921</v>
      </c>
      <c r="B519" t="s">
        <v>1922</v>
      </c>
      <c r="C519" t="s">
        <v>1923</v>
      </c>
      <c r="D519" t="s">
        <v>1924</v>
      </c>
      <c r="E519" t="s">
        <v>14</v>
      </c>
      <c r="F519" t="s">
        <v>15</v>
      </c>
      <c r="G519">
        <v>15231</v>
      </c>
      <c r="H519" t="s">
        <v>34</v>
      </c>
      <c r="I519">
        <v>9</v>
      </c>
      <c r="J519">
        <v>1</v>
      </c>
      <c r="K519" t="s">
        <v>8131</v>
      </c>
    </row>
    <row r="520" spans="1:11" x14ac:dyDescent="0.25">
      <c r="A520" t="s">
        <v>1925</v>
      </c>
      <c r="B520" t="s">
        <v>119</v>
      </c>
      <c r="C520" t="s">
        <v>1926</v>
      </c>
      <c r="D520" t="s">
        <v>1927</v>
      </c>
      <c r="E520" t="s">
        <v>14</v>
      </c>
      <c r="F520" t="s">
        <v>15</v>
      </c>
      <c r="G520">
        <v>15203</v>
      </c>
      <c r="H520" t="s">
        <v>34</v>
      </c>
      <c r="I520">
        <v>14</v>
      </c>
      <c r="J520">
        <v>1</v>
      </c>
      <c r="K520" t="s">
        <v>8131</v>
      </c>
    </row>
    <row r="521" spans="1:11" x14ac:dyDescent="0.25">
      <c r="A521" t="s">
        <v>1928</v>
      </c>
      <c r="B521" t="s">
        <v>1929</v>
      </c>
      <c r="C521" t="s">
        <v>1930</v>
      </c>
      <c r="D521" t="s">
        <v>1931</v>
      </c>
      <c r="E521" t="s">
        <v>14</v>
      </c>
      <c r="F521" t="s">
        <v>15</v>
      </c>
      <c r="G521">
        <v>15222</v>
      </c>
      <c r="H521" t="s">
        <v>43</v>
      </c>
      <c r="I521">
        <v>6</v>
      </c>
      <c r="J521">
        <v>0</v>
      </c>
      <c r="K521" t="s">
        <v>8133</v>
      </c>
    </row>
    <row r="522" spans="1:11" x14ac:dyDescent="0.25">
      <c r="A522" t="s">
        <v>1932</v>
      </c>
      <c r="B522" t="s">
        <v>1933</v>
      </c>
      <c r="C522" t="s">
        <v>151</v>
      </c>
      <c r="D522" t="s">
        <v>1934</v>
      </c>
      <c r="E522" t="s">
        <v>14</v>
      </c>
      <c r="F522" t="s">
        <v>15</v>
      </c>
      <c r="G522">
        <v>15208</v>
      </c>
      <c r="H522" t="s">
        <v>48</v>
      </c>
      <c r="I522">
        <v>14</v>
      </c>
      <c r="J522">
        <v>1</v>
      </c>
      <c r="K522" t="s">
        <v>8131</v>
      </c>
    </row>
    <row r="523" spans="1:11" x14ac:dyDescent="0.25">
      <c r="A523" t="s">
        <v>1935</v>
      </c>
      <c r="B523" t="s">
        <v>1936</v>
      </c>
      <c r="C523" t="s">
        <v>1937</v>
      </c>
      <c r="D523" t="s">
        <v>1938</v>
      </c>
      <c r="E523" t="s">
        <v>14</v>
      </c>
      <c r="F523" t="s">
        <v>15</v>
      </c>
      <c r="G523">
        <v>15222</v>
      </c>
      <c r="H523" t="s">
        <v>48</v>
      </c>
      <c r="I523">
        <v>132</v>
      </c>
      <c r="J523">
        <v>0</v>
      </c>
      <c r="K523" t="s">
        <v>8131</v>
      </c>
    </row>
    <row r="524" spans="1:11" x14ac:dyDescent="0.25">
      <c r="A524" t="s">
        <v>1939</v>
      </c>
      <c r="B524" t="s">
        <v>1940</v>
      </c>
      <c r="C524" t="s">
        <v>1941</v>
      </c>
      <c r="D524" t="s">
        <v>1021</v>
      </c>
      <c r="E524" t="s">
        <v>14</v>
      </c>
      <c r="F524" t="s">
        <v>15</v>
      </c>
      <c r="G524">
        <v>15222</v>
      </c>
      <c r="H524" t="s">
        <v>34</v>
      </c>
      <c r="I524">
        <v>29</v>
      </c>
      <c r="J524">
        <v>1</v>
      </c>
      <c r="K524" t="s">
        <v>8131</v>
      </c>
    </row>
    <row r="525" spans="1:11" x14ac:dyDescent="0.25">
      <c r="A525" t="s">
        <v>1942</v>
      </c>
      <c r="B525" t="s">
        <v>1943</v>
      </c>
      <c r="C525" t="s">
        <v>1944</v>
      </c>
      <c r="D525" t="s">
        <v>1945</v>
      </c>
      <c r="E525" t="s">
        <v>14</v>
      </c>
      <c r="F525" t="s">
        <v>15</v>
      </c>
      <c r="G525">
        <v>15224</v>
      </c>
      <c r="H525" t="s">
        <v>16</v>
      </c>
      <c r="I525">
        <v>137</v>
      </c>
      <c r="J525">
        <v>1</v>
      </c>
      <c r="K525" t="s">
        <v>8117</v>
      </c>
    </row>
    <row r="526" spans="1:11" x14ac:dyDescent="0.25">
      <c r="A526" t="s">
        <v>1946</v>
      </c>
      <c r="B526" t="s">
        <v>1947</v>
      </c>
      <c r="C526" t="s">
        <v>1948</v>
      </c>
      <c r="D526" t="s">
        <v>1327</v>
      </c>
      <c r="E526" t="s">
        <v>14</v>
      </c>
      <c r="F526" t="s">
        <v>15</v>
      </c>
      <c r="G526">
        <v>15222</v>
      </c>
      <c r="H526" t="s">
        <v>34</v>
      </c>
      <c r="I526">
        <v>238</v>
      </c>
      <c r="J526">
        <v>1</v>
      </c>
      <c r="K526" t="s">
        <v>8131</v>
      </c>
    </row>
    <row r="527" spans="1:11" x14ac:dyDescent="0.25">
      <c r="A527" t="s">
        <v>1949</v>
      </c>
      <c r="B527" t="s">
        <v>1950</v>
      </c>
      <c r="C527" t="s">
        <v>228</v>
      </c>
      <c r="D527" t="s">
        <v>1951</v>
      </c>
      <c r="E527" t="s">
        <v>14</v>
      </c>
      <c r="F527" t="s">
        <v>15</v>
      </c>
      <c r="G527">
        <v>15227</v>
      </c>
      <c r="H527" t="s">
        <v>43</v>
      </c>
      <c r="I527">
        <v>3</v>
      </c>
      <c r="J527">
        <v>1</v>
      </c>
      <c r="K527" t="s">
        <v>8131</v>
      </c>
    </row>
    <row r="528" spans="1:11" x14ac:dyDescent="0.25">
      <c r="A528" t="s">
        <v>1952</v>
      </c>
      <c r="B528" t="s">
        <v>1953</v>
      </c>
      <c r="C528" t="s">
        <v>1954</v>
      </c>
      <c r="D528" t="s">
        <v>1955</v>
      </c>
      <c r="E528" t="s">
        <v>14</v>
      </c>
      <c r="F528" t="s">
        <v>15</v>
      </c>
      <c r="G528">
        <v>15213</v>
      </c>
      <c r="H528" t="s">
        <v>113</v>
      </c>
      <c r="I528">
        <v>18</v>
      </c>
      <c r="J528">
        <v>0</v>
      </c>
      <c r="K528" t="s">
        <v>8121</v>
      </c>
    </row>
    <row r="529" spans="1:11" x14ac:dyDescent="0.25">
      <c r="A529" t="s">
        <v>1956</v>
      </c>
      <c r="B529" t="s">
        <v>1957</v>
      </c>
      <c r="C529" t="s">
        <v>1958</v>
      </c>
      <c r="D529" t="s">
        <v>687</v>
      </c>
      <c r="E529" t="s">
        <v>14</v>
      </c>
      <c r="F529" t="s">
        <v>15</v>
      </c>
      <c r="G529">
        <v>15235</v>
      </c>
      <c r="H529" t="s">
        <v>21</v>
      </c>
      <c r="I529">
        <v>27</v>
      </c>
      <c r="J529">
        <v>1</v>
      </c>
      <c r="K529" t="s">
        <v>8133</v>
      </c>
    </row>
    <row r="530" spans="1:11" x14ac:dyDescent="0.25">
      <c r="A530" t="s">
        <v>1959</v>
      </c>
      <c r="B530" t="s">
        <v>1960</v>
      </c>
      <c r="C530" t="s">
        <v>632</v>
      </c>
      <c r="D530" t="s">
        <v>576</v>
      </c>
      <c r="E530" t="s">
        <v>14</v>
      </c>
      <c r="F530" t="s">
        <v>15</v>
      </c>
      <c r="G530">
        <v>15219</v>
      </c>
      <c r="H530" t="s">
        <v>48</v>
      </c>
      <c r="I530">
        <v>41</v>
      </c>
      <c r="J530">
        <v>1</v>
      </c>
      <c r="K530" t="s">
        <v>8131</v>
      </c>
    </row>
    <row r="531" spans="1:11" x14ac:dyDescent="0.25">
      <c r="A531" t="s">
        <v>1961</v>
      </c>
      <c r="B531" t="s">
        <v>1962</v>
      </c>
      <c r="C531" t="s">
        <v>1963</v>
      </c>
      <c r="D531" t="s">
        <v>1964</v>
      </c>
      <c r="E531" t="s">
        <v>14</v>
      </c>
      <c r="F531" t="s">
        <v>15</v>
      </c>
      <c r="G531">
        <v>15238</v>
      </c>
      <c r="H531" t="s">
        <v>48</v>
      </c>
      <c r="I531">
        <v>13</v>
      </c>
      <c r="J531">
        <v>0</v>
      </c>
      <c r="K531" t="s">
        <v>8131</v>
      </c>
    </row>
    <row r="532" spans="1:11" x14ac:dyDescent="0.25">
      <c r="A532" t="s">
        <v>1965</v>
      </c>
      <c r="B532" t="s">
        <v>1966</v>
      </c>
      <c r="C532" t="s">
        <v>1967</v>
      </c>
      <c r="D532" t="s">
        <v>1968</v>
      </c>
      <c r="E532" t="s">
        <v>14</v>
      </c>
      <c r="F532" t="s">
        <v>15</v>
      </c>
      <c r="G532">
        <v>15201</v>
      </c>
      <c r="H532" t="s">
        <v>16</v>
      </c>
      <c r="I532">
        <v>130</v>
      </c>
      <c r="J532">
        <v>1</v>
      </c>
      <c r="K532" t="s">
        <v>8131</v>
      </c>
    </row>
    <row r="533" spans="1:11" x14ac:dyDescent="0.25">
      <c r="A533" t="s">
        <v>1969</v>
      </c>
      <c r="B533" t="s">
        <v>1970</v>
      </c>
      <c r="C533" t="s">
        <v>1971</v>
      </c>
      <c r="D533" t="s">
        <v>1972</v>
      </c>
      <c r="E533" t="s">
        <v>14</v>
      </c>
      <c r="F533" t="s">
        <v>15</v>
      </c>
      <c r="G533">
        <v>15213</v>
      </c>
      <c r="H533" t="s">
        <v>16</v>
      </c>
      <c r="I533">
        <v>16</v>
      </c>
      <c r="J533">
        <v>0</v>
      </c>
      <c r="K533" t="s">
        <v>8131</v>
      </c>
    </row>
    <row r="534" spans="1:11" x14ac:dyDescent="0.25">
      <c r="A534" t="s">
        <v>1973</v>
      </c>
      <c r="B534" t="s">
        <v>65</v>
      </c>
      <c r="C534" t="s">
        <v>1974</v>
      </c>
      <c r="D534" t="s">
        <v>1975</v>
      </c>
      <c r="E534" t="s">
        <v>14</v>
      </c>
      <c r="F534" t="s">
        <v>15</v>
      </c>
      <c r="G534">
        <v>15209</v>
      </c>
      <c r="H534" t="s">
        <v>16</v>
      </c>
      <c r="I534">
        <v>5</v>
      </c>
      <c r="J534">
        <v>0</v>
      </c>
      <c r="K534" t="s">
        <v>8131</v>
      </c>
    </row>
    <row r="535" spans="1:11" x14ac:dyDescent="0.25">
      <c r="A535" t="s">
        <v>1976</v>
      </c>
      <c r="B535" t="s">
        <v>1977</v>
      </c>
      <c r="C535" t="s">
        <v>1978</v>
      </c>
      <c r="D535" t="s">
        <v>1979</v>
      </c>
      <c r="E535" t="s">
        <v>14</v>
      </c>
      <c r="F535" t="s">
        <v>15</v>
      </c>
      <c r="G535">
        <v>15203</v>
      </c>
      <c r="H535" t="s">
        <v>21</v>
      </c>
      <c r="I535">
        <v>6</v>
      </c>
      <c r="J535">
        <v>0</v>
      </c>
      <c r="K535" t="s">
        <v>8122</v>
      </c>
    </row>
    <row r="536" spans="1:11" x14ac:dyDescent="0.25">
      <c r="A536" t="s">
        <v>1980</v>
      </c>
      <c r="B536" t="s">
        <v>1981</v>
      </c>
      <c r="C536" t="s">
        <v>1982</v>
      </c>
      <c r="D536" t="s">
        <v>1983</v>
      </c>
      <c r="E536" t="s">
        <v>14</v>
      </c>
      <c r="F536" t="s">
        <v>15</v>
      </c>
      <c r="G536">
        <v>15213</v>
      </c>
      <c r="H536" t="s">
        <v>34</v>
      </c>
      <c r="I536">
        <v>105</v>
      </c>
      <c r="J536">
        <v>1</v>
      </c>
      <c r="K536" t="s">
        <v>8119</v>
      </c>
    </row>
    <row r="537" spans="1:11" x14ac:dyDescent="0.25">
      <c r="A537" t="s">
        <v>1984</v>
      </c>
      <c r="B537" t="s">
        <v>1985</v>
      </c>
      <c r="C537" t="s">
        <v>1986</v>
      </c>
      <c r="D537" t="s">
        <v>1987</v>
      </c>
      <c r="E537" t="s">
        <v>14</v>
      </c>
      <c r="F537" t="s">
        <v>15</v>
      </c>
      <c r="G537">
        <v>15219</v>
      </c>
      <c r="H537" t="s">
        <v>34</v>
      </c>
      <c r="I537">
        <v>6</v>
      </c>
      <c r="J537">
        <v>1</v>
      </c>
      <c r="K537" t="s">
        <v>8131</v>
      </c>
    </row>
    <row r="538" spans="1:11" x14ac:dyDescent="0.25">
      <c r="A538" t="s">
        <v>1988</v>
      </c>
      <c r="B538" t="s">
        <v>1989</v>
      </c>
      <c r="C538" t="s">
        <v>1990</v>
      </c>
      <c r="D538" t="s">
        <v>1991</v>
      </c>
      <c r="E538" t="s">
        <v>14</v>
      </c>
      <c r="F538" t="s">
        <v>15</v>
      </c>
      <c r="G538">
        <v>15213</v>
      </c>
      <c r="H538" t="s">
        <v>48</v>
      </c>
      <c r="I538">
        <v>55</v>
      </c>
      <c r="J538">
        <v>1</v>
      </c>
      <c r="K538" t="s">
        <v>8121</v>
      </c>
    </row>
    <row r="539" spans="1:11" x14ac:dyDescent="0.25">
      <c r="A539" t="s">
        <v>1992</v>
      </c>
      <c r="B539" t="s">
        <v>1993</v>
      </c>
      <c r="C539" t="s">
        <v>147</v>
      </c>
      <c r="D539" t="s">
        <v>1994</v>
      </c>
      <c r="E539" t="s">
        <v>14</v>
      </c>
      <c r="F539" t="s">
        <v>15</v>
      </c>
      <c r="G539">
        <v>15222</v>
      </c>
      <c r="H539" t="s">
        <v>48</v>
      </c>
      <c r="I539">
        <v>1234</v>
      </c>
      <c r="J539">
        <v>1</v>
      </c>
      <c r="K539" t="s">
        <v>8131</v>
      </c>
    </row>
    <row r="540" spans="1:11" x14ac:dyDescent="0.25">
      <c r="A540" t="s">
        <v>1995</v>
      </c>
      <c r="B540" t="s">
        <v>586</v>
      </c>
      <c r="C540" t="s">
        <v>1996</v>
      </c>
      <c r="D540" t="s">
        <v>1997</v>
      </c>
      <c r="E540" t="s">
        <v>14</v>
      </c>
      <c r="F540" t="s">
        <v>15</v>
      </c>
      <c r="G540">
        <v>15228</v>
      </c>
      <c r="H540" t="s">
        <v>34</v>
      </c>
      <c r="I540">
        <v>4</v>
      </c>
      <c r="J540">
        <v>0</v>
      </c>
      <c r="K540" t="s">
        <v>8120</v>
      </c>
    </row>
    <row r="541" spans="1:11" x14ac:dyDescent="0.25">
      <c r="A541" t="s">
        <v>1998</v>
      </c>
      <c r="B541" t="s">
        <v>1999</v>
      </c>
      <c r="C541" t="s">
        <v>2000</v>
      </c>
      <c r="D541" t="s">
        <v>179</v>
      </c>
      <c r="E541" t="s">
        <v>14</v>
      </c>
      <c r="F541" t="s">
        <v>15</v>
      </c>
      <c r="G541">
        <v>15205</v>
      </c>
      <c r="H541" t="s">
        <v>92</v>
      </c>
      <c r="I541">
        <v>11</v>
      </c>
      <c r="J541">
        <v>0</v>
      </c>
      <c r="K541" t="s">
        <v>8131</v>
      </c>
    </row>
    <row r="542" spans="1:11" x14ac:dyDescent="0.25">
      <c r="A542" t="s">
        <v>2001</v>
      </c>
      <c r="B542" t="s">
        <v>2002</v>
      </c>
      <c r="C542" t="s">
        <v>2003</v>
      </c>
      <c r="D542" t="s">
        <v>2004</v>
      </c>
      <c r="E542" t="s">
        <v>14</v>
      </c>
      <c r="F542" t="s">
        <v>15</v>
      </c>
      <c r="G542">
        <v>15227</v>
      </c>
      <c r="H542" t="s">
        <v>43</v>
      </c>
      <c r="I542">
        <v>4</v>
      </c>
      <c r="J542">
        <v>1</v>
      </c>
      <c r="K542" t="s">
        <v>8131</v>
      </c>
    </row>
    <row r="543" spans="1:11" x14ac:dyDescent="0.25">
      <c r="A543" t="s">
        <v>2005</v>
      </c>
      <c r="B543" t="s">
        <v>2006</v>
      </c>
      <c r="C543" t="s">
        <v>1476</v>
      </c>
      <c r="D543" t="s">
        <v>2007</v>
      </c>
      <c r="E543" t="s">
        <v>14</v>
      </c>
      <c r="F543" t="s">
        <v>15</v>
      </c>
      <c r="G543">
        <v>15220</v>
      </c>
      <c r="H543" t="s">
        <v>43</v>
      </c>
      <c r="I543">
        <v>20</v>
      </c>
      <c r="J543">
        <v>0</v>
      </c>
      <c r="K543" t="s">
        <v>8131</v>
      </c>
    </row>
    <row r="544" spans="1:11" x14ac:dyDescent="0.25">
      <c r="A544" t="s">
        <v>2008</v>
      </c>
      <c r="B544" t="s">
        <v>2009</v>
      </c>
      <c r="C544" t="s">
        <v>2010</v>
      </c>
      <c r="D544" t="s">
        <v>2011</v>
      </c>
      <c r="E544" t="s">
        <v>14</v>
      </c>
      <c r="F544" t="s">
        <v>15</v>
      </c>
      <c r="G544">
        <v>15203</v>
      </c>
      <c r="H544" t="s">
        <v>92</v>
      </c>
      <c r="I544">
        <v>4</v>
      </c>
      <c r="J544">
        <v>0</v>
      </c>
      <c r="K544" t="s">
        <v>8131</v>
      </c>
    </row>
    <row r="545" spans="1:11" x14ac:dyDescent="0.25">
      <c r="A545" t="s">
        <v>2012</v>
      </c>
      <c r="B545" t="s">
        <v>945</v>
      </c>
      <c r="C545" t="s">
        <v>2013</v>
      </c>
      <c r="D545" t="s">
        <v>2014</v>
      </c>
      <c r="E545" t="s">
        <v>14</v>
      </c>
      <c r="F545" t="s">
        <v>15</v>
      </c>
      <c r="G545">
        <v>15237</v>
      </c>
      <c r="H545" t="s">
        <v>34</v>
      </c>
      <c r="I545">
        <v>7</v>
      </c>
      <c r="J545">
        <v>1</v>
      </c>
      <c r="K545" t="s">
        <v>8131</v>
      </c>
    </row>
    <row r="546" spans="1:11" x14ac:dyDescent="0.25">
      <c r="A546" t="s">
        <v>2015</v>
      </c>
      <c r="B546" t="s">
        <v>2016</v>
      </c>
      <c r="C546" t="s">
        <v>2017</v>
      </c>
      <c r="D546" t="s">
        <v>2018</v>
      </c>
      <c r="E546" t="s">
        <v>14</v>
      </c>
      <c r="F546" t="s">
        <v>15</v>
      </c>
      <c r="G546">
        <v>15213</v>
      </c>
      <c r="H546" t="s">
        <v>43</v>
      </c>
      <c r="I546">
        <v>4</v>
      </c>
      <c r="J546">
        <v>0</v>
      </c>
      <c r="K546" t="s">
        <v>8119</v>
      </c>
    </row>
    <row r="547" spans="1:11" x14ac:dyDescent="0.25">
      <c r="A547" t="s">
        <v>2019</v>
      </c>
      <c r="B547" t="s">
        <v>2020</v>
      </c>
      <c r="C547" t="s">
        <v>2021</v>
      </c>
      <c r="D547" t="s">
        <v>2022</v>
      </c>
      <c r="E547" t="s">
        <v>14</v>
      </c>
      <c r="F547" t="s">
        <v>15</v>
      </c>
      <c r="G547">
        <v>15216</v>
      </c>
      <c r="H547" t="s">
        <v>21</v>
      </c>
      <c r="I547">
        <v>3</v>
      </c>
      <c r="J547">
        <v>1</v>
      </c>
      <c r="K547" t="s">
        <v>8120</v>
      </c>
    </row>
    <row r="548" spans="1:11" x14ac:dyDescent="0.25">
      <c r="A548" t="s">
        <v>2023</v>
      </c>
      <c r="B548" t="s">
        <v>2024</v>
      </c>
      <c r="C548" t="s">
        <v>2025</v>
      </c>
      <c r="D548" t="s">
        <v>1792</v>
      </c>
      <c r="E548" t="s">
        <v>14</v>
      </c>
      <c r="F548" t="s">
        <v>15</v>
      </c>
      <c r="G548">
        <v>15222</v>
      </c>
      <c r="H548" t="s">
        <v>16</v>
      </c>
      <c r="I548">
        <v>5</v>
      </c>
      <c r="J548">
        <v>1</v>
      </c>
      <c r="K548" t="s">
        <v>8131</v>
      </c>
    </row>
    <row r="549" spans="1:11" x14ac:dyDescent="0.25">
      <c r="A549" t="s">
        <v>2026</v>
      </c>
      <c r="B549" t="s">
        <v>2027</v>
      </c>
      <c r="C549" t="s">
        <v>2028</v>
      </c>
      <c r="D549" t="s">
        <v>2029</v>
      </c>
      <c r="E549" t="s">
        <v>14</v>
      </c>
      <c r="F549" t="s">
        <v>15</v>
      </c>
      <c r="G549">
        <v>15224</v>
      </c>
      <c r="H549" t="s">
        <v>16</v>
      </c>
      <c r="I549">
        <v>47</v>
      </c>
      <c r="J549">
        <v>1</v>
      </c>
      <c r="K549" t="s">
        <v>8131</v>
      </c>
    </row>
    <row r="550" spans="1:11" x14ac:dyDescent="0.25">
      <c r="A550" t="s">
        <v>2030</v>
      </c>
      <c r="B550" t="s">
        <v>2031</v>
      </c>
      <c r="C550" t="s">
        <v>2032</v>
      </c>
      <c r="D550" t="s">
        <v>2033</v>
      </c>
      <c r="E550" t="s">
        <v>14</v>
      </c>
      <c r="F550" t="s">
        <v>15</v>
      </c>
      <c r="G550">
        <v>15203</v>
      </c>
      <c r="H550" t="s">
        <v>16</v>
      </c>
      <c r="I550">
        <v>8</v>
      </c>
      <c r="J550">
        <v>0</v>
      </c>
      <c r="K550" t="s">
        <v>8127</v>
      </c>
    </row>
    <row r="551" spans="1:11" x14ac:dyDescent="0.25">
      <c r="A551" t="s">
        <v>2034</v>
      </c>
      <c r="B551" t="s">
        <v>2035</v>
      </c>
      <c r="C551" t="s">
        <v>2036</v>
      </c>
      <c r="D551" t="s">
        <v>2037</v>
      </c>
      <c r="E551" t="s">
        <v>14</v>
      </c>
      <c r="F551" t="s">
        <v>15</v>
      </c>
      <c r="G551">
        <v>15236</v>
      </c>
      <c r="H551" t="s">
        <v>21</v>
      </c>
      <c r="I551">
        <v>34</v>
      </c>
      <c r="J551">
        <v>1</v>
      </c>
      <c r="K551" t="s">
        <v>8131</v>
      </c>
    </row>
    <row r="552" spans="1:11" x14ac:dyDescent="0.25">
      <c r="A552" t="s">
        <v>2038</v>
      </c>
      <c r="B552" t="s">
        <v>2039</v>
      </c>
      <c r="C552" t="s">
        <v>2040</v>
      </c>
      <c r="D552" t="s">
        <v>2041</v>
      </c>
      <c r="E552" t="s">
        <v>14</v>
      </c>
      <c r="F552" t="s">
        <v>15</v>
      </c>
      <c r="G552">
        <v>15213</v>
      </c>
      <c r="H552" t="s">
        <v>48</v>
      </c>
      <c r="I552">
        <v>41</v>
      </c>
      <c r="J552">
        <v>1</v>
      </c>
      <c r="K552" t="s">
        <v>8124</v>
      </c>
    </row>
    <row r="553" spans="1:11" x14ac:dyDescent="0.25">
      <c r="A553" t="s">
        <v>2042</v>
      </c>
      <c r="B553" t="s">
        <v>2043</v>
      </c>
      <c r="C553" t="s">
        <v>2044</v>
      </c>
      <c r="D553" t="s">
        <v>2045</v>
      </c>
      <c r="E553" t="s">
        <v>14</v>
      </c>
      <c r="F553" t="s">
        <v>15</v>
      </c>
      <c r="G553">
        <v>15221</v>
      </c>
      <c r="H553" t="s">
        <v>113</v>
      </c>
      <c r="I553">
        <v>24</v>
      </c>
      <c r="J553">
        <v>1</v>
      </c>
      <c r="K553" t="s">
        <v>8131</v>
      </c>
    </row>
    <row r="554" spans="1:11" x14ac:dyDescent="0.25">
      <c r="A554" t="s">
        <v>2046</v>
      </c>
      <c r="B554" t="s">
        <v>2047</v>
      </c>
      <c r="C554" t="s">
        <v>2048</v>
      </c>
      <c r="D554" t="s">
        <v>2049</v>
      </c>
      <c r="E554" t="s">
        <v>14</v>
      </c>
      <c r="F554" t="s">
        <v>15</v>
      </c>
      <c r="G554">
        <v>15208</v>
      </c>
      <c r="H554" t="s">
        <v>21</v>
      </c>
      <c r="I554">
        <v>18</v>
      </c>
      <c r="J554">
        <v>1</v>
      </c>
      <c r="K554" t="s">
        <v>8131</v>
      </c>
    </row>
    <row r="555" spans="1:11" x14ac:dyDescent="0.25">
      <c r="A555" t="s">
        <v>2050</v>
      </c>
      <c r="B555" t="s">
        <v>2051</v>
      </c>
      <c r="C555" t="s">
        <v>1085</v>
      </c>
      <c r="D555" t="s">
        <v>2052</v>
      </c>
      <c r="E555" t="s">
        <v>14</v>
      </c>
      <c r="F555" t="s">
        <v>15</v>
      </c>
      <c r="G555">
        <v>15212</v>
      </c>
      <c r="H555" t="s">
        <v>113</v>
      </c>
      <c r="I555">
        <v>126</v>
      </c>
      <c r="J555">
        <v>0</v>
      </c>
      <c r="K555" t="s">
        <v>8132</v>
      </c>
    </row>
    <row r="556" spans="1:11" x14ac:dyDescent="0.25">
      <c r="A556" t="s">
        <v>2053</v>
      </c>
      <c r="B556" t="s">
        <v>2054</v>
      </c>
      <c r="C556" t="s">
        <v>2055</v>
      </c>
      <c r="D556" t="s">
        <v>2056</v>
      </c>
      <c r="E556" t="s">
        <v>14</v>
      </c>
      <c r="F556" t="s">
        <v>15</v>
      </c>
      <c r="G556">
        <v>15221</v>
      </c>
      <c r="H556" t="s">
        <v>34</v>
      </c>
      <c r="I556">
        <v>19</v>
      </c>
      <c r="J556">
        <v>0</v>
      </c>
      <c r="K556" t="s">
        <v>8131</v>
      </c>
    </row>
    <row r="557" spans="1:11" x14ac:dyDescent="0.25">
      <c r="A557" t="s">
        <v>2057</v>
      </c>
      <c r="B557" t="s">
        <v>2058</v>
      </c>
      <c r="C557" t="s">
        <v>260</v>
      </c>
      <c r="D557" t="s">
        <v>2059</v>
      </c>
      <c r="E557" t="s">
        <v>14</v>
      </c>
      <c r="F557" t="s">
        <v>15</v>
      </c>
      <c r="G557">
        <v>15238</v>
      </c>
      <c r="H557" t="s">
        <v>34</v>
      </c>
      <c r="I557">
        <v>14</v>
      </c>
      <c r="J557">
        <v>1</v>
      </c>
      <c r="K557" t="s">
        <v>8122</v>
      </c>
    </row>
    <row r="558" spans="1:11" x14ac:dyDescent="0.25">
      <c r="A558" t="s">
        <v>2060</v>
      </c>
      <c r="B558" t="s">
        <v>119</v>
      </c>
      <c r="C558" t="s">
        <v>2061</v>
      </c>
      <c r="D558" t="s">
        <v>2062</v>
      </c>
      <c r="E558" t="s">
        <v>14</v>
      </c>
      <c r="F558" t="s">
        <v>15</v>
      </c>
      <c r="G558">
        <v>15222</v>
      </c>
      <c r="H558" t="s">
        <v>48</v>
      </c>
      <c r="I558">
        <v>11</v>
      </c>
      <c r="J558">
        <v>0</v>
      </c>
      <c r="K558" t="s">
        <v>8131</v>
      </c>
    </row>
    <row r="559" spans="1:11" x14ac:dyDescent="0.25">
      <c r="A559" t="s">
        <v>2063</v>
      </c>
      <c r="B559" t="s">
        <v>2064</v>
      </c>
      <c r="C559" t="s">
        <v>2065</v>
      </c>
      <c r="D559" t="s">
        <v>2066</v>
      </c>
      <c r="E559" t="s">
        <v>14</v>
      </c>
      <c r="F559" t="s">
        <v>15</v>
      </c>
      <c r="G559">
        <v>15205</v>
      </c>
      <c r="H559" t="s">
        <v>34</v>
      </c>
      <c r="I559">
        <v>26</v>
      </c>
      <c r="J559">
        <v>1</v>
      </c>
      <c r="K559" t="s">
        <v>8131</v>
      </c>
    </row>
    <row r="560" spans="1:11" x14ac:dyDescent="0.25">
      <c r="A560" t="s">
        <v>2067</v>
      </c>
      <c r="B560" t="s">
        <v>2068</v>
      </c>
      <c r="C560" t="s">
        <v>2069</v>
      </c>
      <c r="D560" t="s">
        <v>2070</v>
      </c>
      <c r="E560" t="s">
        <v>14</v>
      </c>
      <c r="F560" t="s">
        <v>15</v>
      </c>
      <c r="G560">
        <v>15203</v>
      </c>
      <c r="H560" t="s">
        <v>21</v>
      </c>
      <c r="I560">
        <v>232</v>
      </c>
      <c r="J560">
        <v>1</v>
      </c>
      <c r="K560" t="s">
        <v>8132</v>
      </c>
    </row>
    <row r="561" spans="1:11" x14ac:dyDescent="0.25">
      <c r="A561" t="s">
        <v>2071</v>
      </c>
      <c r="B561" t="s">
        <v>586</v>
      </c>
      <c r="C561" t="s">
        <v>2072</v>
      </c>
      <c r="D561" t="s">
        <v>2073</v>
      </c>
      <c r="E561" t="s">
        <v>14</v>
      </c>
      <c r="F561" t="s">
        <v>15</v>
      </c>
      <c r="G561">
        <v>15235</v>
      </c>
      <c r="H561" t="s">
        <v>48</v>
      </c>
      <c r="I561">
        <v>12</v>
      </c>
      <c r="J561">
        <v>0</v>
      </c>
      <c r="K561" t="s">
        <v>8120</v>
      </c>
    </row>
    <row r="562" spans="1:11" x14ac:dyDescent="0.25">
      <c r="A562" t="s">
        <v>2074</v>
      </c>
      <c r="B562" t="s">
        <v>2075</v>
      </c>
      <c r="C562" t="s">
        <v>2076</v>
      </c>
      <c r="D562" t="s">
        <v>2077</v>
      </c>
      <c r="E562" t="s">
        <v>14</v>
      </c>
      <c r="F562" t="s">
        <v>15</v>
      </c>
      <c r="G562">
        <v>15222</v>
      </c>
      <c r="H562" t="s">
        <v>16</v>
      </c>
      <c r="I562">
        <v>214</v>
      </c>
      <c r="J562">
        <v>1</v>
      </c>
      <c r="K562" t="s">
        <v>8118</v>
      </c>
    </row>
    <row r="563" spans="1:11" x14ac:dyDescent="0.25">
      <c r="A563" t="s">
        <v>2078</v>
      </c>
      <c r="B563" t="s">
        <v>65</v>
      </c>
      <c r="C563" t="s">
        <v>2079</v>
      </c>
      <c r="D563" t="s">
        <v>2080</v>
      </c>
      <c r="E563" t="s">
        <v>14</v>
      </c>
      <c r="F563" t="s">
        <v>15</v>
      </c>
      <c r="G563">
        <v>15236</v>
      </c>
      <c r="H563" t="s">
        <v>34</v>
      </c>
      <c r="I563">
        <v>7</v>
      </c>
      <c r="J563">
        <v>0</v>
      </c>
      <c r="K563" t="s">
        <v>8131</v>
      </c>
    </row>
    <row r="564" spans="1:11" x14ac:dyDescent="0.25">
      <c r="A564" t="s">
        <v>2081</v>
      </c>
      <c r="B564" t="s">
        <v>2082</v>
      </c>
      <c r="C564" t="s">
        <v>2083</v>
      </c>
      <c r="D564" t="s">
        <v>2084</v>
      </c>
      <c r="E564" t="s">
        <v>14</v>
      </c>
      <c r="F564" t="s">
        <v>15</v>
      </c>
      <c r="G564">
        <v>15222</v>
      </c>
      <c r="H564" t="s">
        <v>34</v>
      </c>
      <c r="I564">
        <v>348</v>
      </c>
      <c r="J564">
        <v>1</v>
      </c>
      <c r="K564" t="s">
        <v>8131</v>
      </c>
    </row>
    <row r="565" spans="1:11" x14ac:dyDescent="0.25">
      <c r="A565" t="s">
        <v>2085</v>
      </c>
      <c r="B565" t="s">
        <v>2086</v>
      </c>
      <c r="C565" t="s">
        <v>2087</v>
      </c>
      <c r="D565" t="s">
        <v>2088</v>
      </c>
      <c r="E565" t="s">
        <v>14</v>
      </c>
      <c r="F565" t="s">
        <v>15</v>
      </c>
      <c r="G565">
        <v>15208</v>
      </c>
      <c r="H565" t="s">
        <v>21</v>
      </c>
      <c r="I565">
        <v>3</v>
      </c>
      <c r="J565">
        <v>0</v>
      </c>
      <c r="K565" t="s">
        <v>8131</v>
      </c>
    </row>
    <row r="566" spans="1:11" x14ac:dyDescent="0.25">
      <c r="A566" t="s">
        <v>2089</v>
      </c>
      <c r="B566" t="s">
        <v>2090</v>
      </c>
      <c r="C566" t="s">
        <v>32</v>
      </c>
      <c r="D566" t="s">
        <v>1340</v>
      </c>
      <c r="E566" t="s">
        <v>14</v>
      </c>
      <c r="F566" t="s">
        <v>15</v>
      </c>
      <c r="G566">
        <v>15238</v>
      </c>
      <c r="H566" t="s">
        <v>34</v>
      </c>
      <c r="I566">
        <v>3</v>
      </c>
      <c r="J566">
        <v>1</v>
      </c>
      <c r="K566" t="s">
        <v>8131</v>
      </c>
    </row>
    <row r="567" spans="1:11" x14ac:dyDescent="0.25">
      <c r="A567" t="s">
        <v>2091</v>
      </c>
      <c r="B567" t="s">
        <v>2092</v>
      </c>
      <c r="C567" t="s">
        <v>2093</v>
      </c>
      <c r="D567" t="s">
        <v>2094</v>
      </c>
      <c r="E567" t="s">
        <v>14</v>
      </c>
      <c r="F567" t="s">
        <v>15</v>
      </c>
      <c r="G567">
        <v>15203</v>
      </c>
      <c r="H567" t="s">
        <v>21</v>
      </c>
      <c r="I567">
        <v>121</v>
      </c>
      <c r="J567">
        <v>1</v>
      </c>
      <c r="K567" t="s">
        <v>8131</v>
      </c>
    </row>
    <row r="568" spans="1:11" x14ac:dyDescent="0.25">
      <c r="A568" t="s">
        <v>2095</v>
      </c>
      <c r="B568" t="s">
        <v>2096</v>
      </c>
      <c r="C568" t="s">
        <v>155</v>
      </c>
      <c r="D568" t="s">
        <v>2097</v>
      </c>
      <c r="E568" t="s">
        <v>14</v>
      </c>
      <c r="F568" t="s">
        <v>15</v>
      </c>
      <c r="G568">
        <v>15212</v>
      </c>
      <c r="H568" t="s">
        <v>157</v>
      </c>
      <c r="I568">
        <v>13</v>
      </c>
      <c r="J568">
        <v>1</v>
      </c>
      <c r="K568" t="s">
        <v>8120</v>
      </c>
    </row>
    <row r="569" spans="1:11" x14ac:dyDescent="0.25">
      <c r="A569" t="s">
        <v>2098</v>
      </c>
      <c r="B569" t="s">
        <v>2099</v>
      </c>
      <c r="C569" t="s">
        <v>2100</v>
      </c>
      <c r="D569" t="s">
        <v>2101</v>
      </c>
      <c r="E569" t="s">
        <v>14</v>
      </c>
      <c r="F569" t="s">
        <v>15</v>
      </c>
      <c r="G569">
        <v>15205</v>
      </c>
      <c r="H569" t="s">
        <v>48</v>
      </c>
      <c r="I569">
        <v>24</v>
      </c>
      <c r="J569">
        <v>1</v>
      </c>
      <c r="K569" t="s">
        <v>8117</v>
      </c>
    </row>
    <row r="570" spans="1:11" x14ac:dyDescent="0.25">
      <c r="A570" t="s">
        <v>2102</v>
      </c>
      <c r="B570" t="s">
        <v>2103</v>
      </c>
      <c r="C570" t="s">
        <v>2104</v>
      </c>
      <c r="D570" t="s">
        <v>2105</v>
      </c>
      <c r="E570" t="s">
        <v>14</v>
      </c>
      <c r="F570" t="s">
        <v>15</v>
      </c>
      <c r="G570">
        <v>15237</v>
      </c>
      <c r="H570" t="s">
        <v>34</v>
      </c>
      <c r="I570">
        <v>53</v>
      </c>
      <c r="J570">
        <v>1</v>
      </c>
      <c r="K570" t="s">
        <v>8122</v>
      </c>
    </row>
    <row r="571" spans="1:11" x14ac:dyDescent="0.25">
      <c r="A571" t="s">
        <v>2106</v>
      </c>
      <c r="B571" t="s">
        <v>2107</v>
      </c>
      <c r="C571" t="s">
        <v>2108</v>
      </c>
      <c r="D571" t="s">
        <v>2109</v>
      </c>
      <c r="E571" t="s">
        <v>14</v>
      </c>
      <c r="F571" t="s">
        <v>15</v>
      </c>
      <c r="G571">
        <v>15208</v>
      </c>
      <c r="H571" t="s">
        <v>48</v>
      </c>
      <c r="I571">
        <v>5</v>
      </c>
      <c r="J571">
        <v>0</v>
      </c>
      <c r="K571" t="s">
        <v>8131</v>
      </c>
    </row>
    <row r="572" spans="1:11" x14ac:dyDescent="0.25">
      <c r="A572" t="s">
        <v>2110</v>
      </c>
      <c r="B572" t="s">
        <v>2111</v>
      </c>
      <c r="C572" t="s">
        <v>2112</v>
      </c>
      <c r="D572" t="s">
        <v>2113</v>
      </c>
      <c r="E572" t="s">
        <v>14</v>
      </c>
      <c r="F572" t="s">
        <v>15</v>
      </c>
      <c r="G572">
        <v>15213</v>
      </c>
      <c r="H572" t="s">
        <v>43</v>
      </c>
      <c r="I572">
        <v>36</v>
      </c>
      <c r="J572">
        <v>1</v>
      </c>
      <c r="K572" t="s">
        <v>8131</v>
      </c>
    </row>
    <row r="573" spans="1:11" x14ac:dyDescent="0.25">
      <c r="A573" t="s">
        <v>2114</v>
      </c>
      <c r="B573" t="s">
        <v>65</v>
      </c>
      <c r="C573" t="s">
        <v>2115</v>
      </c>
      <c r="D573" t="s">
        <v>2116</v>
      </c>
      <c r="E573" t="s">
        <v>14</v>
      </c>
      <c r="F573" t="s">
        <v>15</v>
      </c>
      <c r="G573">
        <v>15213</v>
      </c>
      <c r="H573" t="s">
        <v>43</v>
      </c>
      <c r="I573">
        <v>20</v>
      </c>
      <c r="J573">
        <v>1</v>
      </c>
      <c r="K573" t="s">
        <v>8131</v>
      </c>
    </row>
    <row r="574" spans="1:11" x14ac:dyDescent="0.25">
      <c r="A574" t="s">
        <v>2117</v>
      </c>
      <c r="B574" t="s">
        <v>2118</v>
      </c>
      <c r="C574" t="s">
        <v>2119</v>
      </c>
      <c r="D574" t="s">
        <v>2120</v>
      </c>
      <c r="E574" t="s">
        <v>14</v>
      </c>
      <c r="F574" t="s">
        <v>15</v>
      </c>
      <c r="G574">
        <v>15201</v>
      </c>
      <c r="H574" t="s">
        <v>21</v>
      </c>
      <c r="I574">
        <v>30</v>
      </c>
      <c r="J574">
        <v>1</v>
      </c>
      <c r="K574" t="s">
        <v>8122</v>
      </c>
    </row>
    <row r="575" spans="1:11" x14ac:dyDescent="0.25">
      <c r="A575" t="s">
        <v>2121</v>
      </c>
      <c r="B575" t="s">
        <v>447</v>
      </c>
      <c r="C575" t="s">
        <v>2122</v>
      </c>
      <c r="D575" t="s">
        <v>2123</v>
      </c>
      <c r="E575" t="s">
        <v>14</v>
      </c>
      <c r="F575" t="s">
        <v>15</v>
      </c>
      <c r="G575">
        <v>15232</v>
      </c>
      <c r="H575" t="s">
        <v>16</v>
      </c>
      <c r="I575">
        <v>33</v>
      </c>
      <c r="J575">
        <v>0</v>
      </c>
      <c r="K575" t="s">
        <v>8122</v>
      </c>
    </row>
    <row r="576" spans="1:11" x14ac:dyDescent="0.25">
      <c r="A576" t="s">
        <v>2124</v>
      </c>
      <c r="B576" t="s">
        <v>2125</v>
      </c>
      <c r="C576" t="s">
        <v>2126</v>
      </c>
      <c r="D576" t="s">
        <v>2127</v>
      </c>
      <c r="E576" t="s">
        <v>14</v>
      </c>
      <c r="F576" t="s">
        <v>15</v>
      </c>
      <c r="G576">
        <v>15213</v>
      </c>
      <c r="H576" t="s">
        <v>48</v>
      </c>
      <c r="I576">
        <v>113</v>
      </c>
      <c r="J576">
        <v>1</v>
      </c>
      <c r="K576" t="s">
        <v>8120</v>
      </c>
    </row>
    <row r="577" spans="1:11" x14ac:dyDescent="0.25">
      <c r="A577" t="s">
        <v>2128</v>
      </c>
      <c r="B577" t="s">
        <v>65</v>
      </c>
      <c r="C577" t="s">
        <v>948</v>
      </c>
      <c r="D577" t="s">
        <v>453</v>
      </c>
      <c r="E577" t="s">
        <v>14</v>
      </c>
      <c r="F577" t="s">
        <v>15</v>
      </c>
      <c r="G577">
        <v>15243</v>
      </c>
      <c r="H577" t="s">
        <v>16</v>
      </c>
      <c r="I577">
        <v>19</v>
      </c>
      <c r="J577">
        <v>1</v>
      </c>
      <c r="K577" t="s">
        <v>8131</v>
      </c>
    </row>
    <row r="578" spans="1:11" x14ac:dyDescent="0.25">
      <c r="A578" t="s">
        <v>2129</v>
      </c>
      <c r="B578" t="s">
        <v>2130</v>
      </c>
      <c r="C578" t="s">
        <v>2131</v>
      </c>
      <c r="D578" t="s">
        <v>2132</v>
      </c>
      <c r="E578" t="s">
        <v>14</v>
      </c>
      <c r="F578" t="s">
        <v>15</v>
      </c>
      <c r="G578">
        <v>15206</v>
      </c>
      <c r="H578" t="s">
        <v>21</v>
      </c>
      <c r="I578">
        <v>3</v>
      </c>
      <c r="J578">
        <v>0</v>
      </c>
      <c r="K578" t="s">
        <v>8131</v>
      </c>
    </row>
    <row r="579" spans="1:11" x14ac:dyDescent="0.25">
      <c r="A579" t="s">
        <v>2133</v>
      </c>
      <c r="B579" t="s">
        <v>2134</v>
      </c>
      <c r="C579" t="s">
        <v>2135</v>
      </c>
      <c r="D579" t="s">
        <v>2136</v>
      </c>
      <c r="E579" t="s">
        <v>14</v>
      </c>
      <c r="F579" t="s">
        <v>15</v>
      </c>
      <c r="G579">
        <v>15217</v>
      </c>
      <c r="H579" t="s">
        <v>48</v>
      </c>
      <c r="I579">
        <v>7</v>
      </c>
      <c r="J579">
        <v>0</v>
      </c>
      <c r="K579" t="s">
        <v>8131</v>
      </c>
    </row>
    <row r="580" spans="1:11" x14ac:dyDescent="0.25">
      <c r="A580" t="s">
        <v>2137</v>
      </c>
      <c r="B580" t="s">
        <v>2138</v>
      </c>
      <c r="C580" t="s">
        <v>147</v>
      </c>
      <c r="D580" t="s">
        <v>2139</v>
      </c>
      <c r="E580" t="s">
        <v>14</v>
      </c>
      <c r="F580" t="s">
        <v>15</v>
      </c>
      <c r="G580">
        <v>15203</v>
      </c>
      <c r="H580" t="s">
        <v>48</v>
      </c>
      <c r="I580">
        <v>158</v>
      </c>
      <c r="J580">
        <v>1</v>
      </c>
      <c r="K580" t="s">
        <v>8131</v>
      </c>
    </row>
    <row r="581" spans="1:11" x14ac:dyDescent="0.25">
      <c r="A581" t="s">
        <v>2140</v>
      </c>
      <c r="B581" t="s">
        <v>2141</v>
      </c>
      <c r="C581" t="s">
        <v>2142</v>
      </c>
      <c r="D581" t="s">
        <v>2143</v>
      </c>
      <c r="E581" t="s">
        <v>14</v>
      </c>
      <c r="F581" t="s">
        <v>15</v>
      </c>
      <c r="G581">
        <v>15222</v>
      </c>
      <c r="H581" t="s">
        <v>16</v>
      </c>
      <c r="I581">
        <v>54</v>
      </c>
      <c r="J581">
        <v>1</v>
      </c>
      <c r="K581" t="s">
        <v>8120</v>
      </c>
    </row>
    <row r="582" spans="1:11" x14ac:dyDescent="0.25">
      <c r="A582" t="s">
        <v>2144</v>
      </c>
      <c r="B582" t="s">
        <v>2145</v>
      </c>
      <c r="C582" t="s">
        <v>2146</v>
      </c>
      <c r="D582" t="s">
        <v>2147</v>
      </c>
      <c r="E582" t="s">
        <v>14</v>
      </c>
      <c r="F582" t="s">
        <v>15</v>
      </c>
      <c r="G582">
        <v>15209</v>
      </c>
      <c r="H582" t="s">
        <v>16</v>
      </c>
      <c r="I582">
        <v>29</v>
      </c>
      <c r="J582">
        <v>1</v>
      </c>
      <c r="K582" t="s">
        <v>8120</v>
      </c>
    </row>
    <row r="583" spans="1:11" x14ac:dyDescent="0.25">
      <c r="A583" t="s">
        <v>2148</v>
      </c>
      <c r="B583" t="s">
        <v>2149</v>
      </c>
      <c r="C583" t="s">
        <v>2150</v>
      </c>
      <c r="D583" t="s">
        <v>2151</v>
      </c>
      <c r="E583" t="s">
        <v>14</v>
      </c>
      <c r="F583" t="s">
        <v>15</v>
      </c>
      <c r="G583">
        <v>15232</v>
      </c>
      <c r="H583" t="s">
        <v>43</v>
      </c>
      <c r="I583">
        <v>80</v>
      </c>
      <c r="J583">
        <v>0</v>
      </c>
      <c r="K583" t="s">
        <v>8125</v>
      </c>
    </row>
    <row r="584" spans="1:11" x14ac:dyDescent="0.25">
      <c r="A584" t="s">
        <v>2152</v>
      </c>
      <c r="B584" t="s">
        <v>720</v>
      </c>
      <c r="C584" t="s">
        <v>2153</v>
      </c>
      <c r="D584" t="s">
        <v>2154</v>
      </c>
      <c r="E584" t="s">
        <v>14</v>
      </c>
      <c r="F584" t="s">
        <v>15</v>
      </c>
      <c r="G584">
        <v>15224</v>
      </c>
      <c r="H584" t="s">
        <v>21</v>
      </c>
      <c r="I584">
        <v>171</v>
      </c>
      <c r="J584">
        <v>1</v>
      </c>
      <c r="K584" t="s">
        <v>8131</v>
      </c>
    </row>
    <row r="585" spans="1:11" x14ac:dyDescent="0.25">
      <c r="A585" t="s">
        <v>2155</v>
      </c>
      <c r="B585" t="s">
        <v>23</v>
      </c>
      <c r="C585" t="s">
        <v>2156</v>
      </c>
      <c r="D585" t="s">
        <v>2157</v>
      </c>
      <c r="E585" t="s">
        <v>14</v>
      </c>
      <c r="F585" t="s">
        <v>15</v>
      </c>
      <c r="G585">
        <v>15219</v>
      </c>
      <c r="H585" t="s">
        <v>16</v>
      </c>
      <c r="I585">
        <v>112</v>
      </c>
      <c r="J585">
        <v>1</v>
      </c>
      <c r="K585" t="s">
        <v>8117</v>
      </c>
    </row>
    <row r="586" spans="1:11" x14ac:dyDescent="0.25">
      <c r="A586" t="s">
        <v>2158</v>
      </c>
      <c r="B586" t="s">
        <v>2159</v>
      </c>
      <c r="C586" t="s">
        <v>1105</v>
      </c>
      <c r="D586" t="s">
        <v>2160</v>
      </c>
      <c r="E586" t="s">
        <v>14</v>
      </c>
      <c r="F586" t="s">
        <v>15</v>
      </c>
      <c r="G586">
        <v>15260</v>
      </c>
      <c r="H586" t="s">
        <v>21</v>
      </c>
      <c r="I586">
        <v>67</v>
      </c>
      <c r="J586">
        <v>1</v>
      </c>
      <c r="K586" t="s">
        <v>8131</v>
      </c>
    </row>
    <row r="587" spans="1:11" x14ac:dyDescent="0.25">
      <c r="A587" t="s">
        <v>2161</v>
      </c>
      <c r="B587" t="s">
        <v>2162</v>
      </c>
      <c r="C587" t="s">
        <v>2163</v>
      </c>
      <c r="D587" t="s">
        <v>2164</v>
      </c>
      <c r="E587" t="s">
        <v>14</v>
      </c>
      <c r="F587" t="s">
        <v>15</v>
      </c>
      <c r="G587">
        <v>15216</v>
      </c>
      <c r="H587" t="s">
        <v>48</v>
      </c>
      <c r="I587">
        <v>123</v>
      </c>
      <c r="J587">
        <v>1</v>
      </c>
      <c r="K587" t="s">
        <v>8119</v>
      </c>
    </row>
    <row r="588" spans="1:11" x14ac:dyDescent="0.25">
      <c r="A588" t="s">
        <v>2165</v>
      </c>
      <c r="B588" t="s">
        <v>2166</v>
      </c>
      <c r="C588" t="s">
        <v>2167</v>
      </c>
      <c r="D588" t="s">
        <v>2168</v>
      </c>
      <c r="E588" t="s">
        <v>14</v>
      </c>
      <c r="F588" t="s">
        <v>15</v>
      </c>
      <c r="G588">
        <v>15224</v>
      </c>
      <c r="H588" t="s">
        <v>21</v>
      </c>
      <c r="I588">
        <v>3</v>
      </c>
      <c r="J588">
        <v>1</v>
      </c>
      <c r="K588" t="s">
        <v>8131</v>
      </c>
    </row>
    <row r="589" spans="1:11" x14ac:dyDescent="0.25">
      <c r="A589" t="s">
        <v>2169</v>
      </c>
      <c r="B589" t="s">
        <v>2170</v>
      </c>
      <c r="C589" t="s">
        <v>2171</v>
      </c>
      <c r="D589" t="s">
        <v>2172</v>
      </c>
      <c r="E589" t="s">
        <v>14</v>
      </c>
      <c r="F589" t="s">
        <v>15</v>
      </c>
      <c r="G589">
        <v>15202</v>
      </c>
      <c r="H589" t="s">
        <v>48</v>
      </c>
      <c r="I589">
        <v>3</v>
      </c>
      <c r="J589">
        <v>1</v>
      </c>
      <c r="K589" t="s">
        <v>8131</v>
      </c>
    </row>
    <row r="590" spans="1:11" x14ac:dyDescent="0.25">
      <c r="A590" t="s">
        <v>2173</v>
      </c>
      <c r="B590" t="s">
        <v>239</v>
      </c>
      <c r="C590" t="s">
        <v>2174</v>
      </c>
      <c r="D590" t="s">
        <v>1254</v>
      </c>
      <c r="E590" t="s">
        <v>14</v>
      </c>
      <c r="F590" t="s">
        <v>15</v>
      </c>
      <c r="G590">
        <v>15236</v>
      </c>
      <c r="H590" t="s">
        <v>34</v>
      </c>
      <c r="I590">
        <v>24</v>
      </c>
      <c r="J590">
        <v>1</v>
      </c>
      <c r="K590" t="s">
        <v>8122</v>
      </c>
    </row>
    <row r="591" spans="1:11" x14ac:dyDescent="0.25">
      <c r="A591" t="s">
        <v>2175</v>
      </c>
      <c r="B591" t="s">
        <v>2176</v>
      </c>
      <c r="C591" t="s">
        <v>2177</v>
      </c>
      <c r="D591" t="s">
        <v>2178</v>
      </c>
      <c r="E591" t="s">
        <v>14</v>
      </c>
      <c r="F591" t="s">
        <v>15</v>
      </c>
      <c r="G591">
        <v>15215</v>
      </c>
      <c r="H591" t="s">
        <v>48</v>
      </c>
      <c r="I591">
        <v>20</v>
      </c>
      <c r="J591">
        <v>0</v>
      </c>
      <c r="K591" t="s">
        <v>8131</v>
      </c>
    </row>
    <row r="592" spans="1:11" x14ac:dyDescent="0.25">
      <c r="A592" t="s">
        <v>2179</v>
      </c>
      <c r="B592" t="s">
        <v>2180</v>
      </c>
      <c r="C592" t="s">
        <v>2181</v>
      </c>
      <c r="D592" t="s">
        <v>198</v>
      </c>
      <c r="E592" t="s">
        <v>14</v>
      </c>
      <c r="F592" t="s">
        <v>15</v>
      </c>
      <c r="G592">
        <v>15222</v>
      </c>
      <c r="H592" t="s">
        <v>48</v>
      </c>
      <c r="I592">
        <v>23</v>
      </c>
      <c r="J592">
        <v>1</v>
      </c>
      <c r="K592" t="s">
        <v>8133</v>
      </c>
    </row>
    <row r="593" spans="1:11" x14ac:dyDescent="0.25">
      <c r="A593" t="s">
        <v>2182</v>
      </c>
      <c r="B593" t="s">
        <v>2183</v>
      </c>
      <c r="C593" t="s">
        <v>2184</v>
      </c>
      <c r="D593" t="s">
        <v>2185</v>
      </c>
      <c r="E593" t="s">
        <v>14</v>
      </c>
      <c r="F593" t="s">
        <v>15</v>
      </c>
      <c r="G593">
        <v>15202</v>
      </c>
      <c r="H593" t="s">
        <v>92</v>
      </c>
      <c r="I593">
        <v>6</v>
      </c>
      <c r="J593">
        <v>1</v>
      </c>
      <c r="K593" t="s">
        <v>8131</v>
      </c>
    </row>
    <row r="594" spans="1:11" x14ac:dyDescent="0.25">
      <c r="A594" t="s">
        <v>2186</v>
      </c>
      <c r="B594" t="s">
        <v>2187</v>
      </c>
      <c r="C594" t="s">
        <v>2188</v>
      </c>
      <c r="D594" t="s">
        <v>2189</v>
      </c>
      <c r="E594" t="s">
        <v>14</v>
      </c>
      <c r="F594" t="s">
        <v>15</v>
      </c>
      <c r="G594">
        <v>15216</v>
      </c>
      <c r="H594" t="s">
        <v>16</v>
      </c>
      <c r="I594">
        <v>28</v>
      </c>
      <c r="J594">
        <v>1</v>
      </c>
      <c r="K594" t="s">
        <v>8131</v>
      </c>
    </row>
    <row r="595" spans="1:11" x14ac:dyDescent="0.25">
      <c r="A595" t="e">
        <f>-CfqFIH6rxUxJL9gR-k_XA</f>
        <v>#NAME?</v>
      </c>
      <c r="B595" t="s">
        <v>2190</v>
      </c>
      <c r="C595" t="s">
        <v>1377</v>
      </c>
      <c r="D595" t="s">
        <v>2191</v>
      </c>
      <c r="E595" t="s">
        <v>14</v>
      </c>
      <c r="F595" t="s">
        <v>15</v>
      </c>
      <c r="G595">
        <v>15217</v>
      </c>
      <c r="H595" t="s">
        <v>43</v>
      </c>
      <c r="I595">
        <v>32</v>
      </c>
      <c r="J595">
        <v>1</v>
      </c>
      <c r="K595" t="s">
        <v>8131</v>
      </c>
    </row>
    <row r="596" spans="1:11" x14ac:dyDescent="0.25">
      <c r="A596" t="s">
        <v>2192</v>
      </c>
      <c r="B596" t="s">
        <v>2193</v>
      </c>
      <c r="C596" t="s">
        <v>2194</v>
      </c>
      <c r="D596" t="s">
        <v>2195</v>
      </c>
      <c r="E596" t="s">
        <v>14</v>
      </c>
      <c r="F596" t="s">
        <v>15</v>
      </c>
      <c r="G596">
        <v>15224</v>
      </c>
      <c r="H596" t="s">
        <v>16</v>
      </c>
      <c r="I596">
        <v>114</v>
      </c>
      <c r="J596">
        <v>1</v>
      </c>
      <c r="K596" t="s">
        <v>8131</v>
      </c>
    </row>
    <row r="597" spans="1:11" x14ac:dyDescent="0.25">
      <c r="A597" t="s">
        <v>2196</v>
      </c>
      <c r="B597" t="s">
        <v>239</v>
      </c>
      <c r="C597" t="s">
        <v>2197</v>
      </c>
      <c r="D597" t="s">
        <v>2198</v>
      </c>
      <c r="E597" t="s">
        <v>14</v>
      </c>
      <c r="F597" t="s">
        <v>15</v>
      </c>
      <c r="G597">
        <v>15222</v>
      </c>
      <c r="H597" t="s">
        <v>16</v>
      </c>
      <c r="I597">
        <v>8</v>
      </c>
      <c r="J597">
        <v>0</v>
      </c>
      <c r="K597" t="s">
        <v>8122</v>
      </c>
    </row>
    <row r="598" spans="1:11" x14ac:dyDescent="0.25">
      <c r="A598" t="s">
        <v>2199</v>
      </c>
      <c r="B598" t="s">
        <v>2200</v>
      </c>
      <c r="C598" t="s">
        <v>2201</v>
      </c>
      <c r="D598" t="s">
        <v>2202</v>
      </c>
      <c r="E598" t="s">
        <v>14</v>
      </c>
      <c r="F598" t="s">
        <v>15</v>
      </c>
      <c r="G598">
        <v>15203</v>
      </c>
      <c r="H598" t="s">
        <v>21</v>
      </c>
      <c r="I598">
        <v>83</v>
      </c>
      <c r="J598">
        <v>1</v>
      </c>
      <c r="K598" t="s">
        <v>8120</v>
      </c>
    </row>
    <row r="599" spans="1:11" x14ac:dyDescent="0.25">
      <c r="A599" t="s">
        <v>2203</v>
      </c>
      <c r="B599" t="s">
        <v>447</v>
      </c>
      <c r="C599" t="s">
        <v>2204</v>
      </c>
      <c r="D599" t="s">
        <v>2205</v>
      </c>
      <c r="E599" t="s">
        <v>14</v>
      </c>
      <c r="F599" t="s">
        <v>15</v>
      </c>
      <c r="G599">
        <v>15238</v>
      </c>
      <c r="H599" t="s">
        <v>43</v>
      </c>
      <c r="I599">
        <v>13</v>
      </c>
      <c r="J599">
        <v>0</v>
      </c>
      <c r="K599" t="s">
        <v>8122</v>
      </c>
    </row>
    <row r="600" spans="1:11" x14ac:dyDescent="0.25">
      <c r="A600" t="s">
        <v>2206</v>
      </c>
      <c r="B600" t="s">
        <v>2207</v>
      </c>
      <c r="C600" t="s">
        <v>2208</v>
      </c>
      <c r="D600" t="s">
        <v>643</v>
      </c>
      <c r="E600" t="s">
        <v>14</v>
      </c>
      <c r="F600" t="s">
        <v>15</v>
      </c>
      <c r="G600">
        <v>15212</v>
      </c>
      <c r="H600" t="s">
        <v>21</v>
      </c>
      <c r="I600">
        <v>49</v>
      </c>
      <c r="J600">
        <v>1</v>
      </c>
      <c r="K600" t="s">
        <v>8131</v>
      </c>
    </row>
    <row r="601" spans="1:11" x14ac:dyDescent="0.25">
      <c r="A601" t="s">
        <v>2209</v>
      </c>
      <c r="B601" t="s">
        <v>2210</v>
      </c>
      <c r="C601" t="s">
        <v>2211</v>
      </c>
      <c r="D601" t="s">
        <v>2212</v>
      </c>
      <c r="E601" t="s">
        <v>14</v>
      </c>
      <c r="F601" t="s">
        <v>15</v>
      </c>
      <c r="G601">
        <v>15219</v>
      </c>
      <c r="H601" t="s">
        <v>34</v>
      </c>
      <c r="I601">
        <v>6</v>
      </c>
      <c r="J601">
        <v>0</v>
      </c>
      <c r="K601" t="s">
        <v>8131</v>
      </c>
    </row>
    <row r="602" spans="1:11" x14ac:dyDescent="0.25">
      <c r="A602" t="s">
        <v>2213</v>
      </c>
      <c r="B602" t="s">
        <v>1338</v>
      </c>
      <c r="C602" t="s">
        <v>2214</v>
      </c>
      <c r="D602" t="s">
        <v>2215</v>
      </c>
      <c r="E602" t="s">
        <v>14</v>
      </c>
      <c r="F602" t="s">
        <v>15</v>
      </c>
      <c r="G602">
        <v>15219</v>
      </c>
      <c r="H602" t="s">
        <v>34</v>
      </c>
      <c r="I602">
        <v>26</v>
      </c>
      <c r="J602">
        <v>1</v>
      </c>
      <c r="K602" t="s">
        <v>8120</v>
      </c>
    </row>
    <row r="603" spans="1:11" x14ac:dyDescent="0.25">
      <c r="A603" t="s">
        <v>2216</v>
      </c>
      <c r="B603" t="s">
        <v>2217</v>
      </c>
      <c r="C603" t="s">
        <v>2218</v>
      </c>
      <c r="D603" t="s">
        <v>2219</v>
      </c>
      <c r="E603" t="s">
        <v>14</v>
      </c>
      <c r="F603" t="s">
        <v>15</v>
      </c>
      <c r="G603">
        <v>15227</v>
      </c>
      <c r="H603" t="s">
        <v>48</v>
      </c>
      <c r="I603">
        <v>19</v>
      </c>
      <c r="J603">
        <v>1</v>
      </c>
      <c r="K603" t="s">
        <v>8131</v>
      </c>
    </row>
    <row r="604" spans="1:11" x14ac:dyDescent="0.25">
      <c r="A604" t="s">
        <v>2220</v>
      </c>
      <c r="B604" t="s">
        <v>2221</v>
      </c>
      <c r="C604" t="s">
        <v>2222</v>
      </c>
      <c r="D604" t="s">
        <v>534</v>
      </c>
      <c r="E604" t="s">
        <v>14</v>
      </c>
      <c r="F604" t="s">
        <v>15</v>
      </c>
      <c r="G604">
        <v>15233</v>
      </c>
      <c r="H604" t="s">
        <v>92</v>
      </c>
      <c r="I604">
        <v>5</v>
      </c>
      <c r="J604">
        <v>0</v>
      </c>
      <c r="K604" t="s">
        <v>8131</v>
      </c>
    </row>
    <row r="605" spans="1:11" x14ac:dyDescent="0.25">
      <c r="A605" t="s">
        <v>2223</v>
      </c>
      <c r="B605" t="s">
        <v>2224</v>
      </c>
      <c r="C605" t="s">
        <v>2225</v>
      </c>
      <c r="D605" t="s">
        <v>2226</v>
      </c>
      <c r="E605" t="s">
        <v>14</v>
      </c>
      <c r="F605" t="s">
        <v>15</v>
      </c>
      <c r="G605">
        <v>15237</v>
      </c>
      <c r="H605" t="s">
        <v>34</v>
      </c>
      <c r="I605">
        <v>42</v>
      </c>
      <c r="J605">
        <v>1</v>
      </c>
      <c r="K605" t="s">
        <v>8131</v>
      </c>
    </row>
    <row r="606" spans="1:11" x14ac:dyDescent="0.25">
      <c r="A606" t="s">
        <v>2227</v>
      </c>
      <c r="B606" t="s">
        <v>65</v>
      </c>
      <c r="C606" t="s">
        <v>2228</v>
      </c>
      <c r="D606" t="s">
        <v>2229</v>
      </c>
      <c r="E606" t="s">
        <v>14</v>
      </c>
      <c r="F606" t="s">
        <v>15</v>
      </c>
      <c r="G606">
        <v>15210</v>
      </c>
      <c r="H606" t="s">
        <v>92</v>
      </c>
      <c r="I606">
        <v>4</v>
      </c>
      <c r="J606">
        <v>1</v>
      </c>
      <c r="K606" t="s">
        <v>8131</v>
      </c>
    </row>
    <row r="607" spans="1:11" x14ac:dyDescent="0.25">
      <c r="A607" t="s">
        <v>2230</v>
      </c>
      <c r="B607" t="s">
        <v>1416</v>
      </c>
      <c r="C607" t="s">
        <v>32</v>
      </c>
      <c r="D607" t="s">
        <v>2231</v>
      </c>
      <c r="E607" t="s">
        <v>14</v>
      </c>
      <c r="F607" t="s">
        <v>15</v>
      </c>
      <c r="G607">
        <v>15222</v>
      </c>
      <c r="H607" t="s">
        <v>48</v>
      </c>
      <c r="I607">
        <v>3</v>
      </c>
      <c r="J607">
        <v>1</v>
      </c>
      <c r="K607" t="s">
        <v>8131</v>
      </c>
    </row>
    <row r="608" spans="1:11" x14ac:dyDescent="0.25">
      <c r="A608" t="s">
        <v>2232</v>
      </c>
      <c r="B608" t="s">
        <v>1384</v>
      </c>
      <c r="C608" t="s">
        <v>2233</v>
      </c>
      <c r="D608" t="s">
        <v>2234</v>
      </c>
      <c r="E608" t="s">
        <v>14</v>
      </c>
      <c r="F608" t="s">
        <v>15</v>
      </c>
      <c r="G608">
        <v>15222</v>
      </c>
      <c r="H608" t="s">
        <v>113</v>
      </c>
      <c r="I608">
        <v>6</v>
      </c>
      <c r="J608">
        <v>0</v>
      </c>
      <c r="K608" t="s">
        <v>8131</v>
      </c>
    </row>
    <row r="609" spans="1:11" x14ac:dyDescent="0.25">
      <c r="A609" t="s">
        <v>2235</v>
      </c>
      <c r="B609" t="s">
        <v>2236</v>
      </c>
      <c r="C609" t="s">
        <v>2237</v>
      </c>
      <c r="D609" t="s">
        <v>2238</v>
      </c>
      <c r="E609" t="s">
        <v>14</v>
      </c>
      <c r="F609" t="s">
        <v>15</v>
      </c>
      <c r="G609">
        <v>15209</v>
      </c>
      <c r="H609" t="s">
        <v>34</v>
      </c>
      <c r="I609">
        <v>20</v>
      </c>
      <c r="J609">
        <v>1</v>
      </c>
      <c r="K609" t="s">
        <v>8131</v>
      </c>
    </row>
    <row r="610" spans="1:11" x14ac:dyDescent="0.25">
      <c r="A610" t="s">
        <v>2239</v>
      </c>
      <c r="B610" t="s">
        <v>2240</v>
      </c>
      <c r="C610" t="s">
        <v>2241</v>
      </c>
      <c r="D610" t="s">
        <v>2242</v>
      </c>
      <c r="E610" t="s">
        <v>14</v>
      </c>
      <c r="F610" t="s">
        <v>15</v>
      </c>
      <c r="G610">
        <v>15216</v>
      </c>
      <c r="H610" t="s">
        <v>92</v>
      </c>
      <c r="I610">
        <v>43</v>
      </c>
      <c r="J610">
        <v>1</v>
      </c>
      <c r="K610" t="s">
        <v>8118</v>
      </c>
    </row>
    <row r="611" spans="1:11" x14ac:dyDescent="0.25">
      <c r="A611" t="s">
        <v>2243</v>
      </c>
      <c r="B611" t="s">
        <v>2090</v>
      </c>
      <c r="C611" t="s">
        <v>32</v>
      </c>
      <c r="D611" t="s">
        <v>1924</v>
      </c>
      <c r="E611" t="s">
        <v>14</v>
      </c>
      <c r="F611" t="s">
        <v>15</v>
      </c>
      <c r="G611">
        <v>15231</v>
      </c>
      <c r="H611" t="s">
        <v>34</v>
      </c>
      <c r="I611">
        <v>5</v>
      </c>
      <c r="J611">
        <v>1</v>
      </c>
      <c r="K611" t="s">
        <v>8131</v>
      </c>
    </row>
    <row r="612" spans="1:11" x14ac:dyDescent="0.25">
      <c r="A612" t="s">
        <v>2244</v>
      </c>
      <c r="B612" t="s">
        <v>2245</v>
      </c>
      <c r="C612" t="s">
        <v>2246</v>
      </c>
      <c r="D612" t="s">
        <v>2247</v>
      </c>
      <c r="E612" t="s">
        <v>14</v>
      </c>
      <c r="F612" t="s">
        <v>15</v>
      </c>
      <c r="G612">
        <v>15201</v>
      </c>
      <c r="H612" t="s">
        <v>48</v>
      </c>
      <c r="I612">
        <v>37</v>
      </c>
      <c r="J612">
        <v>1</v>
      </c>
      <c r="K612" t="s">
        <v>8131</v>
      </c>
    </row>
    <row r="613" spans="1:11" x14ac:dyDescent="0.25">
      <c r="A613" t="s">
        <v>2248</v>
      </c>
      <c r="B613" t="s">
        <v>447</v>
      </c>
      <c r="C613" t="s">
        <v>2249</v>
      </c>
      <c r="D613" t="s">
        <v>2250</v>
      </c>
      <c r="E613" t="s">
        <v>14</v>
      </c>
      <c r="F613" t="s">
        <v>15</v>
      </c>
      <c r="G613">
        <v>15275</v>
      </c>
      <c r="H613" t="s">
        <v>34</v>
      </c>
      <c r="I613">
        <v>50</v>
      </c>
      <c r="J613">
        <v>1</v>
      </c>
      <c r="K613" t="s">
        <v>8122</v>
      </c>
    </row>
    <row r="614" spans="1:11" x14ac:dyDescent="0.25">
      <c r="A614" t="s">
        <v>2251</v>
      </c>
      <c r="B614" t="s">
        <v>2252</v>
      </c>
      <c r="C614" t="s">
        <v>2253</v>
      </c>
      <c r="D614" t="s">
        <v>2254</v>
      </c>
      <c r="E614" t="s">
        <v>14</v>
      </c>
      <c r="F614" t="s">
        <v>15</v>
      </c>
      <c r="G614">
        <v>15203</v>
      </c>
      <c r="H614" t="s">
        <v>16</v>
      </c>
      <c r="I614">
        <v>128</v>
      </c>
      <c r="J614">
        <v>1</v>
      </c>
      <c r="K614" t="s">
        <v>8120</v>
      </c>
    </row>
    <row r="615" spans="1:11" x14ac:dyDescent="0.25">
      <c r="A615" t="s">
        <v>2255</v>
      </c>
      <c r="B615" t="s">
        <v>2256</v>
      </c>
      <c r="C615" t="s">
        <v>2257</v>
      </c>
      <c r="D615" t="s">
        <v>1234</v>
      </c>
      <c r="E615" t="s">
        <v>14</v>
      </c>
      <c r="F615" t="s">
        <v>15</v>
      </c>
      <c r="G615">
        <v>15237</v>
      </c>
      <c r="H615" t="s">
        <v>43</v>
      </c>
      <c r="I615">
        <v>9</v>
      </c>
      <c r="J615">
        <v>1</v>
      </c>
      <c r="K615" t="s">
        <v>8124</v>
      </c>
    </row>
    <row r="616" spans="1:11" x14ac:dyDescent="0.25">
      <c r="A616" t="s">
        <v>2258</v>
      </c>
      <c r="B616" t="s">
        <v>1664</v>
      </c>
      <c r="C616" t="s">
        <v>1665</v>
      </c>
      <c r="D616" t="s">
        <v>2259</v>
      </c>
      <c r="E616" t="s">
        <v>14</v>
      </c>
      <c r="F616" t="s">
        <v>15</v>
      </c>
      <c r="G616">
        <v>15205</v>
      </c>
      <c r="H616" t="s">
        <v>43</v>
      </c>
      <c r="I616">
        <v>3</v>
      </c>
      <c r="J616">
        <v>1</v>
      </c>
      <c r="K616" t="s">
        <v>8131</v>
      </c>
    </row>
    <row r="617" spans="1:11" x14ac:dyDescent="0.25">
      <c r="A617" t="s">
        <v>2260</v>
      </c>
      <c r="B617" t="s">
        <v>1416</v>
      </c>
      <c r="C617" t="s">
        <v>32</v>
      </c>
      <c r="D617" t="s">
        <v>2261</v>
      </c>
      <c r="E617" t="s">
        <v>14</v>
      </c>
      <c r="F617" t="s">
        <v>15</v>
      </c>
      <c r="G617">
        <v>15203</v>
      </c>
      <c r="H617" t="s">
        <v>48</v>
      </c>
      <c r="I617">
        <v>9</v>
      </c>
      <c r="J617">
        <v>1</v>
      </c>
      <c r="K617" t="s">
        <v>8131</v>
      </c>
    </row>
    <row r="618" spans="1:11" x14ac:dyDescent="0.25">
      <c r="A618" t="s">
        <v>2262</v>
      </c>
      <c r="B618" t="s">
        <v>2263</v>
      </c>
      <c r="C618" t="s">
        <v>2264</v>
      </c>
      <c r="D618" t="s">
        <v>2265</v>
      </c>
      <c r="E618" t="s">
        <v>14</v>
      </c>
      <c r="F618" t="s">
        <v>15</v>
      </c>
      <c r="G618">
        <v>15212</v>
      </c>
      <c r="H618" t="s">
        <v>16</v>
      </c>
      <c r="I618">
        <v>141</v>
      </c>
      <c r="J618">
        <v>1</v>
      </c>
      <c r="K618" t="s">
        <v>8133</v>
      </c>
    </row>
    <row r="619" spans="1:11" x14ac:dyDescent="0.25">
      <c r="A619" t="s">
        <v>2266</v>
      </c>
      <c r="B619" t="s">
        <v>407</v>
      </c>
      <c r="C619" t="s">
        <v>2267</v>
      </c>
      <c r="D619" t="s">
        <v>936</v>
      </c>
      <c r="E619" t="s">
        <v>14</v>
      </c>
      <c r="F619" t="s">
        <v>15</v>
      </c>
      <c r="G619">
        <v>15206</v>
      </c>
      <c r="H619" t="s">
        <v>34</v>
      </c>
      <c r="I619">
        <v>18</v>
      </c>
      <c r="J619">
        <v>0</v>
      </c>
      <c r="K619" t="s">
        <v>8131</v>
      </c>
    </row>
    <row r="620" spans="1:11" x14ac:dyDescent="0.25">
      <c r="A620" t="s">
        <v>2268</v>
      </c>
      <c r="B620" t="s">
        <v>2269</v>
      </c>
      <c r="C620" t="s">
        <v>2270</v>
      </c>
      <c r="D620" t="s">
        <v>2271</v>
      </c>
      <c r="E620" t="s">
        <v>14</v>
      </c>
      <c r="F620" t="s">
        <v>15</v>
      </c>
      <c r="G620">
        <v>15229</v>
      </c>
      <c r="H620" t="s">
        <v>48</v>
      </c>
      <c r="I620">
        <v>48</v>
      </c>
      <c r="J620">
        <v>1</v>
      </c>
      <c r="K620" t="s">
        <v>8120</v>
      </c>
    </row>
    <row r="621" spans="1:11" x14ac:dyDescent="0.25">
      <c r="A621" t="s">
        <v>2272</v>
      </c>
      <c r="B621" t="s">
        <v>2273</v>
      </c>
      <c r="C621" t="s">
        <v>2274</v>
      </c>
      <c r="D621" t="s">
        <v>2275</v>
      </c>
      <c r="E621" t="s">
        <v>14</v>
      </c>
      <c r="F621" t="s">
        <v>15</v>
      </c>
      <c r="G621">
        <v>15219</v>
      </c>
      <c r="H621" t="s">
        <v>43</v>
      </c>
      <c r="I621">
        <v>144</v>
      </c>
      <c r="J621">
        <v>1</v>
      </c>
      <c r="K621" t="s">
        <v>8120</v>
      </c>
    </row>
    <row r="622" spans="1:11" x14ac:dyDescent="0.25">
      <c r="A622" t="s">
        <v>2276</v>
      </c>
      <c r="B622" t="s">
        <v>2277</v>
      </c>
      <c r="C622" t="s">
        <v>2278</v>
      </c>
      <c r="D622" t="s">
        <v>2279</v>
      </c>
      <c r="E622" t="s">
        <v>14</v>
      </c>
      <c r="F622" t="s">
        <v>15</v>
      </c>
      <c r="G622">
        <v>15222</v>
      </c>
      <c r="H622" t="s">
        <v>48</v>
      </c>
      <c r="I622">
        <v>15</v>
      </c>
      <c r="J622">
        <v>1</v>
      </c>
      <c r="K622" t="s">
        <v>8131</v>
      </c>
    </row>
    <row r="623" spans="1:11" x14ac:dyDescent="0.25">
      <c r="A623" t="s">
        <v>2280</v>
      </c>
      <c r="B623" t="s">
        <v>2281</v>
      </c>
      <c r="C623" t="s">
        <v>2282</v>
      </c>
      <c r="D623" t="s">
        <v>2283</v>
      </c>
      <c r="E623" t="s">
        <v>14</v>
      </c>
      <c r="F623" t="s">
        <v>15</v>
      </c>
      <c r="G623">
        <v>15212</v>
      </c>
      <c r="H623" t="s">
        <v>48</v>
      </c>
      <c r="I623">
        <v>216</v>
      </c>
      <c r="J623">
        <v>0</v>
      </c>
      <c r="K623" t="s">
        <v>8131</v>
      </c>
    </row>
    <row r="624" spans="1:11" x14ac:dyDescent="0.25">
      <c r="A624" t="s">
        <v>2284</v>
      </c>
      <c r="B624" t="s">
        <v>2285</v>
      </c>
      <c r="C624" t="s">
        <v>2286</v>
      </c>
      <c r="D624" t="s">
        <v>2287</v>
      </c>
      <c r="E624" t="s">
        <v>14</v>
      </c>
      <c r="F624" t="s">
        <v>15</v>
      </c>
      <c r="G624">
        <v>15213</v>
      </c>
      <c r="H624" t="s">
        <v>34</v>
      </c>
      <c r="I624">
        <v>4</v>
      </c>
      <c r="J624">
        <v>0</v>
      </c>
      <c r="K624" t="s">
        <v>8131</v>
      </c>
    </row>
    <row r="625" spans="1:11" x14ac:dyDescent="0.25">
      <c r="A625" t="s">
        <v>2288</v>
      </c>
      <c r="B625" t="s">
        <v>2289</v>
      </c>
      <c r="C625" t="s">
        <v>2290</v>
      </c>
      <c r="D625" t="s">
        <v>2291</v>
      </c>
      <c r="E625" t="s">
        <v>14</v>
      </c>
      <c r="F625" t="s">
        <v>15</v>
      </c>
      <c r="G625">
        <v>15228</v>
      </c>
      <c r="H625" t="s">
        <v>16</v>
      </c>
      <c r="I625">
        <v>52</v>
      </c>
      <c r="J625">
        <v>1</v>
      </c>
      <c r="K625" t="s">
        <v>8131</v>
      </c>
    </row>
    <row r="626" spans="1:11" x14ac:dyDescent="0.25">
      <c r="A626" t="s">
        <v>2292</v>
      </c>
      <c r="B626" t="s">
        <v>2293</v>
      </c>
      <c r="C626" t="s">
        <v>2294</v>
      </c>
      <c r="D626" t="s">
        <v>2120</v>
      </c>
      <c r="E626" t="s">
        <v>14</v>
      </c>
      <c r="F626" t="s">
        <v>15</v>
      </c>
      <c r="G626">
        <v>15201</v>
      </c>
      <c r="H626" t="s">
        <v>48</v>
      </c>
      <c r="I626">
        <v>190</v>
      </c>
      <c r="J626">
        <v>0</v>
      </c>
      <c r="K626" t="s">
        <v>8131</v>
      </c>
    </row>
    <row r="627" spans="1:11" x14ac:dyDescent="0.25">
      <c r="A627" t="s">
        <v>2295</v>
      </c>
      <c r="B627" t="s">
        <v>2296</v>
      </c>
      <c r="C627" t="s">
        <v>2297</v>
      </c>
      <c r="D627" t="s">
        <v>2007</v>
      </c>
      <c r="E627" t="s">
        <v>14</v>
      </c>
      <c r="F627" t="s">
        <v>15</v>
      </c>
      <c r="G627">
        <v>15220</v>
      </c>
      <c r="H627" t="s">
        <v>48</v>
      </c>
      <c r="I627">
        <v>32</v>
      </c>
      <c r="J627">
        <v>1</v>
      </c>
      <c r="K627" t="s">
        <v>8131</v>
      </c>
    </row>
    <row r="628" spans="1:11" x14ac:dyDescent="0.25">
      <c r="A628" t="s">
        <v>2298</v>
      </c>
      <c r="B628" t="s">
        <v>2299</v>
      </c>
      <c r="C628" t="s">
        <v>2300</v>
      </c>
      <c r="D628" t="s">
        <v>2301</v>
      </c>
      <c r="E628" t="s">
        <v>14</v>
      </c>
      <c r="F628" t="s">
        <v>15</v>
      </c>
      <c r="G628">
        <v>15206</v>
      </c>
      <c r="H628" t="s">
        <v>16</v>
      </c>
      <c r="I628">
        <v>32</v>
      </c>
      <c r="J628">
        <v>1</v>
      </c>
      <c r="K628" t="s">
        <v>8131</v>
      </c>
    </row>
    <row r="629" spans="1:11" x14ac:dyDescent="0.25">
      <c r="A629" t="s">
        <v>2302</v>
      </c>
      <c r="B629" t="s">
        <v>2303</v>
      </c>
      <c r="C629" t="s">
        <v>2304</v>
      </c>
      <c r="D629" t="s">
        <v>2305</v>
      </c>
      <c r="E629" t="s">
        <v>14</v>
      </c>
      <c r="F629" t="s">
        <v>15</v>
      </c>
      <c r="G629">
        <v>15222</v>
      </c>
      <c r="H629" t="s">
        <v>16</v>
      </c>
      <c r="I629">
        <v>100</v>
      </c>
      <c r="J629">
        <v>1</v>
      </c>
      <c r="K629" t="s">
        <v>8122</v>
      </c>
    </row>
    <row r="630" spans="1:11" x14ac:dyDescent="0.25">
      <c r="A630" t="s">
        <v>2306</v>
      </c>
      <c r="B630" t="s">
        <v>2307</v>
      </c>
      <c r="C630" t="s">
        <v>2308</v>
      </c>
      <c r="D630" t="s">
        <v>2309</v>
      </c>
      <c r="E630" t="s">
        <v>843</v>
      </c>
      <c r="F630" t="s">
        <v>15</v>
      </c>
      <c r="G630">
        <v>15112</v>
      </c>
      <c r="H630" t="s">
        <v>16</v>
      </c>
      <c r="I630">
        <v>5</v>
      </c>
      <c r="J630">
        <v>1</v>
      </c>
      <c r="K630" t="s">
        <v>8131</v>
      </c>
    </row>
    <row r="631" spans="1:11" x14ac:dyDescent="0.25">
      <c r="A631" t="s">
        <v>2310</v>
      </c>
      <c r="B631" t="s">
        <v>2311</v>
      </c>
      <c r="C631" t="s">
        <v>2312</v>
      </c>
      <c r="D631" t="s">
        <v>2313</v>
      </c>
      <c r="E631" t="s">
        <v>14</v>
      </c>
      <c r="F631" t="s">
        <v>15</v>
      </c>
      <c r="G631">
        <v>15217</v>
      </c>
      <c r="H631" t="s">
        <v>34</v>
      </c>
      <c r="I631">
        <v>76</v>
      </c>
      <c r="J631">
        <v>1</v>
      </c>
      <c r="K631" t="s">
        <v>8121</v>
      </c>
    </row>
    <row r="632" spans="1:11" x14ac:dyDescent="0.25">
      <c r="A632" t="s">
        <v>2314</v>
      </c>
      <c r="B632" t="s">
        <v>2315</v>
      </c>
      <c r="C632" t="s">
        <v>2316</v>
      </c>
      <c r="D632" t="s">
        <v>2317</v>
      </c>
      <c r="E632" t="s">
        <v>14</v>
      </c>
      <c r="F632" t="s">
        <v>15</v>
      </c>
      <c r="G632">
        <v>15235</v>
      </c>
      <c r="H632" t="s">
        <v>16</v>
      </c>
      <c r="I632">
        <v>23</v>
      </c>
      <c r="J632">
        <v>1</v>
      </c>
      <c r="K632" t="s">
        <v>8131</v>
      </c>
    </row>
    <row r="633" spans="1:11" x14ac:dyDescent="0.25">
      <c r="A633" t="s">
        <v>2318</v>
      </c>
      <c r="B633" t="s">
        <v>2319</v>
      </c>
      <c r="C633" t="s">
        <v>2320</v>
      </c>
      <c r="D633" t="s">
        <v>2321</v>
      </c>
      <c r="E633" t="s">
        <v>14</v>
      </c>
      <c r="F633" t="s">
        <v>15</v>
      </c>
      <c r="G633">
        <v>15227</v>
      </c>
      <c r="H633" t="s">
        <v>92</v>
      </c>
      <c r="I633">
        <v>35</v>
      </c>
      <c r="J633">
        <v>0</v>
      </c>
      <c r="K633" t="s">
        <v>8123</v>
      </c>
    </row>
    <row r="634" spans="1:11" x14ac:dyDescent="0.25">
      <c r="A634" t="s">
        <v>2322</v>
      </c>
      <c r="B634" t="s">
        <v>2323</v>
      </c>
      <c r="C634" t="s">
        <v>2324</v>
      </c>
      <c r="D634" t="s">
        <v>767</v>
      </c>
      <c r="E634" t="s">
        <v>14</v>
      </c>
      <c r="F634" t="s">
        <v>15</v>
      </c>
      <c r="G634">
        <v>15213</v>
      </c>
      <c r="H634" t="s">
        <v>16</v>
      </c>
      <c r="I634">
        <v>9</v>
      </c>
      <c r="J634">
        <v>0</v>
      </c>
      <c r="K634" t="s">
        <v>8131</v>
      </c>
    </row>
    <row r="635" spans="1:11" x14ac:dyDescent="0.25">
      <c r="A635" t="s">
        <v>2325</v>
      </c>
      <c r="B635" t="s">
        <v>407</v>
      </c>
      <c r="C635" t="s">
        <v>2326</v>
      </c>
      <c r="D635" t="s">
        <v>2327</v>
      </c>
      <c r="E635" t="s">
        <v>14</v>
      </c>
      <c r="F635" t="s">
        <v>15</v>
      </c>
      <c r="G635">
        <v>15221</v>
      </c>
      <c r="H635" t="s">
        <v>34</v>
      </c>
      <c r="I635">
        <v>10</v>
      </c>
      <c r="J635">
        <v>1</v>
      </c>
      <c r="K635" t="s">
        <v>8131</v>
      </c>
    </row>
    <row r="636" spans="1:11" x14ac:dyDescent="0.25">
      <c r="A636" t="s">
        <v>2328</v>
      </c>
      <c r="B636" t="s">
        <v>2329</v>
      </c>
      <c r="C636" t="s">
        <v>2330</v>
      </c>
      <c r="D636" t="s">
        <v>2331</v>
      </c>
      <c r="E636" t="s">
        <v>14</v>
      </c>
      <c r="F636" t="s">
        <v>15</v>
      </c>
      <c r="G636">
        <v>15222</v>
      </c>
      <c r="H636" t="s">
        <v>16</v>
      </c>
      <c r="I636">
        <v>4</v>
      </c>
      <c r="J636">
        <v>1</v>
      </c>
      <c r="K636" t="s">
        <v>8131</v>
      </c>
    </row>
    <row r="637" spans="1:11" x14ac:dyDescent="0.25">
      <c r="A637" t="s">
        <v>2332</v>
      </c>
      <c r="B637" t="s">
        <v>119</v>
      </c>
      <c r="C637" t="s">
        <v>2333</v>
      </c>
      <c r="D637" t="s">
        <v>2334</v>
      </c>
      <c r="E637" t="s">
        <v>14</v>
      </c>
      <c r="F637" t="s">
        <v>15</v>
      </c>
      <c r="G637">
        <v>15206</v>
      </c>
      <c r="H637" t="s">
        <v>21</v>
      </c>
      <c r="I637">
        <v>6</v>
      </c>
      <c r="J637">
        <v>0</v>
      </c>
      <c r="K637" t="s">
        <v>8131</v>
      </c>
    </row>
    <row r="638" spans="1:11" x14ac:dyDescent="0.25">
      <c r="A638" t="s">
        <v>2335</v>
      </c>
      <c r="B638" t="s">
        <v>2336</v>
      </c>
      <c r="C638" t="s">
        <v>1001</v>
      </c>
      <c r="D638" t="s">
        <v>2337</v>
      </c>
      <c r="E638" t="s">
        <v>14</v>
      </c>
      <c r="F638" t="s">
        <v>15</v>
      </c>
      <c r="G638">
        <v>15205</v>
      </c>
      <c r="H638" t="s">
        <v>113</v>
      </c>
      <c r="I638">
        <v>13</v>
      </c>
      <c r="J638">
        <v>1</v>
      </c>
      <c r="K638" t="s">
        <v>8131</v>
      </c>
    </row>
    <row r="639" spans="1:11" x14ac:dyDescent="0.25">
      <c r="A639" t="s">
        <v>2338</v>
      </c>
      <c r="B639" t="s">
        <v>2339</v>
      </c>
      <c r="C639" t="s">
        <v>2340</v>
      </c>
      <c r="D639" t="s">
        <v>2088</v>
      </c>
      <c r="E639" t="s">
        <v>14</v>
      </c>
      <c r="F639" t="s">
        <v>15</v>
      </c>
      <c r="G639">
        <v>15208</v>
      </c>
      <c r="H639" t="s">
        <v>21</v>
      </c>
      <c r="I639">
        <v>7</v>
      </c>
      <c r="J639">
        <v>1</v>
      </c>
      <c r="K639" t="s">
        <v>8131</v>
      </c>
    </row>
    <row r="640" spans="1:11" x14ac:dyDescent="0.25">
      <c r="A640" t="s">
        <v>2341</v>
      </c>
      <c r="B640" t="s">
        <v>2342</v>
      </c>
      <c r="C640" t="s">
        <v>1819</v>
      </c>
      <c r="D640" t="s">
        <v>2343</v>
      </c>
      <c r="E640" t="s">
        <v>14</v>
      </c>
      <c r="F640" t="s">
        <v>15</v>
      </c>
      <c r="G640">
        <v>15215</v>
      </c>
      <c r="H640" t="s">
        <v>21</v>
      </c>
      <c r="I640">
        <v>19</v>
      </c>
      <c r="J640">
        <v>1</v>
      </c>
      <c r="K640" t="s">
        <v>8132</v>
      </c>
    </row>
    <row r="641" spans="1:11" x14ac:dyDescent="0.25">
      <c r="A641" t="s">
        <v>2344</v>
      </c>
      <c r="B641" t="s">
        <v>2345</v>
      </c>
      <c r="C641" t="s">
        <v>2346</v>
      </c>
      <c r="D641" t="s">
        <v>2347</v>
      </c>
      <c r="E641" t="s">
        <v>14</v>
      </c>
      <c r="F641" t="s">
        <v>15</v>
      </c>
      <c r="G641">
        <v>15228</v>
      </c>
      <c r="H641" t="s">
        <v>34</v>
      </c>
      <c r="I641">
        <v>7</v>
      </c>
      <c r="J641">
        <v>0</v>
      </c>
      <c r="K641" t="s">
        <v>8132</v>
      </c>
    </row>
    <row r="642" spans="1:11" x14ac:dyDescent="0.25">
      <c r="A642" t="s">
        <v>2348</v>
      </c>
      <c r="B642" t="s">
        <v>2349</v>
      </c>
      <c r="C642" t="s">
        <v>2350</v>
      </c>
      <c r="D642" t="s">
        <v>2351</v>
      </c>
      <c r="E642" t="s">
        <v>14</v>
      </c>
      <c r="F642" t="s">
        <v>15</v>
      </c>
      <c r="G642">
        <v>15215</v>
      </c>
      <c r="H642" t="s">
        <v>48</v>
      </c>
      <c r="I642">
        <v>5</v>
      </c>
      <c r="J642">
        <v>1</v>
      </c>
      <c r="K642" t="s">
        <v>8131</v>
      </c>
    </row>
    <row r="643" spans="1:11" x14ac:dyDescent="0.25">
      <c r="A643" t="s">
        <v>2352</v>
      </c>
      <c r="B643" t="s">
        <v>2353</v>
      </c>
      <c r="C643" t="s">
        <v>2354</v>
      </c>
      <c r="D643" t="s">
        <v>2355</v>
      </c>
      <c r="E643" t="s">
        <v>14</v>
      </c>
      <c r="F643" t="s">
        <v>15</v>
      </c>
      <c r="G643">
        <v>15220</v>
      </c>
      <c r="H643" t="s">
        <v>16</v>
      </c>
      <c r="I643">
        <v>22</v>
      </c>
      <c r="J643">
        <v>1</v>
      </c>
      <c r="K643" t="s">
        <v>8131</v>
      </c>
    </row>
    <row r="644" spans="1:11" x14ac:dyDescent="0.25">
      <c r="A644" t="s">
        <v>2356</v>
      </c>
      <c r="B644" t="s">
        <v>282</v>
      </c>
      <c r="C644" t="s">
        <v>2357</v>
      </c>
      <c r="D644" t="s">
        <v>2358</v>
      </c>
      <c r="E644" t="s">
        <v>14</v>
      </c>
      <c r="F644" t="s">
        <v>15</v>
      </c>
      <c r="G644">
        <v>15215</v>
      </c>
      <c r="H644" t="s">
        <v>16</v>
      </c>
      <c r="I644">
        <v>17</v>
      </c>
      <c r="J644">
        <v>1</v>
      </c>
      <c r="K644" t="s">
        <v>8124</v>
      </c>
    </row>
    <row r="645" spans="1:11" x14ac:dyDescent="0.25">
      <c r="A645" t="s">
        <v>2359</v>
      </c>
      <c r="B645" t="s">
        <v>2360</v>
      </c>
      <c r="C645" t="s">
        <v>2361</v>
      </c>
      <c r="D645" t="s">
        <v>2362</v>
      </c>
      <c r="E645" t="s">
        <v>14</v>
      </c>
      <c r="F645" t="s">
        <v>15</v>
      </c>
      <c r="G645">
        <v>15201</v>
      </c>
      <c r="H645" t="s">
        <v>21</v>
      </c>
      <c r="I645">
        <v>7</v>
      </c>
      <c r="J645">
        <v>1</v>
      </c>
      <c r="K645" t="s">
        <v>8121</v>
      </c>
    </row>
    <row r="646" spans="1:11" x14ac:dyDescent="0.25">
      <c r="A646" t="s">
        <v>2363</v>
      </c>
      <c r="B646" t="s">
        <v>1384</v>
      </c>
      <c r="C646" t="s">
        <v>2364</v>
      </c>
      <c r="D646" t="s">
        <v>148</v>
      </c>
      <c r="E646" t="s">
        <v>14</v>
      </c>
      <c r="F646" t="s">
        <v>15</v>
      </c>
      <c r="G646">
        <v>15206</v>
      </c>
      <c r="H646" t="s">
        <v>48</v>
      </c>
      <c r="I646">
        <v>52</v>
      </c>
      <c r="J646">
        <v>0</v>
      </c>
      <c r="K646" t="s">
        <v>8131</v>
      </c>
    </row>
    <row r="647" spans="1:11" x14ac:dyDescent="0.25">
      <c r="A647" t="s">
        <v>2365</v>
      </c>
      <c r="B647" t="s">
        <v>2366</v>
      </c>
      <c r="C647" t="s">
        <v>2367</v>
      </c>
      <c r="D647" t="s">
        <v>2368</v>
      </c>
      <c r="E647" t="s">
        <v>14</v>
      </c>
      <c r="F647" t="s">
        <v>15</v>
      </c>
      <c r="G647">
        <v>15208</v>
      </c>
      <c r="H647" t="s">
        <v>21</v>
      </c>
      <c r="I647">
        <v>28</v>
      </c>
      <c r="J647">
        <v>1</v>
      </c>
      <c r="K647" t="s">
        <v>8131</v>
      </c>
    </row>
    <row r="648" spans="1:11" x14ac:dyDescent="0.25">
      <c r="A648" t="s">
        <v>2369</v>
      </c>
      <c r="B648" t="s">
        <v>2370</v>
      </c>
      <c r="C648" t="s">
        <v>2371</v>
      </c>
      <c r="D648" t="s">
        <v>2372</v>
      </c>
      <c r="E648" t="s">
        <v>14</v>
      </c>
      <c r="F648" t="s">
        <v>15</v>
      </c>
      <c r="G648">
        <v>15226</v>
      </c>
      <c r="H648" t="s">
        <v>21</v>
      </c>
      <c r="I648">
        <v>213</v>
      </c>
      <c r="J648">
        <v>1</v>
      </c>
      <c r="K648" t="s">
        <v>8122</v>
      </c>
    </row>
    <row r="649" spans="1:11" x14ac:dyDescent="0.25">
      <c r="A649" t="s">
        <v>2373</v>
      </c>
      <c r="B649" t="s">
        <v>94</v>
      </c>
      <c r="C649" t="s">
        <v>2374</v>
      </c>
      <c r="D649" t="s">
        <v>2375</v>
      </c>
      <c r="E649" t="s">
        <v>14</v>
      </c>
      <c r="F649" t="s">
        <v>15</v>
      </c>
      <c r="G649">
        <v>15222</v>
      </c>
      <c r="H649" t="s">
        <v>48</v>
      </c>
      <c r="I649">
        <v>6</v>
      </c>
      <c r="J649">
        <v>0</v>
      </c>
      <c r="K649" t="s">
        <v>8131</v>
      </c>
    </row>
    <row r="650" spans="1:11" x14ac:dyDescent="0.25">
      <c r="A650" t="s">
        <v>2376</v>
      </c>
      <c r="B650" t="s">
        <v>578</v>
      </c>
      <c r="C650" t="s">
        <v>2377</v>
      </c>
      <c r="D650" t="s">
        <v>875</v>
      </c>
      <c r="E650" t="s">
        <v>14</v>
      </c>
      <c r="F650" t="s">
        <v>15</v>
      </c>
      <c r="G650">
        <v>15237</v>
      </c>
      <c r="H650" t="s">
        <v>43</v>
      </c>
      <c r="I650">
        <v>6</v>
      </c>
      <c r="J650">
        <v>0</v>
      </c>
      <c r="K650" t="s">
        <v>8131</v>
      </c>
    </row>
    <row r="651" spans="1:11" x14ac:dyDescent="0.25">
      <c r="A651" t="s">
        <v>2378</v>
      </c>
      <c r="B651" t="s">
        <v>2379</v>
      </c>
      <c r="C651" t="s">
        <v>2380</v>
      </c>
      <c r="D651" t="s">
        <v>2381</v>
      </c>
      <c r="E651" t="s">
        <v>14</v>
      </c>
      <c r="F651" t="s">
        <v>15</v>
      </c>
      <c r="G651">
        <v>15212</v>
      </c>
      <c r="H651" t="s">
        <v>21</v>
      </c>
      <c r="I651">
        <v>64</v>
      </c>
      <c r="J651">
        <v>1</v>
      </c>
      <c r="K651" t="s">
        <v>8131</v>
      </c>
    </row>
    <row r="652" spans="1:11" x14ac:dyDescent="0.25">
      <c r="A652" t="s">
        <v>2382</v>
      </c>
      <c r="B652" t="s">
        <v>2383</v>
      </c>
      <c r="C652" t="s">
        <v>2384</v>
      </c>
      <c r="D652" t="s">
        <v>2385</v>
      </c>
      <c r="E652" t="s">
        <v>14</v>
      </c>
      <c r="F652" t="s">
        <v>15</v>
      </c>
      <c r="G652">
        <v>15222</v>
      </c>
      <c r="H652" t="s">
        <v>34</v>
      </c>
      <c r="I652">
        <v>9</v>
      </c>
      <c r="J652">
        <v>0</v>
      </c>
      <c r="K652" t="s">
        <v>8120</v>
      </c>
    </row>
    <row r="653" spans="1:11" x14ac:dyDescent="0.25">
      <c r="A653" t="s">
        <v>2386</v>
      </c>
      <c r="B653" t="s">
        <v>267</v>
      </c>
      <c r="C653" t="s">
        <v>2387</v>
      </c>
      <c r="D653" t="s">
        <v>1924</v>
      </c>
      <c r="E653" t="s">
        <v>14</v>
      </c>
      <c r="F653" t="s">
        <v>15</v>
      </c>
      <c r="G653">
        <v>15231</v>
      </c>
      <c r="H653" t="s">
        <v>157</v>
      </c>
      <c r="I653">
        <v>8</v>
      </c>
      <c r="J653">
        <v>0</v>
      </c>
      <c r="K653" t="s">
        <v>8131</v>
      </c>
    </row>
    <row r="654" spans="1:11" x14ac:dyDescent="0.25">
      <c r="A654" t="s">
        <v>2388</v>
      </c>
      <c r="B654" t="s">
        <v>2389</v>
      </c>
      <c r="C654" t="s">
        <v>2390</v>
      </c>
      <c r="D654" t="s">
        <v>2391</v>
      </c>
      <c r="E654" t="s">
        <v>14</v>
      </c>
      <c r="F654" t="s">
        <v>15</v>
      </c>
      <c r="G654">
        <v>15217</v>
      </c>
      <c r="H654" t="s">
        <v>34</v>
      </c>
      <c r="I654">
        <v>5</v>
      </c>
      <c r="J654">
        <v>0</v>
      </c>
      <c r="K654" t="s">
        <v>8131</v>
      </c>
    </row>
    <row r="655" spans="1:11" x14ac:dyDescent="0.25">
      <c r="A655" t="s">
        <v>2392</v>
      </c>
      <c r="B655" t="s">
        <v>2393</v>
      </c>
      <c r="C655" t="s">
        <v>2394</v>
      </c>
      <c r="D655" t="s">
        <v>2395</v>
      </c>
      <c r="E655" t="s">
        <v>14</v>
      </c>
      <c r="F655" t="s">
        <v>15</v>
      </c>
      <c r="G655">
        <v>15208</v>
      </c>
      <c r="H655" t="s">
        <v>21</v>
      </c>
      <c r="I655">
        <v>3</v>
      </c>
      <c r="J655">
        <v>1</v>
      </c>
      <c r="K655" t="s">
        <v>8131</v>
      </c>
    </row>
    <row r="656" spans="1:11" x14ac:dyDescent="0.25">
      <c r="A656" t="s">
        <v>2396</v>
      </c>
      <c r="B656" t="s">
        <v>2397</v>
      </c>
      <c r="C656" t="s">
        <v>2398</v>
      </c>
      <c r="D656" t="s">
        <v>2399</v>
      </c>
      <c r="E656" t="s">
        <v>14</v>
      </c>
      <c r="F656" t="s">
        <v>15</v>
      </c>
      <c r="G656">
        <v>15222</v>
      </c>
      <c r="H656" t="s">
        <v>16</v>
      </c>
      <c r="I656">
        <v>55</v>
      </c>
      <c r="J656">
        <v>1</v>
      </c>
      <c r="K656" t="s">
        <v>8131</v>
      </c>
    </row>
    <row r="657" spans="1:11" x14ac:dyDescent="0.25">
      <c r="A657" t="s">
        <v>2400</v>
      </c>
      <c r="B657" t="s">
        <v>2401</v>
      </c>
      <c r="C657" t="s">
        <v>2402</v>
      </c>
      <c r="D657" t="s">
        <v>2403</v>
      </c>
      <c r="E657" t="s">
        <v>14</v>
      </c>
      <c r="F657" t="s">
        <v>15</v>
      </c>
      <c r="G657">
        <v>15226</v>
      </c>
      <c r="H657" t="s">
        <v>21</v>
      </c>
      <c r="I657">
        <v>17</v>
      </c>
      <c r="J657">
        <v>0</v>
      </c>
      <c r="K657" t="s">
        <v>8131</v>
      </c>
    </row>
    <row r="658" spans="1:11" x14ac:dyDescent="0.25">
      <c r="A658" t="s">
        <v>2404</v>
      </c>
      <c r="B658" t="s">
        <v>2405</v>
      </c>
      <c r="C658" t="s">
        <v>2406</v>
      </c>
      <c r="D658" t="s">
        <v>2407</v>
      </c>
      <c r="E658" t="s">
        <v>14</v>
      </c>
      <c r="F658" t="s">
        <v>15</v>
      </c>
      <c r="G658">
        <v>15206</v>
      </c>
      <c r="H658" t="s">
        <v>48</v>
      </c>
      <c r="I658">
        <v>21</v>
      </c>
      <c r="J658">
        <v>1</v>
      </c>
      <c r="K658" t="s">
        <v>8120</v>
      </c>
    </row>
    <row r="659" spans="1:11" x14ac:dyDescent="0.25">
      <c r="A659" t="s">
        <v>2408</v>
      </c>
      <c r="B659" t="s">
        <v>331</v>
      </c>
      <c r="C659" t="s">
        <v>2409</v>
      </c>
      <c r="D659" t="s">
        <v>333</v>
      </c>
      <c r="E659" t="s">
        <v>14</v>
      </c>
      <c r="F659" t="s">
        <v>15</v>
      </c>
      <c r="G659">
        <v>15222</v>
      </c>
      <c r="H659" t="s">
        <v>34</v>
      </c>
      <c r="I659">
        <v>23</v>
      </c>
      <c r="J659">
        <v>0</v>
      </c>
      <c r="K659" t="s">
        <v>8123</v>
      </c>
    </row>
    <row r="660" spans="1:11" x14ac:dyDescent="0.25">
      <c r="A660" t="s">
        <v>2410</v>
      </c>
      <c r="B660" t="s">
        <v>2016</v>
      </c>
      <c r="C660" t="s">
        <v>2411</v>
      </c>
      <c r="D660" t="s">
        <v>2412</v>
      </c>
      <c r="E660" t="s">
        <v>14</v>
      </c>
      <c r="F660" t="s">
        <v>15</v>
      </c>
      <c r="G660">
        <v>15217</v>
      </c>
      <c r="H660" t="s">
        <v>34</v>
      </c>
      <c r="I660">
        <v>142</v>
      </c>
      <c r="J660">
        <v>1</v>
      </c>
      <c r="K660" t="s">
        <v>8119</v>
      </c>
    </row>
    <row r="661" spans="1:11" x14ac:dyDescent="0.25">
      <c r="A661" t="s">
        <v>2413</v>
      </c>
      <c r="B661" t="s">
        <v>2414</v>
      </c>
      <c r="C661" t="s">
        <v>2415</v>
      </c>
      <c r="D661" t="s">
        <v>2416</v>
      </c>
      <c r="E661" t="s">
        <v>14</v>
      </c>
      <c r="F661" t="s">
        <v>15</v>
      </c>
      <c r="G661">
        <v>15227</v>
      </c>
      <c r="H661" t="s">
        <v>43</v>
      </c>
      <c r="I661">
        <v>19</v>
      </c>
      <c r="J661">
        <v>1</v>
      </c>
      <c r="K661" t="s">
        <v>8131</v>
      </c>
    </row>
    <row r="662" spans="1:11" x14ac:dyDescent="0.25">
      <c r="A662" t="s">
        <v>2417</v>
      </c>
      <c r="B662" t="s">
        <v>578</v>
      </c>
      <c r="C662" t="s">
        <v>2418</v>
      </c>
      <c r="D662" t="s">
        <v>2347</v>
      </c>
      <c r="E662" t="s">
        <v>14</v>
      </c>
      <c r="F662" t="s">
        <v>15</v>
      </c>
      <c r="G662">
        <v>15228</v>
      </c>
      <c r="H662" t="s">
        <v>34</v>
      </c>
      <c r="I662">
        <v>59</v>
      </c>
      <c r="J662">
        <v>0</v>
      </c>
      <c r="K662" t="s">
        <v>8131</v>
      </c>
    </row>
    <row r="663" spans="1:11" x14ac:dyDescent="0.25">
      <c r="A663" t="s">
        <v>2419</v>
      </c>
      <c r="B663" t="s">
        <v>319</v>
      </c>
      <c r="C663" t="s">
        <v>2420</v>
      </c>
      <c r="D663" t="s">
        <v>1363</v>
      </c>
      <c r="E663" t="s">
        <v>14</v>
      </c>
      <c r="F663" t="s">
        <v>15</v>
      </c>
      <c r="G663">
        <v>15222</v>
      </c>
      <c r="H663" t="s">
        <v>34</v>
      </c>
      <c r="I663">
        <v>9</v>
      </c>
      <c r="J663">
        <v>0</v>
      </c>
      <c r="K663" t="s">
        <v>8120</v>
      </c>
    </row>
    <row r="664" spans="1:11" x14ac:dyDescent="0.25">
      <c r="A664" t="s">
        <v>2421</v>
      </c>
      <c r="B664" t="s">
        <v>2422</v>
      </c>
      <c r="C664" t="s">
        <v>2423</v>
      </c>
      <c r="D664" t="s">
        <v>1555</v>
      </c>
      <c r="E664" t="s">
        <v>14</v>
      </c>
      <c r="F664" t="s">
        <v>15</v>
      </c>
      <c r="G664">
        <v>15236</v>
      </c>
      <c r="H664" t="s">
        <v>21</v>
      </c>
      <c r="I664">
        <v>6</v>
      </c>
      <c r="J664">
        <v>1</v>
      </c>
      <c r="K664" t="s">
        <v>8131</v>
      </c>
    </row>
    <row r="665" spans="1:11" x14ac:dyDescent="0.25">
      <c r="A665" t="s">
        <v>2424</v>
      </c>
      <c r="B665" t="s">
        <v>2145</v>
      </c>
      <c r="C665" t="s">
        <v>2425</v>
      </c>
      <c r="D665" t="s">
        <v>2426</v>
      </c>
      <c r="E665" t="s">
        <v>14</v>
      </c>
      <c r="F665" t="s">
        <v>15</v>
      </c>
      <c r="G665">
        <v>15226</v>
      </c>
      <c r="H665" t="s">
        <v>21</v>
      </c>
      <c r="I665">
        <v>297</v>
      </c>
      <c r="J665">
        <v>1</v>
      </c>
      <c r="K665" t="s">
        <v>8120</v>
      </c>
    </row>
    <row r="666" spans="1:11" x14ac:dyDescent="0.25">
      <c r="A666" t="s">
        <v>2427</v>
      </c>
      <c r="B666" t="s">
        <v>2428</v>
      </c>
      <c r="C666" t="s">
        <v>479</v>
      </c>
      <c r="D666" t="s">
        <v>2429</v>
      </c>
      <c r="E666" t="s">
        <v>14</v>
      </c>
      <c r="F666" t="s">
        <v>15</v>
      </c>
      <c r="G666">
        <v>15232</v>
      </c>
      <c r="H666" t="s">
        <v>34</v>
      </c>
      <c r="I666">
        <v>31</v>
      </c>
      <c r="J666">
        <v>1</v>
      </c>
      <c r="K666" t="s">
        <v>8131</v>
      </c>
    </row>
    <row r="667" spans="1:11" x14ac:dyDescent="0.25">
      <c r="A667" t="s">
        <v>2430</v>
      </c>
      <c r="B667" t="s">
        <v>2431</v>
      </c>
      <c r="C667" t="s">
        <v>2432</v>
      </c>
      <c r="D667" t="s">
        <v>2433</v>
      </c>
      <c r="E667" t="s">
        <v>14</v>
      </c>
      <c r="F667" t="s">
        <v>15</v>
      </c>
      <c r="G667">
        <v>15222</v>
      </c>
      <c r="H667" t="s">
        <v>16</v>
      </c>
      <c r="I667">
        <v>547</v>
      </c>
      <c r="J667">
        <v>1</v>
      </c>
      <c r="K667" t="s">
        <v>8131</v>
      </c>
    </row>
    <row r="668" spans="1:11" x14ac:dyDescent="0.25">
      <c r="A668" t="s">
        <v>2434</v>
      </c>
      <c r="B668" t="s">
        <v>2435</v>
      </c>
      <c r="C668" t="s">
        <v>2436</v>
      </c>
      <c r="D668" t="s">
        <v>2437</v>
      </c>
      <c r="E668" t="s">
        <v>14</v>
      </c>
      <c r="F668" t="s">
        <v>15</v>
      </c>
      <c r="G668">
        <v>15228</v>
      </c>
      <c r="H668" t="s">
        <v>16</v>
      </c>
      <c r="I668">
        <v>180</v>
      </c>
      <c r="J668">
        <v>1</v>
      </c>
      <c r="K668" t="s">
        <v>8124</v>
      </c>
    </row>
    <row r="669" spans="1:11" x14ac:dyDescent="0.25">
      <c r="A669" t="s">
        <v>2438</v>
      </c>
      <c r="B669" t="s">
        <v>2439</v>
      </c>
      <c r="C669" t="s">
        <v>2440</v>
      </c>
      <c r="D669" t="s">
        <v>2441</v>
      </c>
      <c r="E669" t="s">
        <v>14</v>
      </c>
      <c r="F669" t="s">
        <v>15</v>
      </c>
      <c r="G669">
        <v>15228</v>
      </c>
      <c r="H669" t="s">
        <v>16</v>
      </c>
      <c r="I669">
        <v>20</v>
      </c>
      <c r="J669">
        <v>1</v>
      </c>
      <c r="K669" t="s">
        <v>8131</v>
      </c>
    </row>
    <row r="670" spans="1:11" x14ac:dyDescent="0.25">
      <c r="A670" t="s">
        <v>2442</v>
      </c>
      <c r="B670" t="s">
        <v>2443</v>
      </c>
      <c r="C670" t="s">
        <v>2444</v>
      </c>
      <c r="D670" t="s">
        <v>2445</v>
      </c>
      <c r="E670" t="s">
        <v>14</v>
      </c>
      <c r="F670" t="s">
        <v>15</v>
      </c>
      <c r="G670">
        <v>15203</v>
      </c>
      <c r="H670" t="s">
        <v>34</v>
      </c>
      <c r="I670">
        <v>15</v>
      </c>
      <c r="J670">
        <v>0</v>
      </c>
      <c r="K670" t="s">
        <v>8131</v>
      </c>
    </row>
    <row r="671" spans="1:11" x14ac:dyDescent="0.25">
      <c r="A671" t="s">
        <v>2446</v>
      </c>
      <c r="B671" t="s">
        <v>2447</v>
      </c>
      <c r="C671" t="s">
        <v>2448</v>
      </c>
      <c r="D671" t="s">
        <v>2449</v>
      </c>
      <c r="E671" t="s">
        <v>14</v>
      </c>
      <c r="F671" t="s">
        <v>15</v>
      </c>
      <c r="G671">
        <v>15217</v>
      </c>
      <c r="H671" t="s">
        <v>16</v>
      </c>
      <c r="I671">
        <v>96</v>
      </c>
      <c r="J671">
        <v>1</v>
      </c>
      <c r="K671" t="s">
        <v>8131</v>
      </c>
    </row>
    <row r="672" spans="1:11" x14ac:dyDescent="0.25">
      <c r="A672" t="s">
        <v>2450</v>
      </c>
      <c r="B672" t="s">
        <v>2451</v>
      </c>
      <c r="C672" t="s">
        <v>2452</v>
      </c>
      <c r="D672" t="s">
        <v>2453</v>
      </c>
      <c r="E672" t="s">
        <v>14</v>
      </c>
      <c r="F672" t="s">
        <v>15</v>
      </c>
      <c r="G672">
        <v>15237</v>
      </c>
      <c r="H672" t="s">
        <v>48</v>
      </c>
      <c r="I672">
        <v>51</v>
      </c>
      <c r="J672">
        <v>1</v>
      </c>
      <c r="K672" t="s">
        <v>8124</v>
      </c>
    </row>
    <row r="673" spans="1:11" x14ac:dyDescent="0.25">
      <c r="A673" t="s">
        <v>2454</v>
      </c>
      <c r="B673" t="s">
        <v>2455</v>
      </c>
      <c r="C673" t="s">
        <v>2456</v>
      </c>
      <c r="D673" t="s">
        <v>2457</v>
      </c>
      <c r="E673" t="s">
        <v>14</v>
      </c>
      <c r="F673" t="s">
        <v>15</v>
      </c>
      <c r="G673">
        <v>15217</v>
      </c>
      <c r="H673" t="s">
        <v>34</v>
      </c>
      <c r="I673">
        <v>65</v>
      </c>
      <c r="J673">
        <v>0</v>
      </c>
      <c r="K673" t="s">
        <v>8131</v>
      </c>
    </row>
    <row r="674" spans="1:11" x14ac:dyDescent="0.25">
      <c r="A674" t="s">
        <v>2458</v>
      </c>
      <c r="B674" t="s">
        <v>2459</v>
      </c>
      <c r="C674" t="s">
        <v>2460</v>
      </c>
      <c r="D674" t="s">
        <v>1110</v>
      </c>
      <c r="E674" t="s">
        <v>14</v>
      </c>
      <c r="F674" t="s">
        <v>15</v>
      </c>
      <c r="G674">
        <v>15206</v>
      </c>
      <c r="H674" t="s">
        <v>16</v>
      </c>
      <c r="I674">
        <v>123</v>
      </c>
      <c r="J674">
        <v>1</v>
      </c>
      <c r="K674" t="s">
        <v>8120</v>
      </c>
    </row>
    <row r="675" spans="1:11" x14ac:dyDescent="0.25">
      <c r="A675" t="s">
        <v>2461</v>
      </c>
      <c r="B675" t="s">
        <v>2462</v>
      </c>
      <c r="C675" t="s">
        <v>2463</v>
      </c>
      <c r="D675" t="s">
        <v>2464</v>
      </c>
      <c r="E675" t="s">
        <v>14</v>
      </c>
      <c r="F675" t="s">
        <v>15</v>
      </c>
      <c r="G675">
        <v>15203</v>
      </c>
      <c r="H675" t="s">
        <v>21</v>
      </c>
      <c r="I675">
        <v>115</v>
      </c>
      <c r="J675">
        <v>1</v>
      </c>
      <c r="K675" t="s">
        <v>8133</v>
      </c>
    </row>
    <row r="676" spans="1:11" x14ac:dyDescent="0.25">
      <c r="A676" t="s">
        <v>2465</v>
      </c>
      <c r="B676" t="s">
        <v>2466</v>
      </c>
      <c r="C676" t="s">
        <v>2225</v>
      </c>
      <c r="D676" t="s">
        <v>2467</v>
      </c>
      <c r="E676" t="s">
        <v>14</v>
      </c>
      <c r="F676" t="s">
        <v>15</v>
      </c>
      <c r="G676">
        <v>15236</v>
      </c>
      <c r="H676" t="s">
        <v>48</v>
      </c>
      <c r="I676">
        <v>33</v>
      </c>
      <c r="J676">
        <v>1</v>
      </c>
      <c r="K676" t="s">
        <v>8131</v>
      </c>
    </row>
    <row r="677" spans="1:11" x14ac:dyDescent="0.25">
      <c r="A677" t="s">
        <v>2468</v>
      </c>
      <c r="B677" t="s">
        <v>2469</v>
      </c>
      <c r="C677" t="s">
        <v>1941</v>
      </c>
      <c r="D677" t="s">
        <v>2470</v>
      </c>
      <c r="E677" t="s">
        <v>14</v>
      </c>
      <c r="F677" t="s">
        <v>15</v>
      </c>
      <c r="G677">
        <v>15213</v>
      </c>
      <c r="H677" t="s">
        <v>48</v>
      </c>
      <c r="I677">
        <v>31</v>
      </c>
      <c r="J677">
        <v>1</v>
      </c>
      <c r="K677" t="s">
        <v>8120</v>
      </c>
    </row>
    <row r="678" spans="1:11" x14ac:dyDescent="0.25">
      <c r="A678" t="s">
        <v>2471</v>
      </c>
      <c r="B678" t="s">
        <v>2472</v>
      </c>
      <c r="C678" t="s">
        <v>913</v>
      </c>
      <c r="D678" t="s">
        <v>2473</v>
      </c>
      <c r="E678" t="s">
        <v>14</v>
      </c>
      <c r="F678" t="s">
        <v>15</v>
      </c>
      <c r="G678">
        <v>15218</v>
      </c>
      <c r="H678" t="s">
        <v>113</v>
      </c>
      <c r="I678">
        <v>18</v>
      </c>
      <c r="J678">
        <v>1</v>
      </c>
      <c r="K678" t="s">
        <v>8122</v>
      </c>
    </row>
    <row r="679" spans="1:11" x14ac:dyDescent="0.25">
      <c r="A679" t="s">
        <v>2474</v>
      </c>
      <c r="B679" t="s">
        <v>2475</v>
      </c>
      <c r="C679" t="s">
        <v>2476</v>
      </c>
      <c r="D679" t="s">
        <v>2477</v>
      </c>
      <c r="E679" t="s">
        <v>14</v>
      </c>
      <c r="F679" t="s">
        <v>15</v>
      </c>
      <c r="G679">
        <v>15205</v>
      </c>
      <c r="H679" t="s">
        <v>48</v>
      </c>
      <c r="I679">
        <v>16</v>
      </c>
      <c r="J679">
        <v>1</v>
      </c>
      <c r="K679" t="s">
        <v>8120</v>
      </c>
    </row>
    <row r="680" spans="1:11" x14ac:dyDescent="0.25">
      <c r="A680" t="s">
        <v>2478</v>
      </c>
      <c r="B680" t="s">
        <v>2479</v>
      </c>
      <c r="C680" t="s">
        <v>479</v>
      </c>
      <c r="D680" t="s">
        <v>2480</v>
      </c>
      <c r="E680" t="s">
        <v>14</v>
      </c>
      <c r="F680" t="s">
        <v>15</v>
      </c>
      <c r="G680">
        <v>15203</v>
      </c>
      <c r="H680" t="s">
        <v>48</v>
      </c>
      <c r="I680">
        <v>24</v>
      </c>
      <c r="J680">
        <v>1</v>
      </c>
      <c r="K680" t="s">
        <v>8131</v>
      </c>
    </row>
    <row r="681" spans="1:11" x14ac:dyDescent="0.25">
      <c r="A681" t="s">
        <v>2481</v>
      </c>
      <c r="B681" t="s">
        <v>2482</v>
      </c>
      <c r="C681" t="s">
        <v>2483</v>
      </c>
      <c r="E681" t="s">
        <v>14</v>
      </c>
      <c r="F681" t="s">
        <v>15</v>
      </c>
      <c r="H681" t="s">
        <v>92</v>
      </c>
      <c r="I681">
        <v>11</v>
      </c>
      <c r="J681">
        <v>1</v>
      </c>
      <c r="K681" t="s">
        <v>8131</v>
      </c>
    </row>
    <row r="682" spans="1:11" x14ac:dyDescent="0.25">
      <c r="A682" t="s">
        <v>2484</v>
      </c>
      <c r="B682" t="s">
        <v>2485</v>
      </c>
      <c r="C682" t="s">
        <v>2486</v>
      </c>
      <c r="D682" t="s">
        <v>2487</v>
      </c>
      <c r="E682" t="s">
        <v>14</v>
      </c>
      <c r="F682" t="s">
        <v>15</v>
      </c>
      <c r="G682">
        <v>15201</v>
      </c>
      <c r="H682" t="s">
        <v>21</v>
      </c>
      <c r="I682">
        <v>219</v>
      </c>
      <c r="J682">
        <v>1</v>
      </c>
      <c r="K682" t="s">
        <v>8126</v>
      </c>
    </row>
    <row r="683" spans="1:11" x14ac:dyDescent="0.25">
      <c r="A683" t="s">
        <v>2488</v>
      </c>
      <c r="B683" t="s">
        <v>2489</v>
      </c>
      <c r="C683" t="s">
        <v>2490</v>
      </c>
      <c r="D683" t="s">
        <v>2491</v>
      </c>
      <c r="E683" t="s">
        <v>14</v>
      </c>
      <c r="F683" t="s">
        <v>15</v>
      </c>
      <c r="G683">
        <v>15237</v>
      </c>
      <c r="H683" t="s">
        <v>48</v>
      </c>
      <c r="I683">
        <v>56</v>
      </c>
      <c r="J683">
        <v>1</v>
      </c>
      <c r="K683" t="s">
        <v>8131</v>
      </c>
    </row>
    <row r="684" spans="1:11" x14ac:dyDescent="0.25">
      <c r="A684" t="s">
        <v>2492</v>
      </c>
      <c r="B684" t="s">
        <v>2493</v>
      </c>
      <c r="C684" t="s">
        <v>2494</v>
      </c>
      <c r="D684" t="s">
        <v>2495</v>
      </c>
      <c r="E684" t="s">
        <v>14</v>
      </c>
      <c r="F684" t="s">
        <v>15</v>
      </c>
      <c r="G684">
        <v>15219</v>
      </c>
      <c r="H684" t="s">
        <v>21</v>
      </c>
      <c r="I684">
        <v>50</v>
      </c>
      <c r="J684">
        <v>1</v>
      </c>
      <c r="K684" t="s">
        <v>8131</v>
      </c>
    </row>
    <row r="685" spans="1:11" x14ac:dyDescent="0.25">
      <c r="A685" t="s">
        <v>2496</v>
      </c>
      <c r="B685" t="s">
        <v>65</v>
      </c>
      <c r="C685" t="s">
        <v>2497</v>
      </c>
      <c r="D685" t="s">
        <v>2498</v>
      </c>
      <c r="E685" t="s">
        <v>14</v>
      </c>
      <c r="F685" t="s">
        <v>15</v>
      </c>
      <c r="G685">
        <v>15213</v>
      </c>
      <c r="H685" t="s">
        <v>34</v>
      </c>
      <c r="I685">
        <v>29</v>
      </c>
      <c r="J685">
        <v>1</v>
      </c>
      <c r="K685" t="s">
        <v>8131</v>
      </c>
    </row>
    <row r="686" spans="1:11" x14ac:dyDescent="0.25">
      <c r="A686" t="s">
        <v>2499</v>
      </c>
      <c r="B686" t="s">
        <v>2500</v>
      </c>
      <c r="C686" t="s">
        <v>2501</v>
      </c>
      <c r="D686" t="s">
        <v>2502</v>
      </c>
      <c r="E686" t="s">
        <v>14</v>
      </c>
      <c r="F686" t="s">
        <v>15</v>
      </c>
      <c r="G686">
        <v>15201</v>
      </c>
      <c r="H686" t="s">
        <v>21</v>
      </c>
      <c r="I686">
        <v>6</v>
      </c>
      <c r="J686">
        <v>1</v>
      </c>
      <c r="K686" t="s">
        <v>8131</v>
      </c>
    </row>
    <row r="687" spans="1:11" x14ac:dyDescent="0.25">
      <c r="A687" t="s">
        <v>2503</v>
      </c>
      <c r="B687" t="s">
        <v>2504</v>
      </c>
      <c r="C687" t="s">
        <v>2505</v>
      </c>
      <c r="D687" t="s">
        <v>2506</v>
      </c>
      <c r="E687" t="s">
        <v>14</v>
      </c>
      <c r="F687" t="s">
        <v>15</v>
      </c>
      <c r="G687">
        <v>15205</v>
      </c>
      <c r="H687" t="s">
        <v>48</v>
      </c>
      <c r="I687">
        <v>96</v>
      </c>
      <c r="J687">
        <v>1</v>
      </c>
      <c r="K687" t="s">
        <v>8117</v>
      </c>
    </row>
    <row r="688" spans="1:11" x14ac:dyDescent="0.25">
      <c r="A688" t="s">
        <v>2507</v>
      </c>
      <c r="B688" t="s">
        <v>2508</v>
      </c>
      <c r="C688" t="s">
        <v>2509</v>
      </c>
      <c r="D688" t="s">
        <v>2510</v>
      </c>
      <c r="E688" t="s">
        <v>14</v>
      </c>
      <c r="F688" t="s">
        <v>15</v>
      </c>
      <c r="G688">
        <v>15213</v>
      </c>
      <c r="H688" t="s">
        <v>113</v>
      </c>
      <c r="I688">
        <v>6</v>
      </c>
      <c r="J688">
        <v>0</v>
      </c>
      <c r="K688" t="s">
        <v>8124</v>
      </c>
    </row>
    <row r="689" spans="1:11" x14ac:dyDescent="0.25">
      <c r="A689" t="s">
        <v>2511</v>
      </c>
      <c r="B689" t="s">
        <v>2512</v>
      </c>
      <c r="C689" t="s">
        <v>2513</v>
      </c>
      <c r="D689" t="s">
        <v>2514</v>
      </c>
      <c r="E689" t="s">
        <v>14</v>
      </c>
      <c r="F689" t="s">
        <v>15</v>
      </c>
      <c r="G689">
        <v>15222</v>
      </c>
      <c r="H689" t="s">
        <v>48</v>
      </c>
      <c r="I689">
        <v>77</v>
      </c>
      <c r="J689">
        <v>1</v>
      </c>
      <c r="K689" t="s">
        <v>8120</v>
      </c>
    </row>
    <row r="690" spans="1:11" x14ac:dyDescent="0.25">
      <c r="A690" t="s">
        <v>2515</v>
      </c>
      <c r="B690" t="s">
        <v>2516</v>
      </c>
      <c r="C690" t="s">
        <v>2517</v>
      </c>
      <c r="D690" t="s">
        <v>2518</v>
      </c>
      <c r="E690" t="s">
        <v>14</v>
      </c>
      <c r="F690" t="s">
        <v>15</v>
      </c>
      <c r="G690">
        <v>15222</v>
      </c>
      <c r="H690" t="s">
        <v>16</v>
      </c>
      <c r="I690">
        <v>14</v>
      </c>
      <c r="J690">
        <v>0</v>
      </c>
      <c r="K690" t="s">
        <v>8131</v>
      </c>
    </row>
    <row r="691" spans="1:11" x14ac:dyDescent="0.25">
      <c r="A691" t="s">
        <v>2519</v>
      </c>
      <c r="B691" t="s">
        <v>2520</v>
      </c>
      <c r="C691" t="s">
        <v>2521</v>
      </c>
      <c r="D691" t="s">
        <v>2522</v>
      </c>
      <c r="E691" t="s">
        <v>14</v>
      </c>
      <c r="F691" t="s">
        <v>15</v>
      </c>
      <c r="G691">
        <v>15227</v>
      </c>
      <c r="H691" t="s">
        <v>34</v>
      </c>
      <c r="I691">
        <v>7</v>
      </c>
      <c r="J691">
        <v>0</v>
      </c>
      <c r="K691" t="s">
        <v>8131</v>
      </c>
    </row>
    <row r="692" spans="1:11" x14ac:dyDescent="0.25">
      <c r="A692" t="s">
        <v>2523</v>
      </c>
      <c r="B692" t="s">
        <v>2524</v>
      </c>
      <c r="C692" t="s">
        <v>2525</v>
      </c>
      <c r="D692" t="s">
        <v>2526</v>
      </c>
      <c r="E692" t="s">
        <v>14</v>
      </c>
      <c r="F692" t="s">
        <v>15</v>
      </c>
      <c r="G692">
        <v>15219</v>
      </c>
      <c r="H692" t="s">
        <v>34</v>
      </c>
      <c r="I692">
        <v>55</v>
      </c>
      <c r="J692">
        <v>0</v>
      </c>
      <c r="K692" t="s">
        <v>8131</v>
      </c>
    </row>
    <row r="693" spans="1:11" x14ac:dyDescent="0.25">
      <c r="A693" t="s">
        <v>2527</v>
      </c>
      <c r="B693" t="s">
        <v>1384</v>
      </c>
      <c r="C693" t="s">
        <v>2528</v>
      </c>
      <c r="D693" t="s">
        <v>2529</v>
      </c>
      <c r="E693" t="s">
        <v>14</v>
      </c>
      <c r="F693" t="s">
        <v>15</v>
      </c>
      <c r="G693">
        <v>15218</v>
      </c>
      <c r="H693" t="s">
        <v>34</v>
      </c>
      <c r="I693">
        <v>23</v>
      </c>
      <c r="J693">
        <v>0</v>
      </c>
      <c r="K693" t="s">
        <v>8131</v>
      </c>
    </row>
    <row r="694" spans="1:11" x14ac:dyDescent="0.25">
      <c r="A694" t="s">
        <v>2530</v>
      </c>
      <c r="B694" t="s">
        <v>2389</v>
      </c>
      <c r="C694" t="s">
        <v>2531</v>
      </c>
      <c r="D694" t="s">
        <v>2532</v>
      </c>
      <c r="E694" t="s">
        <v>14</v>
      </c>
      <c r="F694" t="s">
        <v>15</v>
      </c>
      <c r="G694">
        <v>15219</v>
      </c>
      <c r="H694" t="s">
        <v>21</v>
      </c>
      <c r="I694">
        <v>39</v>
      </c>
      <c r="J694">
        <v>1</v>
      </c>
      <c r="K694" t="s">
        <v>8131</v>
      </c>
    </row>
    <row r="695" spans="1:11" x14ac:dyDescent="0.25">
      <c r="A695" t="s">
        <v>2533</v>
      </c>
      <c r="B695" t="s">
        <v>282</v>
      </c>
      <c r="C695" t="s">
        <v>2534</v>
      </c>
      <c r="D695" t="s">
        <v>2535</v>
      </c>
      <c r="E695" t="s">
        <v>14</v>
      </c>
      <c r="F695" t="s">
        <v>15</v>
      </c>
      <c r="G695">
        <v>15213</v>
      </c>
      <c r="H695" t="s">
        <v>34</v>
      </c>
      <c r="I695">
        <v>90</v>
      </c>
      <c r="J695">
        <v>1</v>
      </c>
      <c r="K695" t="s">
        <v>8124</v>
      </c>
    </row>
    <row r="696" spans="1:11" x14ac:dyDescent="0.25">
      <c r="A696" t="s">
        <v>2536</v>
      </c>
      <c r="B696" t="s">
        <v>2537</v>
      </c>
      <c r="C696" t="s">
        <v>2538</v>
      </c>
      <c r="D696" t="s">
        <v>2539</v>
      </c>
      <c r="E696" t="s">
        <v>14</v>
      </c>
      <c r="F696" t="s">
        <v>15</v>
      </c>
      <c r="G696">
        <v>15216</v>
      </c>
      <c r="H696" t="s">
        <v>16</v>
      </c>
      <c r="I696">
        <v>139</v>
      </c>
      <c r="J696">
        <v>1</v>
      </c>
      <c r="K696" t="s">
        <v>8119</v>
      </c>
    </row>
    <row r="697" spans="1:11" x14ac:dyDescent="0.25">
      <c r="A697" t="s">
        <v>2540</v>
      </c>
      <c r="B697" t="s">
        <v>2541</v>
      </c>
      <c r="C697" t="s">
        <v>2542</v>
      </c>
      <c r="D697" t="s">
        <v>2543</v>
      </c>
      <c r="E697" t="s">
        <v>14</v>
      </c>
      <c r="F697" t="s">
        <v>15</v>
      </c>
      <c r="G697">
        <v>15222</v>
      </c>
      <c r="H697" t="s">
        <v>48</v>
      </c>
      <c r="I697">
        <v>8</v>
      </c>
      <c r="J697">
        <v>1</v>
      </c>
      <c r="K697" t="s">
        <v>8131</v>
      </c>
    </row>
    <row r="698" spans="1:11" x14ac:dyDescent="0.25">
      <c r="A698" t="s">
        <v>2544</v>
      </c>
      <c r="B698" t="s">
        <v>2545</v>
      </c>
      <c r="C698" t="s">
        <v>2546</v>
      </c>
      <c r="D698" t="s">
        <v>2547</v>
      </c>
      <c r="E698" t="s">
        <v>14</v>
      </c>
      <c r="F698" t="s">
        <v>15</v>
      </c>
      <c r="G698">
        <v>15216</v>
      </c>
      <c r="H698" t="s">
        <v>48</v>
      </c>
      <c r="I698">
        <v>25</v>
      </c>
      <c r="J698">
        <v>1</v>
      </c>
      <c r="K698" t="s">
        <v>8132</v>
      </c>
    </row>
    <row r="699" spans="1:11" x14ac:dyDescent="0.25">
      <c r="A699" t="s">
        <v>2548</v>
      </c>
      <c r="B699" t="s">
        <v>2549</v>
      </c>
      <c r="C699" t="s">
        <v>340</v>
      </c>
      <c r="D699" t="s">
        <v>2550</v>
      </c>
      <c r="E699" t="s">
        <v>14</v>
      </c>
      <c r="F699" t="s">
        <v>15</v>
      </c>
      <c r="G699">
        <v>15222</v>
      </c>
      <c r="H699" t="s">
        <v>34</v>
      </c>
      <c r="I699">
        <v>35</v>
      </c>
      <c r="J699">
        <v>1</v>
      </c>
      <c r="K699" t="s">
        <v>8131</v>
      </c>
    </row>
    <row r="700" spans="1:11" x14ac:dyDescent="0.25">
      <c r="A700" t="s">
        <v>2551</v>
      </c>
      <c r="B700" t="s">
        <v>2145</v>
      </c>
      <c r="C700" t="s">
        <v>2552</v>
      </c>
      <c r="D700" t="s">
        <v>2553</v>
      </c>
      <c r="E700" t="s">
        <v>14</v>
      </c>
      <c r="F700" t="s">
        <v>15</v>
      </c>
      <c r="G700">
        <v>15136</v>
      </c>
      <c r="H700" t="s">
        <v>16</v>
      </c>
      <c r="I700">
        <v>9</v>
      </c>
      <c r="J700">
        <v>0</v>
      </c>
      <c r="K700" t="s">
        <v>8120</v>
      </c>
    </row>
    <row r="701" spans="1:11" x14ac:dyDescent="0.25">
      <c r="A701" t="s">
        <v>2554</v>
      </c>
      <c r="B701" t="s">
        <v>2555</v>
      </c>
      <c r="C701" t="s">
        <v>2065</v>
      </c>
      <c r="D701" t="s">
        <v>2556</v>
      </c>
      <c r="E701" t="s">
        <v>14</v>
      </c>
      <c r="F701" t="s">
        <v>15</v>
      </c>
      <c r="G701">
        <v>15218</v>
      </c>
      <c r="H701" t="s">
        <v>43</v>
      </c>
      <c r="I701">
        <v>26</v>
      </c>
      <c r="J701">
        <v>1</v>
      </c>
      <c r="K701" t="s">
        <v>8131</v>
      </c>
    </row>
    <row r="702" spans="1:11" x14ac:dyDescent="0.25">
      <c r="A702" t="s">
        <v>2557</v>
      </c>
      <c r="B702" t="s">
        <v>2558</v>
      </c>
      <c r="C702" t="s">
        <v>2559</v>
      </c>
      <c r="D702" t="s">
        <v>2560</v>
      </c>
      <c r="E702" t="s">
        <v>14</v>
      </c>
      <c r="F702" t="s">
        <v>15</v>
      </c>
      <c r="G702">
        <v>15203</v>
      </c>
      <c r="H702" t="s">
        <v>48</v>
      </c>
      <c r="I702">
        <v>27</v>
      </c>
      <c r="J702">
        <v>0</v>
      </c>
      <c r="K702" t="s">
        <v>8121</v>
      </c>
    </row>
    <row r="703" spans="1:11" x14ac:dyDescent="0.25">
      <c r="A703" t="s">
        <v>2561</v>
      </c>
      <c r="B703" t="s">
        <v>2562</v>
      </c>
      <c r="C703" t="s">
        <v>2563</v>
      </c>
      <c r="D703" t="s">
        <v>2564</v>
      </c>
      <c r="E703" t="s">
        <v>14</v>
      </c>
      <c r="F703" t="s">
        <v>15</v>
      </c>
      <c r="G703">
        <v>15211</v>
      </c>
      <c r="H703" t="s">
        <v>21</v>
      </c>
      <c r="I703">
        <v>5</v>
      </c>
      <c r="J703">
        <v>1</v>
      </c>
      <c r="K703" t="s">
        <v>8131</v>
      </c>
    </row>
    <row r="704" spans="1:11" x14ac:dyDescent="0.25">
      <c r="A704" t="s">
        <v>2565</v>
      </c>
      <c r="B704" t="s">
        <v>2566</v>
      </c>
      <c r="C704" t="s">
        <v>2065</v>
      </c>
      <c r="D704" t="s">
        <v>2567</v>
      </c>
      <c r="E704" t="s">
        <v>14</v>
      </c>
      <c r="F704" t="s">
        <v>15</v>
      </c>
      <c r="G704">
        <v>15235</v>
      </c>
      <c r="H704" t="s">
        <v>43</v>
      </c>
      <c r="I704">
        <v>27</v>
      </c>
      <c r="J704">
        <v>1</v>
      </c>
      <c r="K704" t="s">
        <v>8131</v>
      </c>
    </row>
    <row r="705" spans="1:11" x14ac:dyDescent="0.25">
      <c r="A705" t="s">
        <v>2568</v>
      </c>
      <c r="B705" t="s">
        <v>2569</v>
      </c>
      <c r="C705" t="s">
        <v>2570</v>
      </c>
      <c r="D705" t="s">
        <v>643</v>
      </c>
      <c r="E705" t="s">
        <v>14</v>
      </c>
      <c r="F705" t="s">
        <v>15</v>
      </c>
      <c r="G705">
        <v>15212</v>
      </c>
      <c r="H705" t="s">
        <v>16</v>
      </c>
      <c r="I705">
        <v>163</v>
      </c>
      <c r="J705">
        <v>1</v>
      </c>
      <c r="K705" t="s">
        <v>8122</v>
      </c>
    </row>
    <row r="706" spans="1:11" x14ac:dyDescent="0.25">
      <c r="A706" t="s">
        <v>2571</v>
      </c>
      <c r="B706" t="s">
        <v>2572</v>
      </c>
      <c r="C706" t="s">
        <v>2573</v>
      </c>
      <c r="D706" t="s">
        <v>599</v>
      </c>
      <c r="E706" t="s">
        <v>14</v>
      </c>
      <c r="F706" t="s">
        <v>15</v>
      </c>
      <c r="G706">
        <v>15219</v>
      </c>
      <c r="H706" t="s">
        <v>48</v>
      </c>
      <c r="I706">
        <v>6</v>
      </c>
      <c r="J706">
        <v>1</v>
      </c>
      <c r="K706" t="s">
        <v>8131</v>
      </c>
    </row>
    <row r="707" spans="1:11" x14ac:dyDescent="0.25">
      <c r="A707" t="s">
        <v>2574</v>
      </c>
      <c r="B707" t="s">
        <v>2575</v>
      </c>
      <c r="C707" t="s">
        <v>2576</v>
      </c>
      <c r="D707" t="s">
        <v>2577</v>
      </c>
      <c r="E707" t="s">
        <v>14</v>
      </c>
      <c r="F707" t="s">
        <v>15</v>
      </c>
      <c r="G707">
        <v>15201</v>
      </c>
      <c r="H707" t="s">
        <v>48</v>
      </c>
      <c r="I707">
        <v>27</v>
      </c>
      <c r="J707">
        <v>1</v>
      </c>
      <c r="K707" t="s">
        <v>8131</v>
      </c>
    </row>
    <row r="708" spans="1:11" x14ac:dyDescent="0.25">
      <c r="A708" t="s">
        <v>2578</v>
      </c>
      <c r="B708" t="s">
        <v>2579</v>
      </c>
      <c r="C708" t="s">
        <v>2580</v>
      </c>
      <c r="D708" t="s">
        <v>2581</v>
      </c>
      <c r="E708" t="s">
        <v>14</v>
      </c>
      <c r="F708" t="s">
        <v>15</v>
      </c>
      <c r="G708">
        <v>15222</v>
      </c>
      <c r="H708" t="s">
        <v>48</v>
      </c>
      <c r="I708">
        <v>23</v>
      </c>
      <c r="J708">
        <v>1</v>
      </c>
      <c r="K708" t="s">
        <v>8131</v>
      </c>
    </row>
    <row r="709" spans="1:11" x14ac:dyDescent="0.25">
      <c r="A709" t="s">
        <v>2582</v>
      </c>
      <c r="B709" t="s">
        <v>94</v>
      </c>
      <c r="C709" t="s">
        <v>95</v>
      </c>
      <c r="D709" t="s">
        <v>2583</v>
      </c>
      <c r="E709" t="s">
        <v>14</v>
      </c>
      <c r="F709" t="s">
        <v>15</v>
      </c>
      <c r="G709">
        <v>15221</v>
      </c>
      <c r="H709" t="s">
        <v>16</v>
      </c>
      <c r="I709">
        <v>22</v>
      </c>
      <c r="J709">
        <v>1</v>
      </c>
      <c r="K709" t="s">
        <v>8131</v>
      </c>
    </row>
    <row r="710" spans="1:11" x14ac:dyDescent="0.25">
      <c r="A710" t="s">
        <v>2584</v>
      </c>
      <c r="B710" t="s">
        <v>2585</v>
      </c>
      <c r="C710" t="s">
        <v>2586</v>
      </c>
      <c r="D710" t="s">
        <v>2587</v>
      </c>
      <c r="E710" t="s">
        <v>14</v>
      </c>
      <c r="F710" t="s">
        <v>15</v>
      </c>
      <c r="G710">
        <v>15216</v>
      </c>
      <c r="H710" t="s">
        <v>16</v>
      </c>
      <c r="I710">
        <v>4</v>
      </c>
      <c r="J710">
        <v>0</v>
      </c>
      <c r="K710" t="s">
        <v>8120</v>
      </c>
    </row>
    <row r="711" spans="1:11" x14ac:dyDescent="0.25">
      <c r="A711" t="s">
        <v>2588</v>
      </c>
      <c r="B711" t="s">
        <v>2589</v>
      </c>
      <c r="C711" t="s">
        <v>2590</v>
      </c>
      <c r="D711" t="s">
        <v>2591</v>
      </c>
      <c r="E711" t="s">
        <v>14</v>
      </c>
      <c r="F711" t="s">
        <v>15</v>
      </c>
      <c r="G711">
        <v>15219</v>
      </c>
      <c r="H711" t="s">
        <v>16</v>
      </c>
      <c r="I711">
        <v>5</v>
      </c>
      <c r="J711">
        <v>1</v>
      </c>
      <c r="K711" t="s">
        <v>8131</v>
      </c>
    </row>
    <row r="712" spans="1:11" x14ac:dyDescent="0.25">
      <c r="A712" t="s">
        <v>2592</v>
      </c>
      <c r="B712" t="s">
        <v>2593</v>
      </c>
      <c r="C712" t="s">
        <v>2594</v>
      </c>
      <c r="D712" t="s">
        <v>1955</v>
      </c>
      <c r="E712" t="s">
        <v>14</v>
      </c>
      <c r="F712" t="s">
        <v>15</v>
      </c>
      <c r="G712">
        <v>15213</v>
      </c>
      <c r="H712" t="s">
        <v>34</v>
      </c>
      <c r="I712">
        <v>36</v>
      </c>
      <c r="J712">
        <v>1</v>
      </c>
      <c r="K712" t="s">
        <v>8123</v>
      </c>
    </row>
    <row r="713" spans="1:11" x14ac:dyDescent="0.25">
      <c r="A713" t="s">
        <v>2595</v>
      </c>
      <c r="B713" t="s">
        <v>2596</v>
      </c>
      <c r="C713" t="s">
        <v>2597</v>
      </c>
      <c r="D713" t="s">
        <v>771</v>
      </c>
      <c r="E713" t="s">
        <v>14</v>
      </c>
      <c r="F713" t="s">
        <v>15</v>
      </c>
      <c r="G713">
        <v>15222</v>
      </c>
      <c r="H713" t="s">
        <v>34</v>
      </c>
      <c r="I713">
        <v>5</v>
      </c>
      <c r="J713">
        <v>0</v>
      </c>
      <c r="K713" t="s">
        <v>8131</v>
      </c>
    </row>
    <row r="714" spans="1:11" x14ac:dyDescent="0.25">
      <c r="A714" t="s">
        <v>2598</v>
      </c>
      <c r="B714" t="s">
        <v>586</v>
      </c>
      <c r="C714" t="s">
        <v>2599</v>
      </c>
      <c r="D714" t="s">
        <v>2600</v>
      </c>
      <c r="E714" t="s">
        <v>14</v>
      </c>
      <c r="F714" t="s">
        <v>15</v>
      </c>
      <c r="G714">
        <v>15217</v>
      </c>
      <c r="H714" t="s">
        <v>43</v>
      </c>
      <c r="I714">
        <v>10</v>
      </c>
      <c r="J714">
        <v>0</v>
      </c>
      <c r="K714" t="s">
        <v>8120</v>
      </c>
    </row>
    <row r="715" spans="1:11" x14ac:dyDescent="0.25">
      <c r="A715" t="s">
        <v>2601</v>
      </c>
      <c r="B715" t="s">
        <v>259</v>
      </c>
      <c r="C715" t="s">
        <v>260</v>
      </c>
      <c r="D715" t="s">
        <v>2602</v>
      </c>
      <c r="E715" t="s">
        <v>14</v>
      </c>
      <c r="F715" t="s">
        <v>15</v>
      </c>
      <c r="G715">
        <v>15241</v>
      </c>
      <c r="H715" t="s">
        <v>43</v>
      </c>
      <c r="I715">
        <v>20</v>
      </c>
      <c r="J715">
        <v>1</v>
      </c>
      <c r="K715" t="s">
        <v>8122</v>
      </c>
    </row>
    <row r="716" spans="1:11" x14ac:dyDescent="0.25">
      <c r="A716" t="s">
        <v>2603</v>
      </c>
      <c r="B716" t="s">
        <v>2604</v>
      </c>
      <c r="C716" t="s">
        <v>2605</v>
      </c>
      <c r="D716" t="s">
        <v>2606</v>
      </c>
      <c r="E716" t="s">
        <v>14</v>
      </c>
      <c r="F716" t="s">
        <v>15</v>
      </c>
      <c r="G716">
        <v>15222</v>
      </c>
      <c r="H716" t="s">
        <v>34</v>
      </c>
      <c r="I716">
        <v>84</v>
      </c>
      <c r="J716">
        <v>1</v>
      </c>
      <c r="K716" t="s">
        <v>8133</v>
      </c>
    </row>
    <row r="717" spans="1:11" x14ac:dyDescent="0.25">
      <c r="A717" t="s">
        <v>2607</v>
      </c>
      <c r="B717" t="s">
        <v>2608</v>
      </c>
      <c r="C717" t="s">
        <v>2609</v>
      </c>
      <c r="D717" t="s">
        <v>2610</v>
      </c>
      <c r="E717" t="s">
        <v>14</v>
      </c>
      <c r="F717" t="s">
        <v>15</v>
      </c>
      <c r="G717">
        <v>15289</v>
      </c>
      <c r="H717" t="s">
        <v>16</v>
      </c>
      <c r="I717">
        <v>20</v>
      </c>
      <c r="J717">
        <v>0</v>
      </c>
      <c r="K717" t="s">
        <v>8121</v>
      </c>
    </row>
    <row r="718" spans="1:11" x14ac:dyDescent="0.25">
      <c r="A718" t="s">
        <v>2611</v>
      </c>
      <c r="B718" t="s">
        <v>2612</v>
      </c>
      <c r="C718" t="s">
        <v>2613</v>
      </c>
      <c r="D718" t="s">
        <v>2614</v>
      </c>
      <c r="E718" t="s">
        <v>14</v>
      </c>
      <c r="F718" t="s">
        <v>15</v>
      </c>
      <c r="G718">
        <v>15224</v>
      </c>
      <c r="H718" t="s">
        <v>21</v>
      </c>
      <c r="I718">
        <v>52</v>
      </c>
      <c r="J718">
        <v>1</v>
      </c>
      <c r="K718" t="s">
        <v>8131</v>
      </c>
    </row>
    <row r="719" spans="1:11" x14ac:dyDescent="0.25">
      <c r="A719" t="s">
        <v>2615</v>
      </c>
      <c r="B719" t="s">
        <v>2616</v>
      </c>
      <c r="C719" t="s">
        <v>2617</v>
      </c>
      <c r="D719" t="s">
        <v>1386</v>
      </c>
      <c r="E719" t="s">
        <v>14</v>
      </c>
      <c r="F719" t="s">
        <v>15</v>
      </c>
      <c r="G719">
        <v>15289</v>
      </c>
      <c r="H719" t="s">
        <v>34</v>
      </c>
      <c r="I719">
        <v>5</v>
      </c>
      <c r="J719">
        <v>0</v>
      </c>
      <c r="K719" t="s">
        <v>8131</v>
      </c>
    </row>
    <row r="720" spans="1:11" x14ac:dyDescent="0.25">
      <c r="A720" t="s">
        <v>2618</v>
      </c>
      <c r="B720" t="s">
        <v>2619</v>
      </c>
      <c r="C720" t="s">
        <v>2620</v>
      </c>
      <c r="D720" t="s">
        <v>2621</v>
      </c>
      <c r="E720" t="s">
        <v>14</v>
      </c>
      <c r="F720" t="s">
        <v>15</v>
      </c>
      <c r="G720">
        <v>15224</v>
      </c>
      <c r="H720" t="s">
        <v>48</v>
      </c>
      <c r="I720">
        <v>157</v>
      </c>
      <c r="J720">
        <v>1</v>
      </c>
      <c r="K720" t="s">
        <v>8131</v>
      </c>
    </row>
    <row r="721" spans="1:11" x14ac:dyDescent="0.25">
      <c r="A721" t="s">
        <v>2622</v>
      </c>
      <c r="B721" t="s">
        <v>36</v>
      </c>
      <c r="C721" t="s">
        <v>2623</v>
      </c>
      <c r="D721" t="s">
        <v>2624</v>
      </c>
      <c r="E721" t="s">
        <v>14</v>
      </c>
      <c r="F721" t="s">
        <v>15</v>
      </c>
      <c r="G721">
        <v>15234</v>
      </c>
      <c r="H721" t="s">
        <v>34</v>
      </c>
      <c r="I721">
        <v>4</v>
      </c>
      <c r="J721">
        <v>1</v>
      </c>
      <c r="K721" t="s">
        <v>8131</v>
      </c>
    </row>
    <row r="722" spans="1:11" x14ac:dyDescent="0.25">
      <c r="A722" t="s">
        <v>2625</v>
      </c>
      <c r="B722" t="s">
        <v>2626</v>
      </c>
      <c r="C722" t="s">
        <v>2627</v>
      </c>
      <c r="D722" t="s">
        <v>2628</v>
      </c>
      <c r="E722" t="s">
        <v>14</v>
      </c>
      <c r="F722" t="s">
        <v>15</v>
      </c>
      <c r="G722">
        <v>15224</v>
      </c>
      <c r="H722" t="s">
        <v>48</v>
      </c>
      <c r="I722">
        <v>80</v>
      </c>
      <c r="J722">
        <v>0</v>
      </c>
      <c r="K722" t="s">
        <v>8131</v>
      </c>
    </row>
    <row r="723" spans="1:11" x14ac:dyDescent="0.25">
      <c r="A723" t="s">
        <v>2629</v>
      </c>
      <c r="B723" t="s">
        <v>2630</v>
      </c>
      <c r="C723" t="s">
        <v>2631</v>
      </c>
      <c r="D723" t="s">
        <v>1716</v>
      </c>
      <c r="E723" t="s">
        <v>14</v>
      </c>
      <c r="F723" t="s">
        <v>15</v>
      </c>
      <c r="G723">
        <v>15241</v>
      </c>
      <c r="H723" t="s">
        <v>113</v>
      </c>
      <c r="I723">
        <v>7</v>
      </c>
      <c r="J723">
        <v>0</v>
      </c>
      <c r="K723" t="s">
        <v>8131</v>
      </c>
    </row>
    <row r="724" spans="1:11" x14ac:dyDescent="0.25">
      <c r="A724" t="s">
        <v>2632</v>
      </c>
      <c r="B724" t="s">
        <v>2633</v>
      </c>
      <c r="C724" t="s">
        <v>2634</v>
      </c>
      <c r="D724" t="s">
        <v>2635</v>
      </c>
      <c r="E724" t="s">
        <v>14</v>
      </c>
      <c r="F724" t="s">
        <v>15</v>
      </c>
      <c r="G724">
        <v>15203</v>
      </c>
      <c r="H724" t="s">
        <v>43</v>
      </c>
      <c r="I724">
        <v>15</v>
      </c>
      <c r="J724">
        <v>0</v>
      </c>
      <c r="K724" t="s">
        <v>8131</v>
      </c>
    </row>
    <row r="725" spans="1:11" x14ac:dyDescent="0.25">
      <c r="A725" t="s">
        <v>2636</v>
      </c>
      <c r="B725" t="s">
        <v>2637</v>
      </c>
      <c r="C725" t="s">
        <v>2638</v>
      </c>
      <c r="D725" t="s">
        <v>2639</v>
      </c>
      <c r="E725" t="s">
        <v>14</v>
      </c>
      <c r="F725" t="s">
        <v>15</v>
      </c>
      <c r="G725">
        <v>15213</v>
      </c>
      <c r="H725" t="s">
        <v>16</v>
      </c>
      <c r="I725">
        <v>67</v>
      </c>
      <c r="J725">
        <v>1</v>
      </c>
      <c r="K725" t="s">
        <v>8131</v>
      </c>
    </row>
    <row r="726" spans="1:11" x14ac:dyDescent="0.25">
      <c r="A726" t="s">
        <v>2640</v>
      </c>
      <c r="B726" t="s">
        <v>119</v>
      </c>
      <c r="C726" t="s">
        <v>2641</v>
      </c>
      <c r="D726" t="s">
        <v>2642</v>
      </c>
      <c r="E726" t="s">
        <v>14</v>
      </c>
      <c r="F726" t="s">
        <v>15</v>
      </c>
      <c r="G726">
        <v>15211</v>
      </c>
      <c r="H726" t="s">
        <v>16</v>
      </c>
      <c r="I726">
        <v>81</v>
      </c>
      <c r="J726">
        <v>0</v>
      </c>
      <c r="K726" t="s">
        <v>8131</v>
      </c>
    </row>
    <row r="727" spans="1:11" x14ac:dyDescent="0.25">
      <c r="A727" t="s">
        <v>2643</v>
      </c>
      <c r="B727" t="s">
        <v>2644</v>
      </c>
      <c r="C727" t="s">
        <v>2645</v>
      </c>
      <c r="D727" t="s">
        <v>2646</v>
      </c>
      <c r="E727" t="s">
        <v>14</v>
      </c>
      <c r="F727" t="s">
        <v>15</v>
      </c>
      <c r="G727">
        <v>15222</v>
      </c>
      <c r="H727" t="s">
        <v>48</v>
      </c>
      <c r="I727">
        <v>17</v>
      </c>
      <c r="J727">
        <v>0</v>
      </c>
      <c r="K727" t="s">
        <v>8131</v>
      </c>
    </row>
    <row r="728" spans="1:11" x14ac:dyDescent="0.25">
      <c r="A728" t="s">
        <v>2647</v>
      </c>
      <c r="B728" t="s">
        <v>2648</v>
      </c>
      <c r="C728" t="s">
        <v>2649</v>
      </c>
      <c r="D728" t="s">
        <v>2650</v>
      </c>
      <c r="E728" t="s">
        <v>14</v>
      </c>
      <c r="F728" t="s">
        <v>15</v>
      </c>
      <c r="G728">
        <v>15203</v>
      </c>
      <c r="H728" t="s">
        <v>34</v>
      </c>
      <c r="I728">
        <v>30</v>
      </c>
      <c r="J728">
        <v>1</v>
      </c>
      <c r="K728" t="s">
        <v>8131</v>
      </c>
    </row>
    <row r="729" spans="1:11" x14ac:dyDescent="0.25">
      <c r="A729" t="s">
        <v>2651</v>
      </c>
      <c r="B729" t="s">
        <v>2472</v>
      </c>
      <c r="C729" t="s">
        <v>913</v>
      </c>
      <c r="D729" t="s">
        <v>2652</v>
      </c>
      <c r="E729" t="s">
        <v>14</v>
      </c>
      <c r="F729" t="s">
        <v>15</v>
      </c>
      <c r="G729">
        <v>15233</v>
      </c>
      <c r="H729" t="s">
        <v>113</v>
      </c>
      <c r="I729">
        <v>11</v>
      </c>
      <c r="J729">
        <v>1</v>
      </c>
      <c r="K729" t="s">
        <v>8122</v>
      </c>
    </row>
    <row r="730" spans="1:11" x14ac:dyDescent="0.25">
      <c r="A730" t="s">
        <v>2653</v>
      </c>
      <c r="B730" t="s">
        <v>2654</v>
      </c>
      <c r="C730" t="s">
        <v>1093</v>
      </c>
      <c r="D730" t="s">
        <v>2655</v>
      </c>
      <c r="E730" t="s">
        <v>14</v>
      </c>
      <c r="F730" t="s">
        <v>15</v>
      </c>
      <c r="G730">
        <v>15237</v>
      </c>
      <c r="H730" t="s">
        <v>48</v>
      </c>
      <c r="I730">
        <v>33</v>
      </c>
      <c r="J730">
        <v>1</v>
      </c>
      <c r="K730" t="s">
        <v>8131</v>
      </c>
    </row>
    <row r="731" spans="1:11" x14ac:dyDescent="0.25">
      <c r="A731" t="s">
        <v>2656</v>
      </c>
      <c r="B731" t="s">
        <v>2657</v>
      </c>
      <c r="C731" t="s">
        <v>2658</v>
      </c>
      <c r="D731" t="s">
        <v>2659</v>
      </c>
      <c r="E731" t="s">
        <v>14</v>
      </c>
      <c r="F731" t="s">
        <v>15</v>
      </c>
      <c r="G731">
        <v>15237</v>
      </c>
      <c r="H731" t="s">
        <v>34</v>
      </c>
      <c r="I731">
        <v>64</v>
      </c>
      <c r="J731">
        <v>1</v>
      </c>
      <c r="K731" t="s">
        <v>8120</v>
      </c>
    </row>
    <row r="732" spans="1:11" x14ac:dyDescent="0.25">
      <c r="A732" t="s">
        <v>2660</v>
      </c>
      <c r="B732" t="s">
        <v>36</v>
      </c>
      <c r="C732" t="s">
        <v>2661</v>
      </c>
      <c r="D732" t="s">
        <v>2662</v>
      </c>
      <c r="E732" t="s">
        <v>14</v>
      </c>
      <c r="F732" t="s">
        <v>15</v>
      </c>
      <c r="G732">
        <v>15206</v>
      </c>
      <c r="H732" t="s">
        <v>48</v>
      </c>
      <c r="I732">
        <v>14</v>
      </c>
      <c r="J732">
        <v>0</v>
      </c>
      <c r="K732" t="s">
        <v>8131</v>
      </c>
    </row>
    <row r="733" spans="1:11" x14ac:dyDescent="0.25">
      <c r="A733" t="s">
        <v>2663</v>
      </c>
      <c r="B733" t="s">
        <v>2664</v>
      </c>
      <c r="C733" t="s">
        <v>2665</v>
      </c>
      <c r="D733" t="s">
        <v>2666</v>
      </c>
      <c r="E733" t="s">
        <v>14</v>
      </c>
      <c r="F733" t="s">
        <v>15</v>
      </c>
      <c r="G733">
        <v>15203</v>
      </c>
      <c r="H733" t="s">
        <v>21</v>
      </c>
      <c r="I733">
        <v>18</v>
      </c>
      <c r="J733">
        <v>0</v>
      </c>
      <c r="K733" t="s">
        <v>8131</v>
      </c>
    </row>
    <row r="734" spans="1:11" x14ac:dyDescent="0.25">
      <c r="A734" t="s">
        <v>2667</v>
      </c>
      <c r="B734" t="s">
        <v>578</v>
      </c>
      <c r="C734" t="s">
        <v>2668</v>
      </c>
      <c r="D734" t="s">
        <v>2669</v>
      </c>
      <c r="E734" t="s">
        <v>14</v>
      </c>
      <c r="F734" t="s">
        <v>15</v>
      </c>
      <c r="G734">
        <v>15277</v>
      </c>
      <c r="H734" t="s">
        <v>43</v>
      </c>
      <c r="I734">
        <v>3</v>
      </c>
      <c r="J734">
        <v>0</v>
      </c>
      <c r="K734" t="s">
        <v>8131</v>
      </c>
    </row>
    <row r="735" spans="1:11" x14ac:dyDescent="0.25">
      <c r="A735" t="s">
        <v>2670</v>
      </c>
      <c r="B735" t="s">
        <v>2009</v>
      </c>
      <c r="C735" t="s">
        <v>2671</v>
      </c>
      <c r="D735" t="s">
        <v>2672</v>
      </c>
      <c r="E735" t="s">
        <v>14</v>
      </c>
      <c r="F735" t="s">
        <v>15</v>
      </c>
      <c r="G735">
        <v>15222</v>
      </c>
      <c r="H735" t="s">
        <v>92</v>
      </c>
      <c r="I735">
        <v>3</v>
      </c>
      <c r="J735">
        <v>1</v>
      </c>
      <c r="K735" t="s">
        <v>8131</v>
      </c>
    </row>
    <row r="736" spans="1:11" x14ac:dyDescent="0.25">
      <c r="A736" t="s">
        <v>2673</v>
      </c>
      <c r="B736" t="s">
        <v>2674</v>
      </c>
      <c r="C736" t="s">
        <v>151</v>
      </c>
      <c r="D736" t="s">
        <v>2675</v>
      </c>
      <c r="E736" t="s">
        <v>14</v>
      </c>
      <c r="F736" t="s">
        <v>15</v>
      </c>
      <c r="G736">
        <v>15210</v>
      </c>
      <c r="H736" t="s">
        <v>34</v>
      </c>
      <c r="I736">
        <v>15</v>
      </c>
      <c r="J736">
        <v>1</v>
      </c>
      <c r="K736" t="s">
        <v>8131</v>
      </c>
    </row>
    <row r="737" spans="1:11" x14ac:dyDescent="0.25">
      <c r="A737" t="s">
        <v>2676</v>
      </c>
      <c r="B737" t="s">
        <v>2677</v>
      </c>
      <c r="C737" t="s">
        <v>2678</v>
      </c>
      <c r="D737" t="s">
        <v>1246</v>
      </c>
      <c r="E737" t="s">
        <v>14</v>
      </c>
      <c r="F737" t="s">
        <v>15</v>
      </c>
      <c r="G737">
        <v>15232</v>
      </c>
      <c r="H737" t="s">
        <v>48</v>
      </c>
      <c r="I737">
        <v>31</v>
      </c>
      <c r="J737">
        <v>0</v>
      </c>
      <c r="K737" t="s">
        <v>8131</v>
      </c>
    </row>
    <row r="738" spans="1:11" x14ac:dyDescent="0.25">
      <c r="A738" t="s">
        <v>2679</v>
      </c>
      <c r="B738" t="s">
        <v>791</v>
      </c>
      <c r="C738" t="s">
        <v>2680</v>
      </c>
      <c r="D738" t="s">
        <v>2681</v>
      </c>
      <c r="E738" t="s">
        <v>14</v>
      </c>
      <c r="F738" t="s">
        <v>15</v>
      </c>
      <c r="G738">
        <v>15213</v>
      </c>
      <c r="H738" t="s">
        <v>34</v>
      </c>
      <c r="I738">
        <v>28</v>
      </c>
      <c r="J738">
        <v>1</v>
      </c>
      <c r="K738" t="s">
        <v>8131</v>
      </c>
    </row>
    <row r="739" spans="1:11" x14ac:dyDescent="0.25">
      <c r="A739" t="s">
        <v>2682</v>
      </c>
      <c r="B739" t="s">
        <v>586</v>
      </c>
      <c r="C739" t="s">
        <v>2683</v>
      </c>
      <c r="D739" t="s">
        <v>2684</v>
      </c>
      <c r="E739" t="s">
        <v>14</v>
      </c>
      <c r="F739" t="s">
        <v>15</v>
      </c>
      <c r="G739">
        <v>15203</v>
      </c>
      <c r="H739" t="s">
        <v>21</v>
      </c>
      <c r="I739">
        <v>3</v>
      </c>
      <c r="J739">
        <v>0</v>
      </c>
      <c r="K739" t="s">
        <v>8120</v>
      </c>
    </row>
    <row r="740" spans="1:11" x14ac:dyDescent="0.25">
      <c r="A740" t="s">
        <v>2685</v>
      </c>
      <c r="B740" t="s">
        <v>2686</v>
      </c>
      <c r="C740" t="s">
        <v>2687</v>
      </c>
      <c r="D740" t="s">
        <v>687</v>
      </c>
      <c r="E740" t="s">
        <v>14</v>
      </c>
      <c r="F740" t="s">
        <v>15</v>
      </c>
      <c r="G740">
        <v>15235</v>
      </c>
      <c r="H740" t="s">
        <v>16</v>
      </c>
      <c r="I740">
        <v>5</v>
      </c>
      <c r="J740">
        <v>0</v>
      </c>
      <c r="K740" t="s">
        <v>8122</v>
      </c>
    </row>
    <row r="741" spans="1:11" x14ac:dyDescent="0.25">
      <c r="A741" t="s">
        <v>2688</v>
      </c>
      <c r="B741" t="s">
        <v>2689</v>
      </c>
      <c r="C741" t="s">
        <v>2690</v>
      </c>
      <c r="D741" t="s">
        <v>1619</v>
      </c>
      <c r="E741" t="s">
        <v>14</v>
      </c>
      <c r="F741" t="s">
        <v>15</v>
      </c>
      <c r="G741">
        <v>15216</v>
      </c>
      <c r="H741" t="s">
        <v>48</v>
      </c>
      <c r="I741">
        <v>67</v>
      </c>
      <c r="J741">
        <v>1</v>
      </c>
      <c r="K741" t="s">
        <v>8123</v>
      </c>
    </row>
    <row r="742" spans="1:11" x14ac:dyDescent="0.25">
      <c r="A742" t="s">
        <v>2691</v>
      </c>
      <c r="B742" t="s">
        <v>2692</v>
      </c>
      <c r="C742" t="s">
        <v>2693</v>
      </c>
      <c r="D742" t="s">
        <v>2694</v>
      </c>
      <c r="E742" t="s">
        <v>14</v>
      </c>
      <c r="F742" t="s">
        <v>15</v>
      </c>
      <c r="G742">
        <v>15201</v>
      </c>
      <c r="H742" t="s">
        <v>43</v>
      </c>
      <c r="I742">
        <v>4</v>
      </c>
      <c r="J742">
        <v>0</v>
      </c>
      <c r="K742" t="s">
        <v>8131</v>
      </c>
    </row>
    <row r="743" spans="1:11" x14ac:dyDescent="0.25">
      <c r="A743" t="s">
        <v>2695</v>
      </c>
      <c r="B743" t="s">
        <v>2696</v>
      </c>
      <c r="C743" t="s">
        <v>2697</v>
      </c>
      <c r="D743" t="s">
        <v>2698</v>
      </c>
      <c r="E743" t="s">
        <v>14</v>
      </c>
      <c r="F743" t="s">
        <v>15</v>
      </c>
      <c r="G743">
        <v>15233</v>
      </c>
      <c r="H743" t="s">
        <v>16</v>
      </c>
      <c r="I743">
        <v>49</v>
      </c>
      <c r="J743">
        <v>1</v>
      </c>
      <c r="K743" t="s">
        <v>8131</v>
      </c>
    </row>
    <row r="744" spans="1:11" x14ac:dyDescent="0.25">
      <c r="A744" t="s">
        <v>2699</v>
      </c>
      <c r="B744" t="s">
        <v>2700</v>
      </c>
      <c r="C744" t="s">
        <v>2701</v>
      </c>
      <c r="D744" t="s">
        <v>2702</v>
      </c>
      <c r="E744" t="s">
        <v>14</v>
      </c>
      <c r="F744" t="s">
        <v>15</v>
      </c>
      <c r="G744">
        <v>15201</v>
      </c>
      <c r="H744" t="s">
        <v>21</v>
      </c>
      <c r="I744">
        <v>62</v>
      </c>
      <c r="J744">
        <v>1</v>
      </c>
      <c r="K744" t="s">
        <v>8131</v>
      </c>
    </row>
    <row r="745" spans="1:11" x14ac:dyDescent="0.25">
      <c r="A745" t="s">
        <v>2703</v>
      </c>
      <c r="B745" t="s">
        <v>2704</v>
      </c>
      <c r="C745" t="s">
        <v>1001</v>
      </c>
      <c r="D745" t="s">
        <v>2705</v>
      </c>
      <c r="E745" t="s">
        <v>14</v>
      </c>
      <c r="F745" t="s">
        <v>15</v>
      </c>
      <c r="G745">
        <v>15220</v>
      </c>
      <c r="H745" t="s">
        <v>34</v>
      </c>
      <c r="I745">
        <v>33</v>
      </c>
      <c r="J745">
        <v>1</v>
      </c>
      <c r="K745" t="s">
        <v>8131</v>
      </c>
    </row>
    <row r="746" spans="1:11" x14ac:dyDescent="0.25">
      <c r="A746" t="s">
        <v>2706</v>
      </c>
      <c r="B746" t="s">
        <v>2707</v>
      </c>
      <c r="C746" t="s">
        <v>2708</v>
      </c>
      <c r="D746" t="s">
        <v>2301</v>
      </c>
      <c r="E746" t="s">
        <v>14</v>
      </c>
      <c r="F746" t="s">
        <v>15</v>
      </c>
      <c r="G746">
        <v>15206</v>
      </c>
      <c r="H746" t="s">
        <v>113</v>
      </c>
      <c r="I746">
        <v>10</v>
      </c>
      <c r="J746">
        <v>1</v>
      </c>
      <c r="K746" t="s">
        <v>8133</v>
      </c>
    </row>
    <row r="747" spans="1:11" x14ac:dyDescent="0.25">
      <c r="A747" t="s">
        <v>2709</v>
      </c>
      <c r="B747" t="s">
        <v>2710</v>
      </c>
      <c r="C747" t="s">
        <v>2711</v>
      </c>
      <c r="D747" t="s">
        <v>2712</v>
      </c>
      <c r="E747" t="s">
        <v>14</v>
      </c>
      <c r="F747" t="s">
        <v>15</v>
      </c>
      <c r="G747">
        <v>15210</v>
      </c>
      <c r="H747" t="s">
        <v>43</v>
      </c>
      <c r="I747">
        <v>29</v>
      </c>
      <c r="J747">
        <v>1</v>
      </c>
      <c r="K747" t="s">
        <v>8131</v>
      </c>
    </row>
    <row r="748" spans="1:11" x14ac:dyDescent="0.25">
      <c r="A748" t="e">
        <f>-Lovf0jkQtvb6Y_WjDn-sw</f>
        <v>#NAME?</v>
      </c>
      <c r="B748" t="s">
        <v>2713</v>
      </c>
      <c r="C748" t="s">
        <v>2714</v>
      </c>
      <c r="D748" t="s">
        <v>2715</v>
      </c>
      <c r="E748" t="s">
        <v>14</v>
      </c>
      <c r="F748" t="s">
        <v>15</v>
      </c>
      <c r="G748">
        <v>15203</v>
      </c>
      <c r="H748" t="s">
        <v>48</v>
      </c>
      <c r="I748">
        <v>32</v>
      </c>
      <c r="J748">
        <v>1</v>
      </c>
      <c r="K748" t="s">
        <v>8131</v>
      </c>
    </row>
    <row r="749" spans="1:11" x14ac:dyDescent="0.25">
      <c r="A749" t="s">
        <v>2716</v>
      </c>
      <c r="B749" t="s">
        <v>31</v>
      </c>
      <c r="C749" t="s">
        <v>32</v>
      </c>
      <c r="D749" t="s">
        <v>2717</v>
      </c>
      <c r="E749" t="s">
        <v>14</v>
      </c>
      <c r="F749" t="s">
        <v>15</v>
      </c>
      <c r="G749">
        <v>15226</v>
      </c>
      <c r="H749" t="s">
        <v>34</v>
      </c>
      <c r="I749">
        <v>3</v>
      </c>
      <c r="J749">
        <v>1</v>
      </c>
      <c r="K749" t="s">
        <v>8131</v>
      </c>
    </row>
    <row r="750" spans="1:11" x14ac:dyDescent="0.25">
      <c r="A750" t="s">
        <v>2718</v>
      </c>
      <c r="B750" t="s">
        <v>2719</v>
      </c>
      <c r="C750" t="s">
        <v>2720</v>
      </c>
      <c r="D750" t="s">
        <v>2721</v>
      </c>
      <c r="E750" t="s">
        <v>14</v>
      </c>
      <c r="F750" t="s">
        <v>15</v>
      </c>
      <c r="G750">
        <v>15224</v>
      </c>
      <c r="H750" t="s">
        <v>48</v>
      </c>
      <c r="I750">
        <v>42</v>
      </c>
      <c r="J750">
        <v>0</v>
      </c>
      <c r="K750" t="s">
        <v>8131</v>
      </c>
    </row>
    <row r="751" spans="1:11" x14ac:dyDescent="0.25">
      <c r="A751" t="s">
        <v>2722</v>
      </c>
      <c r="B751" t="s">
        <v>2723</v>
      </c>
      <c r="C751" t="s">
        <v>2724</v>
      </c>
      <c r="D751" t="s">
        <v>75</v>
      </c>
      <c r="E751" t="s">
        <v>14</v>
      </c>
      <c r="F751" t="s">
        <v>15</v>
      </c>
      <c r="G751">
        <v>15212</v>
      </c>
      <c r="H751" t="s">
        <v>16</v>
      </c>
      <c r="I751">
        <v>27</v>
      </c>
      <c r="J751">
        <v>1</v>
      </c>
      <c r="K751" t="s">
        <v>8131</v>
      </c>
    </row>
    <row r="752" spans="1:11" x14ac:dyDescent="0.25">
      <c r="A752" t="s">
        <v>2725</v>
      </c>
      <c r="B752" t="s">
        <v>2726</v>
      </c>
      <c r="C752" t="s">
        <v>2727</v>
      </c>
      <c r="D752" t="s">
        <v>2728</v>
      </c>
      <c r="E752" t="s">
        <v>14</v>
      </c>
      <c r="F752" t="s">
        <v>15</v>
      </c>
      <c r="G752">
        <v>15206</v>
      </c>
      <c r="H752" t="s">
        <v>21</v>
      </c>
      <c r="I752">
        <v>112</v>
      </c>
      <c r="J752">
        <v>1</v>
      </c>
      <c r="K752" t="s">
        <v>8131</v>
      </c>
    </row>
    <row r="753" spans="1:11" x14ac:dyDescent="0.25">
      <c r="A753" t="s">
        <v>2729</v>
      </c>
      <c r="B753" t="s">
        <v>2730</v>
      </c>
      <c r="C753" t="s">
        <v>2731</v>
      </c>
      <c r="D753" t="s">
        <v>2732</v>
      </c>
      <c r="E753" t="s">
        <v>14</v>
      </c>
      <c r="F753" t="s">
        <v>15</v>
      </c>
      <c r="G753">
        <v>15213</v>
      </c>
      <c r="H753" t="s">
        <v>34</v>
      </c>
      <c r="I753">
        <v>21</v>
      </c>
      <c r="J753">
        <v>0</v>
      </c>
      <c r="K753" t="s">
        <v>8118</v>
      </c>
    </row>
    <row r="754" spans="1:11" x14ac:dyDescent="0.25">
      <c r="A754" t="s">
        <v>2733</v>
      </c>
      <c r="B754" t="s">
        <v>578</v>
      </c>
      <c r="C754" t="s">
        <v>2734</v>
      </c>
      <c r="D754" t="s">
        <v>2735</v>
      </c>
      <c r="E754" t="s">
        <v>14</v>
      </c>
      <c r="F754" t="s">
        <v>15</v>
      </c>
      <c r="G754">
        <v>15206</v>
      </c>
      <c r="H754" t="s">
        <v>16</v>
      </c>
      <c r="I754">
        <v>22</v>
      </c>
      <c r="J754">
        <v>1</v>
      </c>
      <c r="K754" t="s">
        <v>8131</v>
      </c>
    </row>
    <row r="755" spans="1:11" x14ac:dyDescent="0.25">
      <c r="A755" t="s">
        <v>2736</v>
      </c>
      <c r="B755" t="s">
        <v>2737</v>
      </c>
      <c r="C755" t="s">
        <v>2738</v>
      </c>
      <c r="D755" t="s">
        <v>2739</v>
      </c>
      <c r="E755" t="s">
        <v>14</v>
      </c>
      <c r="F755" t="s">
        <v>15</v>
      </c>
      <c r="G755">
        <v>15224</v>
      </c>
      <c r="H755" t="s">
        <v>34</v>
      </c>
      <c r="I755">
        <v>16</v>
      </c>
      <c r="J755">
        <v>1</v>
      </c>
      <c r="K755" t="s">
        <v>8122</v>
      </c>
    </row>
    <row r="756" spans="1:11" x14ac:dyDescent="0.25">
      <c r="A756" t="s">
        <v>2740</v>
      </c>
      <c r="B756" t="s">
        <v>791</v>
      </c>
      <c r="C756" t="s">
        <v>2741</v>
      </c>
      <c r="D756" t="s">
        <v>2742</v>
      </c>
      <c r="E756" t="s">
        <v>14</v>
      </c>
      <c r="F756" t="s">
        <v>15</v>
      </c>
      <c r="G756">
        <v>15213</v>
      </c>
      <c r="H756" t="s">
        <v>48</v>
      </c>
      <c r="I756">
        <v>20</v>
      </c>
      <c r="J756">
        <v>1</v>
      </c>
      <c r="K756" t="s">
        <v>8131</v>
      </c>
    </row>
    <row r="757" spans="1:11" x14ac:dyDescent="0.25">
      <c r="A757" t="s">
        <v>2743</v>
      </c>
      <c r="B757" t="s">
        <v>2744</v>
      </c>
      <c r="C757" t="s">
        <v>2745</v>
      </c>
      <c r="D757" t="s">
        <v>2746</v>
      </c>
      <c r="E757" t="s">
        <v>14</v>
      </c>
      <c r="F757" t="s">
        <v>15</v>
      </c>
      <c r="G757">
        <v>15221</v>
      </c>
      <c r="H757" t="s">
        <v>92</v>
      </c>
      <c r="I757">
        <v>41</v>
      </c>
      <c r="J757">
        <v>0</v>
      </c>
      <c r="K757" t="s">
        <v>8131</v>
      </c>
    </row>
    <row r="758" spans="1:11" x14ac:dyDescent="0.25">
      <c r="A758" t="s">
        <v>2747</v>
      </c>
      <c r="B758" t="s">
        <v>2748</v>
      </c>
      <c r="C758" t="s">
        <v>2749</v>
      </c>
      <c r="D758" t="s">
        <v>2750</v>
      </c>
      <c r="E758" t="s">
        <v>14</v>
      </c>
      <c r="F758" t="s">
        <v>15</v>
      </c>
      <c r="G758">
        <v>15217</v>
      </c>
      <c r="H758" t="s">
        <v>48</v>
      </c>
      <c r="I758">
        <v>216</v>
      </c>
      <c r="J758">
        <v>1</v>
      </c>
      <c r="K758" t="s">
        <v>8131</v>
      </c>
    </row>
    <row r="759" spans="1:11" x14ac:dyDescent="0.25">
      <c r="A759" t="s">
        <v>2751</v>
      </c>
      <c r="B759" t="s">
        <v>2752</v>
      </c>
      <c r="C759" t="s">
        <v>336</v>
      </c>
      <c r="D759" t="s">
        <v>2753</v>
      </c>
      <c r="E759" t="s">
        <v>14</v>
      </c>
      <c r="F759" t="s">
        <v>15</v>
      </c>
      <c r="G759">
        <v>15222</v>
      </c>
      <c r="H759" t="s">
        <v>34</v>
      </c>
      <c r="I759">
        <v>7</v>
      </c>
      <c r="J759">
        <v>1</v>
      </c>
      <c r="K759" t="s">
        <v>8131</v>
      </c>
    </row>
    <row r="760" spans="1:11" x14ac:dyDescent="0.25">
      <c r="A760" t="s">
        <v>2754</v>
      </c>
      <c r="B760" t="s">
        <v>2755</v>
      </c>
      <c r="C760" t="s">
        <v>1464</v>
      </c>
      <c r="D760" t="s">
        <v>2756</v>
      </c>
      <c r="E760" t="s">
        <v>14</v>
      </c>
      <c r="F760" t="s">
        <v>15</v>
      </c>
      <c r="G760">
        <v>15223</v>
      </c>
      <c r="H760" t="s">
        <v>157</v>
      </c>
      <c r="I760">
        <v>3</v>
      </c>
      <c r="J760">
        <v>1</v>
      </c>
      <c r="K760" t="s">
        <v>8131</v>
      </c>
    </row>
    <row r="761" spans="1:11" x14ac:dyDescent="0.25">
      <c r="A761" t="s">
        <v>2757</v>
      </c>
      <c r="B761" t="s">
        <v>2758</v>
      </c>
      <c r="C761" t="s">
        <v>2759</v>
      </c>
      <c r="D761" t="s">
        <v>2760</v>
      </c>
      <c r="E761" t="s">
        <v>14</v>
      </c>
      <c r="F761" t="s">
        <v>15</v>
      </c>
      <c r="G761">
        <v>15213</v>
      </c>
      <c r="H761" t="s">
        <v>16</v>
      </c>
      <c r="I761">
        <v>193</v>
      </c>
      <c r="J761">
        <v>1</v>
      </c>
      <c r="K761" t="s">
        <v>8120</v>
      </c>
    </row>
    <row r="762" spans="1:11" x14ac:dyDescent="0.25">
      <c r="A762" t="s">
        <v>2761</v>
      </c>
      <c r="B762" t="s">
        <v>447</v>
      </c>
      <c r="C762" t="s">
        <v>2687</v>
      </c>
      <c r="D762" t="s">
        <v>2762</v>
      </c>
      <c r="E762" t="s">
        <v>14</v>
      </c>
      <c r="F762" t="s">
        <v>15</v>
      </c>
      <c r="G762">
        <v>15235</v>
      </c>
      <c r="H762" t="s">
        <v>16</v>
      </c>
      <c r="I762">
        <v>89</v>
      </c>
      <c r="J762">
        <v>1</v>
      </c>
      <c r="K762" t="s">
        <v>8122</v>
      </c>
    </row>
    <row r="763" spans="1:11" x14ac:dyDescent="0.25">
      <c r="A763" t="s">
        <v>2763</v>
      </c>
      <c r="B763" t="s">
        <v>447</v>
      </c>
      <c r="C763" t="s">
        <v>2764</v>
      </c>
      <c r="D763" t="s">
        <v>2765</v>
      </c>
      <c r="E763" t="s">
        <v>14</v>
      </c>
      <c r="F763" t="s">
        <v>15</v>
      </c>
      <c r="G763">
        <v>15237</v>
      </c>
      <c r="H763" t="s">
        <v>34</v>
      </c>
      <c r="I763">
        <v>18</v>
      </c>
      <c r="J763">
        <v>0</v>
      </c>
      <c r="K763" t="s">
        <v>8122</v>
      </c>
    </row>
    <row r="764" spans="1:11" x14ac:dyDescent="0.25">
      <c r="A764" t="s">
        <v>2766</v>
      </c>
      <c r="B764" t="s">
        <v>1416</v>
      </c>
      <c r="C764" t="s">
        <v>32</v>
      </c>
      <c r="D764" t="s">
        <v>2767</v>
      </c>
      <c r="E764" t="s">
        <v>14</v>
      </c>
      <c r="F764" t="s">
        <v>15</v>
      </c>
      <c r="G764">
        <v>15238</v>
      </c>
      <c r="H764" t="s">
        <v>113</v>
      </c>
      <c r="I764">
        <v>4</v>
      </c>
      <c r="J764">
        <v>1</v>
      </c>
      <c r="K764" t="s">
        <v>8131</v>
      </c>
    </row>
    <row r="765" spans="1:11" x14ac:dyDescent="0.25">
      <c r="A765" t="s">
        <v>2768</v>
      </c>
      <c r="B765" t="s">
        <v>451</v>
      </c>
      <c r="C765" t="s">
        <v>2769</v>
      </c>
      <c r="D765" t="s">
        <v>2770</v>
      </c>
      <c r="E765" t="s">
        <v>14</v>
      </c>
      <c r="F765" t="s">
        <v>15</v>
      </c>
      <c r="G765">
        <v>15235</v>
      </c>
      <c r="H765" t="s">
        <v>113</v>
      </c>
      <c r="I765">
        <v>10</v>
      </c>
      <c r="J765">
        <v>1</v>
      </c>
      <c r="K765" t="s">
        <v>8120</v>
      </c>
    </row>
    <row r="766" spans="1:11" x14ac:dyDescent="0.25">
      <c r="A766" t="s">
        <v>2771</v>
      </c>
      <c r="B766" t="s">
        <v>1664</v>
      </c>
      <c r="C766" t="s">
        <v>2772</v>
      </c>
      <c r="D766" t="s">
        <v>2773</v>
      </c>
      <c r="E766" t="s">
        <v>14</v>
      </c>
      <c r="F766" t="s">
        <v>15</v>
      </c>
      <c r="G766">
        <v>15213</v>
      </c>
      <c r="H766" t="s">
        <v>16</v>
      </c>
      <c r="I766">
        <v>96</v>
      </c>
      <c r="J766">
        <v>0</v>
      </c>
      <c r="K766" t="s">
        <v>8131</v>
      </c>
    </row>
    <row r="767" spans="1:11" x14ac:dyDescent="0.25">
      <c r="A767" t="s">
        <v>2774</v>
      </c>
      <c r="B767" t="s">
        <v>2775</v>
      </c>
      <c r="C767" t="s">
        <v>2776</v>
      </c>
      <c r="D767" t="s">
        <v>2777</v>
      </c>
      <c r="E767" t="s">
        <v>14</v>
      </c>
      <c r="F767" t="s">
        <v>15</v>
      </c>
      <c r="G767">
        <v>15238</v>
      </c>
      <c r="H767" t="s">
        <v>16</v>
      </c>
      <c r="I767">
        <v>8</v>
      </c>
      <c r="J767">
        <v>1</v>
      </c>
      <c r="K767" t="s">
        <v>8131</v>
      </c>
    </row>
    <row r="768" spans="1:11" x14ac:dyDescent="0.25">
      <c r="A768" t="s">
        <v>2778</v>
      </c>
      <c r="B768" t="s">
        <v>2779</v>
      </c>
      <c r="C768" t="s">
        <v>2780</v>
      </c>
      <c r="D768" t="s">
        <v>2781</v>
      </c>
      <c r="E768" t="s">
        <v>14</v>
      </c>
      <c r="F768" t="s">
        <v>15</v>
      </c>
      <c r="G768">
        <v>15224</v>
      </c>
      <c r="H768" t="s">
        <v>16</v>
      </c>
      <c r="I768">
        <v>8</v>
      </c>
      <c r="J768">
        <v>1</v>
      </c>
      <c r="K768" t="s">
        <v>8131</v>
      </c>
    </row>
    <row r="769" spans="1:11" x14ac:dyDescent="0.25">
      <c r="A769" t="s">
        <v>2782</v>
      </c>
      <c r="B769" t="s">
        <v>335</v>
      </c>
      <c r="C769" t="s">
        <v>2783</v>
      </c>
      <c r="D769" t="s">
        <v>2784</v>
      </c>
      <c r="E769" t="s">
        <v>14</v>
      </c>
      <c r="F769" t="s">
        <v>15</v>
      </c>
      <c r="G769">
        <v>15229</v>
      </c>
      <c r="H769" t="s">
        <v>48</v>
      </c>
      <c r="I769">
        <v>7</v>
      </c>
      <c r="J769">
        <v>1</v>
      </c>
      <c r="K769" t="s">
        <v>8131</v>
      </c>
    </row>
    <row r="770" spans="1:11" x14ac:dyDescent="0.25">
      <c r="A770" t="s">
        <v>2785</v>
      </c>
      <c r="B770" t="s">
        <v>81</v>
      </c>
      <c r="C770" t="s">
        <v>2786</v>
      </c>
      <c r="D770" t="s">
        <v>2787</v>
      </c>
      <c r="E770" t="s">
        <v>14</v>
      </c>
      <c r="F770" t="s">
        <v>15</v>
      </c>
      <c r="G770">
        <v>15236</v>
      </c>
      <c r="H770" t="s">
        <v>43</v>
      </c>
      <c r="I770">
        <v>3</v>
      </c>
      <c r="J770">
        <v>0</v>
      </c>
      <c r="K770" t="s">
        <v>8131</v>
      </c>
    </row>
    <row r="771" spans="1:11" x14ac:dyDescent="0.25">
      <c r="A771" t="s">
        <v>2788</v>
      </c>
      <c r="B771" t="s">
        <v>98</v>
      </c>
      <c r="C771" t="s">
        <v>1708</v>
      </c>
      <c r="D771" t="s">
        <v>2789</v>
      </c>
      <c r="E771" t="s">
        <v>14</v>
      </c>
      <c r="F771" t="s">
        <v>15</v>
      </c>
      <c r="G771">
        <v>15205</v>
      </c>
      <c r="H771" t="s">
        <v>157</v>
      </c>
      <c r="I771">
        <v>3</v>
      </c>
      <c r="J771">
        <v>0</v>
      </c>
      <c r="K771" t="s">
        <v>8131</v>
      </c>
    </row>
    <row r="772" spans="1:11" x14ac:dyDescent="0.25">
      <c r="A772" t="s">
        <v>2790</v>
      </c>
      <c r="B772" t="s">
        <v>2791</v>
      </c>
      <c r="C772" t="s">
        <v>2792</v>
      </c>
      <c r="D772" t="s">
        <v>651</v>
      </c>
      <c r="E772" t="s">
        <v>14</v>
      </c>
      <c r="F772" t="s">
        <v>15</v>
      </c>
      <c r="G772">
        <v>15222</v>
      </c>
      <c r="H772" t="s">
        <v>34</v>
      </c>
      <c r="I772">
        <v>49</v>
      </c>
      <c r="J772">
        <v>1</v>
      </c>
      <c r="K772" t="s">
        <v>8120</v>
      </c>
    </row>
    <row r="773" spans="1:11" x14ac:dyDescent="0.25">
      <c r="A773" t="s">
        <v>2793</v>
      </c>
      <c r="B773" t="s">
        <v>2794</v>
      </c>
      <c r="C773" t="s">
        <v>2795</v>
      </c>
      <c r="D773" t="s">
        <v>2123</v>
      </c>
      <c r="E773" t="s">
        <v>14</v>
      </c>
      <c r="F773" t="s">
        <v>15</v>
      </c>
      <c r="G773">
        <v>15232</v>
      </c>
      <c r="H773" t="s">
        <v>48</v>
      </c>
      <c r="I773">
        <v>85</v>
      </c>
      <c r="J773">
        <v>0</v>
      </c>
      <c r="K773" t="s">
        <v>8131</v>
      </c>
    </row>
    <row r="774" spans="1:11" x14ac:dyDescent="0.25">
      <c r="A774" t="s">
        <v>2796</v>
      </c>
      <c r="B774" t="s">
        <v>2797</v>
      </c>
      <c r="C774" t="s">
        <v>2798</v>
      </c>
      <c r="D774" t="s">
        <v>1238</v>
      </c>
      <c r="E774" t="s">
        <v>14</v>
      </c>
      <c r="F774" t="s">
        <v>15</v>
      </c>
      <c r="G774">
        <v>15212</v>
      </c>
      <c r="H774" t="s">
        <v>34</v>
      </c>
      <c r="I774">
        <v>237</v>
      </c>
      <c r="J774">
        <v>1</v>
      </c>
      <c r="K774" t="s">
        <v>8131</v>
      </c>
    </row>
    <row r="775" spans="1:11" x14ac:dyDescent="0.25">
      <c r="A775" t="s">
        <v>2799</v>
      </c>
      <c r="B775" t="s">
        <v>664</v>
      </c>
      <c r="C775" t="s">
        <v>2800</v>
      </c>
      <c r="D775" t="s">
        <v>75</v>
      </c>
      <c r="E775" t="s">
        <v>14</v>
      </c>
      <c r="F775" t="s">
        <v>15</v>
      </c>
      <c r="G775">
        <v>15212</v>
      </c>
      <c r="H775" t="s">
        <v>1028</v>
      </c>
      <c r="I775">
        <v>4</v>
      </c>
      <c r="J775">
        <v>1</v>
      </c>
      <c r="K775" t="s">
        <v>8131</v>
      </c>
    </row>
    <row r="776" spans="1:11" x14ac:dyDescent="0.25">
      <c r="A776" t="s">
        <v>2801</v>
      </c>
      <c r="B776" t="s">
        <v>2802</v>
      </c>
      <c r="C776" t="s">
        <v>2803</v>
      </c>
      <c r="D776" t="s">
        <v>2804</v>
      </c>
      <c r="E776" t="s">
        <v>14</v>
      </c>
      <c r="F776" t="s">
        <v>15</v>
      </c>
      <c r="G776">
        <v>15222</v>
      </c>
      <c r="H776" t="s">
        <v>48</v>
      </c>
      <c r="I776">
        <v>505</v>
      </c>
      <c r="J776">
        <v>1</v>
      </c>
      <c r="K776" t="s">
        <v>8131</v>
      </c>
    </row>
    <row r="777" spans="1:11" x14ac:dyDescent="0.25">
      <c r="A777" t="s">
        <v>2805</v>
      </c>
      <c r="B777" t="s">
        <v>282</v>
      </c>
      <c r="C777" t="s">
        <v>2806</v>
      </c>
      <c r="D777" t="s">
        <v>2807</v>
      </c>
      <c r="E777" t="s">
        <v>14</v>
      </c>
      <c r="F777" t="s">
        <v>15</v>
      </c>
      <c r="G777">
        <v>15206</v>
      </c>
      <c r="H777" t="s">
        <v>48</v>
      </c>
      <c r="I777">
        <v>9</v>
      </c>
      <c r="J777">
        <v>1</v>
      </c>
      <c r="K777" t="s">
        <v>8124</v>
      </c>
    </row>
    <row r="778" spans="1:11" x14ac:dyDescent="0.25">
      <c r="A778" t="s">
        <v>2808</v>
      </c>
      <c r="B778" t="s">
        <v>586</v>
      </c>
      <c r="C778" t="s">
        <v>2809</v>
      </c>
      <c r="D778" t="s">
        <v>2810</v>
      </c>
      <c r="E778" t="s">
        <v>14</v>
      </c>
      <c r="F778" t="s">
        <v>15</v>
      </c>
      <c r="G778">
        <v>15217</v>
      </c>
      <c r="H778" t="s">
        <v>34</v>
      </c>
      <c r="I778">
        <v>6</v>
      </c>
      <c r="J778">
        <v>0</v>
      </c>
      <c r="K778" t="s">
        <v>8120</v>
      </c>
    </row>
    <row r="779" spans="1:11" x14ac:dyDescent="0.25">
      <c r="A779" t="s">
        <v>2811</v>
      </c>
      <c r="B779" t="s">
        <v>2812</v>
      </c>
      <c r="C779" t="s">
        <v>2813</v>
      </c>
      <c r="D779" t="s">
        <v>2814</v>
      </c>
      <c r="E779" t="s">
        <v>14</v>
      </c>
      <c r="F779" t="s">
        <v>15</v>
      </c>
      <c r="G779">
        <v>15275</v>
      </c>
      <c r="H779" t="s">
        <v>34</v>
      </c>
      <c r="I779">
        <v>111</v>
      </c>
      <c r="J779">
        <v>1</v>
      </c>
      <c r="K779" t="s">
        <v>8131</v>
      </c>
    </row>
    <row r="780" spans="1:11" x14ac:dyDescent="0.25">
      <c r="A780" t="s">
        <v>2815</v>
      </c>
      <c r="B780" t="s">
        <v>2816</v>
      </c>
      <c r="C780" t="s">
        <v>2817</v>
      </c>
      <c r="D780" t="s">
        <v>2818</v>
      </c>
      <c r="E780" t="s">
        <v>14</v>
      </c>
      <c r="F780" t="s">
        <v>15</v>
      </c>
      <c r="G780">
        <v>15222</v>
      </c>
      <c r="H780" t="s">
        <v>34</v>
      </c>
      <c r="I780">
        <v>4</v>
      </c>
      <c r="J780">
        <v>0</v>
      </c>
      <c r="K780" t="s">
        <v>8131</v>
      </c>
    </row>
    <row r="781" spans="1:11" x14ac:dyDescent="0.25">
      <c r="A781" t="s">
        <v>2819</v>
      </c>
      <c r="B781" t="s">
        <v>2820</v>
      </c>
      <c r="C781" t="s">
        <v>2821</v>
      </c>
      <c r="D781" t="s">
        <v>2822</v>
      </c>
      <c r="E781" t="s">
        <v>14</v>
      </c>
      <c r="F781" t="s">
        <v>15</v>
      </c>
      <c r="G781">
        <v>15234</v>
      </c>
      <c r="H781" t="s">
        <v>21</v>
      </c>
      <c r="I781">
        <v>59</v>
      </c>
      <c r="J781">
        <v>1</v>
      </c>
      <c r="K781" t="s">
        <v>8121</v>
      </c>
    </row>
    <row r="782" spans="1:11" x14ac:dyDescent="0.25">
      <c r="A782" t="s">
        <v>2823</v>
      </c>
      <c r="B782" t="s">
        <v>2824</v>
      </c>
      <c r="C782" t="s">
        <v>2825</v>
      </c>
      <c r="D782" t="s">
        <v>2826</v>
      </c>
      <c r="E782" t="s">
        <v>14</v>
      </c>
      <c r="F782" t="s">
        <v>15</v>
      </c>
      <c r="G782">
        <v>15201</v>
      </c>
      <c r="H782" t="s">
        <v>48</v>
      </c>
      <c r="I782">
        <v>27</v>
      </c>
      <c r="J782">
        <v>1</v>
      </c>
      <c r="K782" t="s">
        <v>8124</v>
      </c>
    </row>
    <row r="783" spans="1:11" x14ac:dyDescent="0.25">
      <c r="A783" t="s">
        <v>2827</v>
      </c>
      <c r="B783" t="s">
        <v>2828</v>
      </c>
      <c r="C783" t="s">
        <v>632</v>
      </c>
      <c r="D783" t="s">
        <v>2829</v>
      </c>
      <c r="E783" t="s">
        <v>14</v>
      </c>
      <c r="F783" t="s">
        <v>15</v>
      </c>
      <c r="G783">
        <v>15222</v>
      </c>
      <c r="H783" t="s">
        <v>34</v>
      </c>
      <c r="I783">
        <v>12</v>
      </c>
      <c r="J783">
        <v>1</v>
      </c>
      <c r="K783" t="s">
        <v>8131</v>
      </c>
    </row>
    <row r="784" spans="1:11" x14ac:dyDescent="0.25">
      <c r="A784" t="s">
        <v>2830</v>
      </c>
      <c r="B784" t="s">
        <v>1929</v>
      </c>
      <c r="C784" t="s">
        <v>2831</v>
      </c>
      <c r="D784" t="s">
        <v>759</v>
      </c>
      <c r="E784" t="s">
        <v>14</v>
      </c>
      <c r="F784" t="s">
        <v>15</v>
      </c>
      <c r="G784">
        <v>15201</v>
      </c>
      <c r="H784" t="s">
        <v>48</v>
      </c>
      <c r="I784">
        <v>92</v>
      </c>
      <c r="J784">
        <v>0</v>
      </c>
      <c r="K784" t="s">
        <v>8133</v>
      </c>
    </row>
    <row r="785" spans="1:11" x14ac:dyDescent="0.25">
      <c r="A785" t="s">
        <v>2832</v>
      </c>
      <c r="B785" t="s">
        <v>2833</v>
      </c>
      <c r="C785" t="s">
        <v>2834</v>
      </c>
      <c r="D785" t="s">
        <v>2835</v>
      </c>
      <c r="E785" t="s">
        <v>14</v>
      </c>
      <c r="F785" t="s">
        <v>15</v>
      </c>
      <c r="G785">
        <v>15207</v>
      </c>
      <c r="H785" t="s">
        <v>21</v>
      </c>
      <c r="I785">
        <v>11</v>
      </c>
      <c r="J785">
        <v>1</v>
      </c>
      <c r="K785" t="s">
        <v>8131</v>
      </c>
    </row>
    <row r="786" spans="1:11" x14ac:dyDescent="0.25">
      <c r="A786" t="s">
        <v>2836</v>
      </c>
      <c r="B786" t="s">
        <v>2837</v>
      </c>
      <c r="C786" t="s">
        <v>2838</v>
      </c>
      <c r="D786" t="s">
        <v>2839</v>
      </c>
      <c r="E786" t="s">
        <v>14</v>
      </c>
      <c r="F786" t="s">
        <v>15</v>
      </c>
      <c r="G786">
        <v>15217</v>
      </c>
      <c r="H786" t="s">
        <v>43</v>
      </c>
      <c r="I786">
        <v>107</v>
      </c>
      <c r="J786">
        <v>1</v>
      </c>
      <c r="K786" t="s">
        <v>8131</v>
      </c>
    </row>
    <row r="787" spans="1:11" x14ac:dyDescent="0.25">
      <c r="A787" t="s">
        <v>2840</v>
      </c>
      <c r="B787" t="s">
        <v>2841</v>
      </c>
      <c r="C787" t="s">
        <v>2842</v>
      </c>
      <c r="D787" t="s">
        <v>1196</v>
      </c>
      <c r="E787" t="s">
        <v>14</v>
      </c>
      <c r="F787" t="s">
        <v>15</v>
      </c>
      <c r="G787">
        <v>15201</v>
      </c>
      <c r="H787" t="s">
        <v>16</v>
      </c>
      <c r="I787">
        <v>23</v>
      </c>
      <c r="J787">
        <v>0</v>
      </c>
      <c r="K787" t="s">
        <v>8117</v>
      </c>
    </row>
    <row r="788" spans="1:11" x14ac:dyDescent="0.25">
      <c r="A788" t="s">
        <v>2843</v>
      </c>
      <c r="B788" t="s">
        <v>2844</v>
      </c>
      <c r="C788" t="s">
        <v>878</v>
      </c>
      <c r="D788" t="s">
        <v>2845</v>
      </c>
      <c r="E788" t="s">
        <v>14</v>
      </c>
      <c r="F788" t="s">
        <v>15</v>
      </c>
      <c r="G788">
        <v>15222</v>
      </c>
      <c r="H788" t="s">
        <v>16</v>
      </c>
      <c r="I788">
        <v>211</v>
      </c>
      <c r="J788">
        <v>1</v>
      </c>
      <c r="K788" t="s">
        <v>8131</v>
      </c>
    </row>
    <row r="789" spans="1:11" x14ac:dyDescent="0.25">
      <c r="A789" t="s">
        <v>2846</v>
      </c>
      <c r="B789" t="s">
        <v>2353</v>
      </c>
      <c r="C789" t="s">
        <v>2847</v>
      </c>
      <c r="D789" t="s">
        <v>2848</v>
      </c>
      <c r="E789" t="s">
        <v>14</v>
      </c>
      <c r="F789" t="s">
        <v>15</v>
      </c>
      <c r="G789">
        <v>15241</v>
      </c>
      <c r="H789" t="s">
        <v>48</v>
      </c>
      <c r="I789">
        <v>51</v>
      </c>
      <c r="J789">
        <v>1</v>
      </c>
      <c r="K789" t="s">
        <v>8131</v>
      </c>
    </row>
    <row r="790" spans="1:11" x14ac:dyDescent="0.25">
      <c r="A790" t="s">
        <v>2849</v>
      </c>
      <c r="B790" t="s">
        <v>2850</v>
      </c>
      <c r="C790" t="s">
        <v>2851</v>
      </c>
      <c r="D790" t="s">
        <v>1555</v>
      </c>
      <c r="E790" t="s">
        <v>14</v>
      </c>
      <c r="F790" t="s">
        <v>15</v>
      </c>
      <c r="G790">
        <v>15236</v>
      </c>
      <c r="H790" t="s">
        <v>48</v>
      </c>
      <c r="I790">
        <v>38</v>
      </c>
      <c r="J790">
        <v>1</v>
      </c>
      <c r="K790" t="s">
        <v>8131</v>
      </c>
    </row>
    <row r="791" spans="1:11" x14ac:dyDescent="0.25">
      <c r="A791" t="s">
        <v>2852</v>
      </c>
      <c r="B791" t="s">
        <v>36</v>
      </c>
      <c r="C791" t="s">
        <v>2853</v>
      </c>
      <c r="D791" t="s">
        <v>2854</v>
      </c>
      <c r="E791" t="s">
        <v>14</v>
      </c>
      <c r="F791" t="s">
        <v>15</v>
      </c>
      <c r="G791">
        <v>15236</v>
      </c>
      <c r="H791" t="s">
        <v>16</v>
      </c>
      <c r="I791">
        <v>43</v>
      </c>
      <c r="J791">
        <v>1</v>
      </c>
      <c r="K791" t="s">
        <v>8131</v>
      </c>
    </row>
    <row r="792" spans="1:11" x14ac:dyDescent="0.25">
      <c r="A792" t="s">
        <v>2855</v>
      </c>
      <c r="B792" t="s">
        <v>2856</v>
      </c>
      <c r="C792" t="s">
        <v>2857</v>
      </c>
      <c r="D792" t="s">
        <v>2018</v>
      </c>
      <c r="E792" t="s">
        <v>14</v>
      </c>
      <c r="F792" t="s">
        <v>15</v>
      </c>
      <c r="G792">
        <v>15213</v>
      </c>
      <c r="H792" t="s">
        <v>16</v>
      </c>
      <c r="I792">
        <v>13</v>
      </c>
      <c r="J792">
        <v>1</v>
      </c>
      <c r="K792" t="s">
        <v>8131</v>
      </c>
    </row>
    <row r="793" spans="1:11" x14ac:dyDescent="0.25">
      <c r="A793" t="s">
        <v>2858</v>
      </c>
      <c r="B793" t="s">
        <v>2859</v>
      </c>
      <c r="C793" t="s">
        <v>2860</v>
      </c>
      <c r="D793" t="s">
        <v>2861</v>
      </c>
      <c r="E793" t="s">
        <v>14</v>
      </c>
      <c r="F793" t="s">
        <v>15</v>
      </c>
      <c r="G793">
        <v>15213</v>
      </c>
      <c r="H793" t="s">
        <v>43</v>
      </c>
      <c r="I793">
        <v>24</v>
      </c>
      <c r="J793">
        <v>0</v>
      </c>
      <c r="K793" t="s">
        <v>8131</v>
      </c>
    </row>
    <row r="794" spans="1:11" x14ac:dyDescent="0.25">
      <c r="A794" t="s">
        <v>2862</v>
      </c>
      <c r="B794" t="s">
        <v>2863</v>
      </c>
      <c r="C794" t="s">
        <v>1802</v>
      </c>
      <c r="D794" t="s">
        <v>2864</v>
      </c>
      <c r="E794" t="s">
        <v>14</v>
      </c>
      <c r="F794" t="s">
        <v>15</v>
      </c>
      <c r="G794">
        <v>15237</v>
      </c>
      <c r="H794" t="s">
        <v>34</v>
      </c>
      <c r="I794">
        <v>43</v>
      </c>
      <c r="J794">
        <v>1</v>
      </c>
      <c r="K794" t="s">
        <v>8120</v>
      </c>
    </row>
    <row r="795" spans="1:11" x14ac:dyDescent="0.25">
      <c r="A795" t="s">
        <v>2865</v>
      </c>
      <c r="B795" t="s">
        <v>2866</v>
      </c>
      <c r="C795" t="s">
        <v>2867</v>
      </c>
      <c r="D795" t="s">
        <v>2868</v>
      </c>
      <c r="E795" t="s">
        <v>14</v>
      </c>
      <c r="F795" t="s">
        <v>15</v>
      </c>
      <c r="G795">
        <v>15219</v>
      </c>
      <c r="H795" t="s">
        <v>16</v>
      </c>
      <c r="I795">
        <v>208</v>
      </c>
      <c r="J795">
        <v>1</v>
      </c>
      <c r="K795" t="s">
        <v>8131</v>
      </c>
    </row>
    <row r="796" spans="1:11" x14ac:dyDescent="0.25">
      <c r="A796" t="s">
        <v>2869</v>
      </c>
      <c r="B796" t="s">
        <v>2504</v>
      </c>
      <c r="C796" t="s">
        <v>1812</v>
      </c>
      <c r="D796" t="s">
        <v>1234</v>
      </c>
      <c r="E796" t="s">
        <v>14</v>
      </c>
      <c r="F796" t="s">
        <v>15</v>
      </c>
      <c r="G796">
        <v>15237</v>
      </c>
      <c r="H796" t="s">
        <v>34</v>
      </c>
      <c r="I796">
        <v>3</v>
      </c>
      <c r="J796">
        <v>1</v>
      </c>
      <c r="K796" t="s">
        <v>8117</v>
      </c>
    </row>
    <row r="797" spans="1:11" x14ac:dyDescent="0.25">
      <c r="A797" t="s">
        <v>2870</v>
      </c>
      <c r="B797" t="s">
        <v>2871</v>
      </c>
      <c r="C797" t="s">
        <v>2872</v>
      </c>
      <c r="D797" t="s">
        <v>2873</v>
      </c>
      <c r="E797" t="s">
        <v>14</v>
      </c>
      <c r="F797" t="s">
        <v>15</v>
      </c>
      <c r="G797">
        <v>15201</v>
      </c>
      <c r="H797" t="s">
        <v>43</v>
      </c>
      <c r="I797">
        <v>19</v>
      </c>
      <c r="J797">
        <v>1</v>
      </c>
      <c r="K797" t="s">
        <v>8131</v>
      </c>
    </row>
    <row r="798" spans="1:11" x14ac:dyDescent="0.25">
      <c r="A798" t="s">
        <v>2874</v>
      </c>
      <c r="B798" t="s">
        <v>2875</v>
      </c>
      <c r="C798" t="s">
        <v>2876</v>
      </c>
      <c r="D798" t="s">
        <v>2877</v>
      </c>
      <c r="E798" t="s">
        <v>14</v>
      </c>
      <c r="F798" t="s">
        <v>15</v>
      </c>
      <c r="G798">
        <v>15217</v>
      </c>
      <c r="H798" t="s">
        <v>48</v>
      </c>
      <c r="I798">
        <v>83</v>
      </c>
      <c r="J798">
        <v>1</v>
      </c>
      <c r="K798" t="s">
        <v>8124</v>
      </c>
    </row>
    <row r="799" spans="1:11" x14ac:dyDescent="0.25">
      <c r="A799" t="s">
        <v>2878</v>
      </c>
      <c r="B799" t="s">
        <v>2879</v>
      </c>
      <c r="C799" t="s">
        <v>2880</v>
      </c>
      <c r="D799" t="s">
        <v>2881</v>
      </c>
      <c r="E799" t="s">
        <v>14</v>
      </c>
      <c r="F799" t="s">
        <v>15</v>
      </c>
      <c r="G799">
        <v>15219</v>
      </c>
      <c r="H799" t="s">
        <v>16</v>
      </c>
      <c r="I799">
        <v>5</v>
      </c>
      <c r="J799">
        <v>1</v>
      </c>
      <c r="K799" t="s">
        <v>8131</v>
      </c>
    </row>
    <row r="800" spans="1:11" x14ac:dyDescent="0.25">
      <c r="A800" t="s">
        <v>2882</v>
      </c>
      <c r="B800" t="s">
        <v>2883</v>
      </c>
      <c r="C800" t="s">
        <v>2884</v>
      </c>
      <c r="D800" t="s">
        <v>2885</v>
      </c>
      <c r="E800" t="s">
        <v>14</v>
      </c>
      <c r="F800" t="s">
        <v>15</v>
      </c>
      <c r="G800">
        <v>15233</v>
      </c>
      <c r="H800" t="s">
        <v>16</v>
      </c>
      <c r="I800">
        <v>4</v>
      </c>
      <c r="J800">
        <v>0</v>
      </c>
      <c r="K800" t="s">
        <v>8131</v>
      </c>
    </row>
    <row r="801" spans="1:11" x14ac:dyDescent="0.25">
      <c r="A801" t="s">
        <v>2886</v>
      </c>
      <c r="B801" t="s">
        <v>2887</v>
      </c>
      <c r="C801" t="s">
        <v>2888</v>
      </c>
      <c r="D801" t="s">
        <v>2889</v>
      </c>
      <c r="E801" t="s">
        <v>14</v>
      </c>
      <c r="F801" t="s">
        <v>15</v>
      </c>
      <c r="G801">
        <v>15211</v>
      </c>
      <c r="H801" t="s">
        <v>34</v>
      </c>
      <c r="I801">
        <v>146</v>
      </c>
      <c r="J801">
        <v>1</v>
      </c>
      <c r="K801" t="s">
        <v>8131</v>
      </c>
    </row>
    <row r="802" spans="1:11" x14ac:dyDescent="0.25">
      <c r="A802" t="s">
        <v>2890</v>
      </c>
      <c r="B802" t="s">
        <v>2891</v>
      </c>
      <c r="C802" t="s">
        <v>2892</v>
      </c>
      <c r="D802" t="s">
        <v>2893</v>
      </c>
      <c r="E802" t="s">
        <v>14</v>
      </c>
      <c r="F802" t="s">
        <v>15</v>
      </c>
      <c r="G802">
        <v>15222</v>
      </c>
      <c r="H802" t="s">
        <v>16</v>
      </c>
      <c r="I802">
        <v>1755</v>
      </c>
      <c r="J802">
        <v>1</v>
      </c>
      <c r="K802" t="s">
        <v>8131</v>
      </c>
    </row>
    <row r="803" spans="1:11" x14ac:dyDescent="0.25">
      <c r="A803" t="s">
        <v>2894</v>
      </c>
      <c r="B803" t="s">
        <v>65</v>
      </c>
      <c r="C803" t="s">
        <v>856</v>
      </c>
      <c r="D803" t="s">
        <v>2895</v>
      </c>
      <c r="E803" t="s">
        <v>14</v>
      </c>
      <c r="F803" t="s">
        <v>15</v>
      </c>
      <c r="G803">
        <v>15236</v>
      </c>
      <c r="H803" t="s">
        <v>34</v>
      </c>
      <c r="I803">
        <v>5</v>
      </c>
      <c r="J803">
        <v>1</v>
      </c>
      <c r="K803" t="s">
        <v>8131</v>
      </c>
    </row>
    <row r="804" spans="1:11" x14ac:dyDescent="0.25">
      <c r="A804" t="s">
        <v>2896</v>
      </c>
      <c r="B804" t="s">
        <v>2897</v>
      </c>
      <c r="C804" t="s">
        <v>2898</v>
      </c>
      <c r="D804" t="s">
        <v>2899</v>
      </c>
      <c r="E804" t="s">
        <v>14</v>
      </c>
      <c r="F804" t="s">
        <v>15</v>
      </c>
      <c r="G804">
        <v>15216</v>
      </c>
      <c r="H804" t="s">
        <v>34</v>
      </c>
      <c r="I804">
        <v>11</v>
      </c>
      <c r="J804">
        <v>0</v>
      </c>
      <c r="K804" t="s">
        <v>8119</v>
      </c>
    </row>
    <row r="805" spans="1:11" x14ac:dyDescent="0.25">
      <c r="A805" t="s">
        <v>2900</v>
      </c>
      <c r="B805" t="s">
        <v>2901</v>
      </c>
      <c r="C805" t="s">
        <v>2902</v>
      </c>
      <c r="D805" t="s">
        <v>2903</v>
      </c>
      <c r="E805" t="s">
        <v>14</v>
      </c>
      <c r="F805" t="s">
        <v>15</v>
      </c>
      <c r="G805">
        <v>15201</v>
      </c>
      <c r="H805" t="s">
        <v>43</v>
      </c>
      <c r="I805">
        <v>11</v>
      </c>
      <c r="J805">
        <v>0</v>
      </c>
      <c r="K805" t="s">
        <v>8124</v>
      </c>
    </row>
    <row r="806" spans="1:11" x14ac:dyDescent="0.25">
      <c r="A806" t="s">
        <v>2904</v>
      </c>
      <c r="B806" t="s">
        <v>720</v>
      </c>
      <c r="C806" t="s">
        <v>2905</v>
      </c>
      <c r="D806" t="s">
        <v>2906</v>
      </c>
      <c r="E806" t="s">
        <v>14</v>
      </c>
      <c r="F806" t="s">
        <v>15</v>
      </c>
      <c r="G806">
        <v>15228</v>
      </c>
      <c r="H806" t="s">
        <v>16</v>
      </c>
      <c r="I806">
        <v>56</v>
      </c>
      <c r="J806">
        <v>1</v>
      </c>
      <c r="K806" t="s">
        <v>8131</v>
      </c>
    </row>
    <row r="807" spans="1:11" x14ac:dyDescent="0.25">
      <c r="A807" t="s">
        <v>2907</v>
      </c>
      <c r="B807" t="s">
        <v>2908</v>
      </c>
      <c r="C807" t="s">
        <v>2909</v>
      </c>
      <c r="D807" t="s">
        <v>2910</v>
      </c>
      <c r="E807" t="s">
        <v>14</v>
      </c>
      <c r="F807" t="s">
        <v>15</v>
      </c>
      <c r="G807">
        <v>15203</v>
      </c>
      <c r="H807" t="s">
        <v>34</v>
      </c>
      <c r="I807">
        <v>229</v>
      </c>
      <c r="J807">
        <v>1</v>
      </c>
      <c r="K807" t="s">
        <v>8131</v>
      </c>
    </row>
    <row r="808" spans="1:11" x14ac:dyDescent="0.25">
      <c r="A808" t="s">
        <v>2911</v>
      </c>
      <c r="B808" t="s">
        <v>2912</v>
      </c>
      <c r="C808" t="s">
        <v>2913</v>
      </c>
      <c r="D808" t="s">
        <v>321</v>
      </c>
      <c r="E808" t="s">
        <v>14</v>
      </c>
      <c r="F808" t="s">
        <v>15</v>
      </c>
      <c r="G808">
        <v>15219</v>
      </c>
      <c r="H808" t="s">
        <v>113</v>
      </c>
      <c r="I808">
        <v>12</v>
      </c>
      <c r="J808">
        <v>0</v>
      </c>
      <c r="K808" t="s">
        <v>8131</v>
      </c>
    </row>
    <row r="809" spans="1:11" x14ac:dyDescent="0.25">
      <c r="A809" t="s">
        <v>2914</v>
      </c>
      <c r="B809" t="s">
        <v>2915</v>
      </c>
      <c r="C809" t="s">
        <v>2916</v>
      </c>
      <c r="D809" t="s">
        <v>2917</v>
      </c>
      <c r="E809" t="s">
        <v>14</v>
      </c>
      <c r="F809" t="s">
        <v>15</v>
      </c>
      <c r="G809">
        <v>15217</v>
      </c>
      <c r="H809" t="s">
        <v>43</v>
      </c>
      <c r="I809">
        <v>10</v>
      </c>
      <c r="J809">
        <v>0</v>
      </c>
      <c r="K809" t="s">
        <v>8131</v>
      </c>
    </row>
    <row r="810" spans="1:11" x14ac:dyDescent="0.25">
      <c r="A810" t="s">
        <v>2918</v>
      </c>
      <c r="B810" t="s">
        <v>2919</v>
      </c>
      <c r="C810" t="s">
        <v>2920</v>
      </c>
      <c r="D810" t="s">
        <v>2921</v>
      </c>
      <c r="E810" t="s">
        <v>14</v>
      </c>
      <c r="F810" t="s">
        <v>15</v>
      </c>
      <c r="G810">
        <v>15203</v>
      </c>
      <c r="H810" t="s">
        <v>48</v>
      </c>
      <c r="I810">
        <v>7</v>
      </c>
      <c r="J810">
        <v>0</v>
      </c>
      <c r="K810" t="s">
        <v>8131</v>
      </c>
    </row>
    <row r="811" spans="1:11" x14ac:dyDescent="0.25">
      <c r="A811" t="s">
        <v>2922</v>
      </c>
      <c r="B811" t="s">
        <v>2339</v>
      </c>
      <c r="C811" t="s">
        <v>2923</v>
      </c>
      <c r="D811" t="s">
        <v>2924</v>
      </c>
      <c r="E811" t="s">
        <v>14</v>
      </c>
      <c r="F811" t="s">
        <v>15</v>
      </c>
      <c r="G811">
        <v>15203</v>
      </c>
      <c r="H811" t="s">
        <v>16</v>
      </c>
      <c r="I811">
        <v>229</v>
      </c>
      <c r="J811">
        <v>1</v>
      </c>
      <c r="K811" t="s">
        <v>8131</v>
      </c>
    </row>
    <row r="812" spans="1:11" x14ac:dyDescent="0.25">
      <c r="A812" t="s">
        <v>2925</v>
      </c>
      <c r="B812" t="s">
        <v>2926</v>
      </c>
      <c r="C812" t="s">
        <v>2927</v>
      </c>
      <c r="D812" t="s">
        <v>2928</v>
      </c>
      <c r="E812" t="s">
        <v>14</v>
      </c>
      <c r="F812" t="s">
        <v>15</v>
      </c>
      <c r="G812">
        <v>15222</v>
      </c>
      <c r="H812" t="s">
        <v>21</v>
      </c>
      <c r="I812">
        <v>20</v>
      </c>
      <c r="J812">
        <v>0</v>
      </c>
      <c r="K812" t="s">
        <v>8131</v>
      </c>
    </row>
    <row r="813" spans="1:11" x14ac:dyDescent="0.25">
      <c r="A813" t="s">
        <v>2929</v>
      </c>
      <c r="B813" t="s">
        <v>2930</v>
      </c>
      <c r="C813" t="s">
        <v>2931</v>
      </c>
      <c r="D813" t="s">
        <v>52</v>
      </c>
      <c r="E813" t="s">
        <v>14</v>
      </c>
      <c r="F813" t="s">
        <v>15</v>
      </c>
      <c r="G813">
        <v>15226</v>
      </c>
      <c r="H813" t="s">
        <v>43</v>
      </c>
      <c r="I813">
        <v>57</v>
      </c>
      <c r="J813">
        <v>0</v>
      </c>
      <c r="K813" t="s">
        <v>8124</v>
      </c>
    </row>
    <row r="814" spans="1:11" x14ac:dyDescent="0.25">
      <c r="A814" t="s">
        <v>2932</v>
      </c>
      <c r="B814" t="s">
        <v>2933</v>
      </c>
      <c r="C814" t="s">
        <v>2934</v>
      </c>
      <c r="D814" t="s">
        <v>2935</v>
      </c>
      <c r="E814" t="s">
        <v>14</v>
      </c>
      <c r="F814" t="s">
        <v>15</v>
      </c>
      <c r="G814">
        <v>15201</v>
      </c>
      <c r="H814" t="s">
        <v>34</v>
      </c>
      <c r="I814">
        <v>6</v>
      </c>
      <c r="J814">
        <v>0</v>
      </c>
      <c r="K814" t="s">
        <v>8121</v>
      </c>
    </row>
    <row r="815" spans="1:11" x14ac:dyDescent="0.25">
      <c r="A815" t="s">
        <v>2936</v>
      </c>
      <c r="B815" t="s">
        <v>65</v>
      </c>
      <c r="C815" t="s">
        <v>2937</v>
      </c>
      <c r="D815" t="s">
        <v>2938</v>
      </c>
      <c r="E815" t="s">
        <v>14</v>
      </c>
      <c r="F815" t="s">
        <v>15</v>
      </c>
      <c r="G815">
        <v>15203</v>
      </c>
      <c r="H815" t="s">
        <v>16</v>
      </c>
      <c r="I815">
        <v>85</v>
      </c>
      <c r="J815">
        <v>1</v>
      </c>
      <c r="K815" t="s">
        <v>8131</v>
      </c>
    </row>
    <row r="816" spans="1:11" x14ac:dyDescent="0.25">
      <c r="A816" t="s">
        <v>2939</v>
      </c>
      <c r="B816" t="s">
        <v>2940</v>
      </c>
      <c r="C816" t="s">
        <v>2941</v>
      </c>
      <c r="D816" t="s">
        <v>2942</v>
      </c>
      <c r="E816" t="s">
        <v>14</v>
      </c>
      <c r="F816" t="s">
        <v>15</v>
      </c>
      <c r="G816">
        <v>15236</v>
      </c>
      <c r="H816" t="s">
        <v>48</v>
      </c>
      <c r="I816">
        <v>51</v>
      </c>
      <c r="J816">
        <v>0</v>
      </c>
      <c r="K816" t="s">
        <v>8131</v>
      </c>
    </row>
    <row r="817" spans="1:11" x14ac:dyDescent="0.25">
      <c r="A817" t="s">
        <v>2943</v>
      </c>
      <c r="B817" t="s">
        <v>2944</v>
      </c>
      <c r="C817" t="s">
        <v>2945</v>
      </c>
      <c r="D817" t="s">
        <v>2946</v>
      </c>
      <c r="E817" t="s">
        <v>14</v>
      </c>
      <c r="F817" t="s">
        <v>15</v>
      </c>
      <c r="G817">
        <v>15237</v>
      </c>
      <c r="H817" t="s">
        <v>34</v>
      </c>
      <c r="I817">
        <v>44</v>
      </c>
      <c r="J817">
        <v>1</v>
      </c>
      <c r="K817" t="s">
        <v>8131</v>
      </c>
    </row>
    <row r="818" spans="1:11" x14ac:dyDescent="0.25">
      <c r="A818" t="s">
        <v>2947</v>
      </c>
      <c r="B818" t="s">
        <v>2948</v>
      </c>
      <c r="C818" t="s">
        <v>2949</v>
      </c>
      <c r="D818" t="s">
        <v>2950</v>
      </c>
      <c r="E818" t="s">
        <v>14</v>
      </c>
      <c r="F818" t="s">
        <v>15</v>
      </c>
      <c r="G818">
        <v>15206</v>
      </c>
      <c r="H818" t="s">
        <v>48</v>
      </c>
      <c r="I818">
        <v>17</v>
      </c>
      <c r="J818">
        <v>0</v>
      </c>
      <c r="K818" t="s">
        <v>8131</v>
      </c>
    </row>
    <row r="819" spans="1:11" x14ac:dyDescent="0.25">
      <c r="A819" t="s">
        <v>2951</v>
      </c>
      <c r="B819" t="s">
        <v>2952</v>
      </c>
      <c r="C819" t="s">
        <v>32</v>
      </c>
      <c r="D819" t="s">
        <v>2953</v>
      </c>
      <c r="E819" t="s">
        <v>14</v>
      </c>
      <c r="F819" t="s">
        <v>15</v>
      </c>
      <c r="G819">
        <v>15205</v>
      </c>
      <c r="H819" t="s">
        <v>43</v>
      </c>
      <c r="I819">
        <v>3</v>
      </c>
      <c r="J819">
        <v>1</v>
      </c>
      <c r="K819" t="s">
        <v>8131</v>
      </c>
    </row>
    <row r="820" spans="1:11" x14ac:dyDescent="0.25">
      <c r="A820" t="s">
        <v>2954</v>
      </c>
      <c r="B820" t="s">
        <v>2090</v>
      </c>
      <c r="C820" t="s">
        <v>32</v>
      </c>
      <c r="D820" t="s">
        <v>2955</v>
      </c>
      <c r="E820" t="s">
        <v>14</v>
      </c>
      <c r="F820" t="s">
        <v>15</v>
      </c>
      <c r="G820">
        <v>15235</v>
      </c>
      <c r="H820" t="s">
        <v>16</v>
      </c>
      <c r="I820">
        <v>4</v>
      </c>
      <c r="J820">
        <v>1</v>
      </c>
      <c r="K820" t="s">
        <v>8131</v>
      </c>
    </row>
    <row r="821" spans="1:11" x14ac:dyDescent="0.25">
      <c r="A821" t="s">
        <v>2956</v>
      </c>
      <c r="B821" t="s">
        <v>2957</v>
      </c>
      <c r="C821" t="s">
        <v>2958</v>
      </c>
      <c r="D821" t="s">
        <v>59</v>
      </c>
      <c r="E821" t="s">
        <v>14</v>
      </c>
      <c r="F821" t="s">
        <v>15</v>
      </c>
      <c r="G821">
        <v>15213</v>
      </c>
      <c r="H821" t="s">
        <v>16</v>
      </c>
      <c r="I821">
        <v>138</v>
      </c>
      <c r="J821">
        <v>1</v>
      </c>
      <c r="K821" t="s">
        <v>8124</v>
      </c>
    </row>
    <row r="822" spans="1:11" x14ac:dyDescent="0.25">
      <c r="A822" t="s">
        <v>2959</v>
      </c>
      <c r="B822" t="s">
        <v>2960</v>
      </c>
      <c r="C822" t="s">
        <v>2961</v>
      </c>
      <c r="D822" t="s">
        <v>2962</v>
      </c>
      <c r="E822" t="s">
        <v>14</v>
      </c>
      <c r="F822" t="s">
        <v>15</v>
      </c>
      <c r="G822">
        <v>15209</v>
      </c>
      <c r="H822" t="s">
        <v>16</v>
      </c>
      <c r="I822">
        <v>103</v>
      </c>
      <c r="J822">
        <v>1</v>
      </c>
      <c r="K822" t="s">
        <v>8131</v>
      </c>
    </row>
    <row r="823" spans="1:11" x14ac:dyDescent="0.25">
      <c r="A823" t="s">
        <v>2963</v>
      </c>
      <c r="B823" t="s">
        <v>2964</v>
      </c>
      <c r="C823" t="s">
        <v>2965</v>
      </c>
      <c r="D823" t="s">
        <v>2966</v>
      </c>
      <c r="E823" t="s">
        <v>14</v>
      </c>
      <c r="F823" t="s">
        <v>15</v>
      </c>
      <c r="G823">
        <v>15232</v>
      </c>
      <c r="H823" t="s">
        <v>48</v>
      </c>
      <c r="I823">
        <v>67</v>
      </c>
      <c r="J823">
        <v>1</v>
      </c>
      <c r="K823" t="s">
        <v>8131</v>
      </c>
    </row>
    <row r="824" spans="1:11" x14ac:dyDescent="0.25">
      <c r="A824" t="s">
        <v>2967</v>
      </c>
      <c r="B824" t="s">
        <v>2968</v>
      </c>
      <c r="C824" t="s">
        <v>2969</v>
      </c>
      <c r="D824" t="s">
        <v>2970</v>
      </c>
      <c r="E824" t="s">
        <v>14</v>
      </c>
      <c r="F824" t="s">
        <v>15</v>
      </c>
      <c r="G824">
        <v>15222</v>
      </c>
      <c r="H824" t="s">
        <v>48</v>
      </c>
      <c r="I824">
        <v>20</v>
      </c>
      <c r="J824">
        <v>0</v>
      </c>
      <c r="K824" t="s">
        <v>8120</v>
      </c>
    </row>
    <row r="825" spans="1:11" x14ac:dyDescent="0.25">
      <c r="A825" t="s">
        <v>2971</v>
      </c>
      <c r="B825" t="s">
        <v>2972</v>
      </c>
      <c r="C825" t="s">
        <v>2973</v>
      </c>
      <c r="D825" t="s">
        <v>2974</v>
      </c>
      <c r="E825" t="s">
        <v>14</v>
      </c>
      <c r="F825" t="s">
        <v>15</v>
      </c>
      <c r="G825">
        <v>15236</v>
      </c>
      <c r="H825" t="s">
        <v>21</v>
      </c>
      <c r="I825">
        <v>47</v>
      </c>
      <c r="J825">
        <v>0</v>
      </c>
      <c r="K825" t="s">
        <v>8131</v>
      </c>
    </row>
    <row r="826" spans="1:11" x14ac:dyDescent="0.25">
      <c r="A826" t="s">
        <v>2975</v>
      </c>
      <c r="B826" t="s">
        <v>2976</v>
      </c>
      <c r="C826" t="s">
        <v>2977</v>
      </c>
      <c r="D826" t="s">
        <v>2978</v>
      </c>
      <c r="E826" t="s">
        <v>14</v>
      </c>
      <c r="F826" t="s">
        <v>15</v>
      </c>
      <c r="G826">
        <v>15237</v>
      </c>
      <c r="H826" t="s">
        <v>16</v>
      </c>
      <c r="I826">
        <v>80</v>
      </c>
      <c r="J826">
        <v>1</v>
      </c>
      <c r="K826" t="s">
        <v>8121</v>
      </c>
    </row>
    <row r="827" spans="1:11" x14ac:dyDescent="0.25">
      <c r="A827" t="s">
        <v>2979</v>
      </c>
      <c r="B827" t="s">
        <v>2980</v>
      </c>
      <c r="C827" t="s">
        <v>2981</v>
      </c>
      <c r="D827" t="s">
        <v>2982</v>
      </c>
      <c r="E827" t="s">
        <v>14</v>
      </c>
      <c r="F827" t="s">
        <v>15</v>
      </c>
      <c r="G827">
        <v>15236</v>
      </c>
      <c r="H827" t="s">
        <v>48</v>
      </c>
      <c r="I827">
        <v>23</v>
      </c>
      <c r="J827">
        <v>1</v>
      </c>
      <c r="K827" t="s">
        <v>8131</v>
      </c>
    </row>
    <row r="828" spans="1:11" x14ac:dyDescent="0.25">
      <c r="A828" t="s">
        <v>2983</v>
      </c>
      <c r="B828" t="s">
        <v>377</v>
      </c>
      <c r="C828" t="s">
        <v>2984</v>
      </c>
      <c r="D828" t="s">
        <v>2985</v>
      </c>
      <c r="E828" t="s">
        <v>14</v>
      </c>
      <c r="F828" t="s">
        <v>15</v>
      </c>
      <c r="G828">
        <v>15221</v>
      </c>
      <c r="H828" t="s">
        <v>16</v>
      </c>
      <c r="I828">
        <v>9</v>
      </c>
      <c r="J828">
        <v>1</v>
      </c>
      <c r="K828" t="s">
        <v>8124</v>
      </c>
    </row>
    <row r="829" spans="1:11" x14ac:dyDescent="0.25">
      <c r="A829" t="s">
        <v>2986</v>
      </c>
      <c r="B829" t="s">
        <v>2987</v>
      </c>
      <c r="C829" t="s">
        <v>2988</v>
      </c>
      <c r="D829" t="s">
        <v>1234</v>
      </c>
      <c r="E829" t="s">
        <v>14</v>
      </c>
      <c r="F829" t="s">
        <v>15</v>
      </c>
      <c r="G829">
        <v>15237</v>
      </c>
      <c r="H829" t="s">
        <v>16</v>
      </c>
      <c r="I829">
        <v>25</v>
      </c>
      <c r="J829">
        <v>1</v>
      </c>
      <c r="K829" t="s">
        <v>8131</v>
      </c>
    </row>
    <row r="830" spans="1:11" x14ac:dyDescent="0.25">
      <c r="A830" t="s">
        <v>2989</v>
      </c>
      <c r="B830" t="s">
        <v>377</v>
      </c>
      <c r="C830" t="s">
        <v>2990</v>
      </c>
      <c r="D830" t="s">
        <v>2991</v>
      </c>
      <c r="E830" t="s">
        <v>14</v>
      </c>
      <c r="F830" t="s">
        <v>15</v>
      </c>
      <c r="G830">
        <v>15234</v>
      </c>
      <c r="H830" t="s">
        <v>48</v>
      </c>
      <c r="I830">
        <v>11</v>
      </c>
      <c r="J830">
        <v>1</v>
      </c>
      <c r="K830" t="s">
        <v>8124</v>
      </c>
    </row>
    <row r="831" spans="1:11" x14ac:dyDescent="0.25">
      <c r="A831" t="s">
        <v>2992</v>
      </c>
      <c r="B831" t="s">
        <v>2993</v>
      </c>
      <c r="C831" t="s">
        <v>2994</v>
      </c>
      <c r="D831" t="s">
        <v>2995</v>
      </c>
      <c r="E831" t="s">
        <v>14</v>
      </c>
      <c r="F831" t="s">
        <v>15</v>
      </c>
      <c r="G831">
        <v>15205</v>
      </c>
      <c r="H831" t="s">
        <v>43</v>
      </c>
      <c r="I831">
        <v>60</v>
      </c>
      <c r="J831">
        <v>0</v>
      </c>
      <c r="K831" t="s">
        <v>8131</v>
      </c>
    </row>
    <row r="832" spans="1:11" x14ac:dyDescent="0.25">
      <c r="A832" t="s">
        <v>2996</v>
      </c>
      <c r="B832" t="s">
        <v>2997</v>
      </c>
      <c r="C832" t="s">
        <v>2998</v>
      </c>
      <c r="D832" t="s">
        <v>2999</v>
      </c>
      <c r="E832" t="s">
        <v>14</v>
      </c>
      <c r="F832" t="s">
        <v>15</v>
      </c>
      <c r="G832">
        <v>15217</v>
      </c>
      <c r="H832" t="s">
        <v>16</v>
      </c>
      <c r="I832">
        <v>4</v>
      </c>
      <c r="J832">
        <v>1</v>
      </c>
      <c r="K832" t="s">
        <v>8120</v>
      </c>
    </row>
    <row r="833" spans="1:11" x14ac:dyDescent="0.25">
      <c r="A833" t="s">
        <v>3000</v>
      </c>
      <c r="B833" t="s">
        <v>3001</v>
      </c>
      <c r="C833" t="s">
        <v>3002</v>
      </c>
      <c r="D833" t="s">
        <v>3003</v>
      </c>
      <c r="E833" t="s">
        <v>14</v>
      </c>
      <c r="F833" t="s">
        <v>15</v>
      </c>
      <c r="G833">
        <v>15205</v>
      </c>
      <c r="H833" t="s">
        <v>21</v>
      </c>
      <c r="I833">
        <v>5</v>
      </c>
      <c r="J833">
        <v>1</v>
      </c>
      <c r="K833" t="s">
        <v>8131</v>
      </c>
    </row>
    <row r="834" spans="1:11" x14ac:dyDescent="0.25">
      <c r="A834" t="s">
        <v>3004</v>
      </c>
      <c r="B834" t="s">
        <v>2993</v>
      </c>
      <c r="C834" t="s">
        <v>2994</v>
      </c>
      <c r="D834" t="s">
        <v>3005</v>
      </c>
      <c r="E834" t="s">
        <v>14</v>
      </c>
      <c r="F834" t="s">
        <v>15</v>
      </c>
      <c r="G834">
        <v>15219</v>
      </c>
      <c r="H834" t="s">
        <v>48</v>
      </c>
      <c r="I834">
        <v>113</v>
      </c>
      <c r="J834">
        <v>1</v>
      </c>
      <c r="K834" t="s">
        <v>8131</v>
      </c>
    </row>
    <row r="835" spans="1:11" x14ac:dyDescent="0.25">
      <c r="A835" t="s">
        <v>3006</v>
      </c>
      <c r="B835" t="s">
        <v>920</v>
      </c>
      <c r="C835" t="s">
        <v>2961</v>
      </c>
      <c r="D835" t="s">
        <v>3007</v>
      </c>
      <c r="E835" t="s">
        <v>14</v>
      </c>
      <c r="F835" t="s">
        <v>15</v>
      </c>
      <c r="G835">
        <v>15217</v>
      </c>
      <c r="H835" t="s">
        <v>16</v>
      </c>
      <c r="I835">
        <v>61</v>
      </c>
      <c r="J835">
        <v>0</v>
      </c>
      <c r="K835" t="s">
        <v>8131</v>
      </c>
    </row>
    <row r="836" spans="1:11" x14ac:dyDescent="0.25">
      <c r="A836" t="s">
        <v>3008</v>
      </c>
      <c r="B836" t="s">
        <v>3009</v>
      </c>
      <c r="C836" t="s">
        <v>1001</v>
      </c>
      <c r="D836" t="s">
        <v>3010</v>
      </c>
      <c r="E836" t="s">
        <v>14</v>
      </c>
      <c r="F836" t="s">
        <v>15</v>
      </c>
      <c r="G836">
        <v>15235</v>
      </c>
      <c r="H836" t="s">
        <v>43</v>
      </c>
      <c r="I836">
        <v>17</v>
      </c>
      <c r="J836">
        <v>1</v>
      </c>
      <c r="K836" t="s">
        <v>8131</v>
      </c>
    </row>
    <row r="837" spans="1:11" x14ac:dyDescent="0.25">
      <c r="A837" t="s">
        <v>3011</v>
      </c>
      <c r="B837" t="s">
        <v>3012</v>
      </c>
      <c r="C837" t="s">
        <v>3013</v>
      </c>
      <c r="D837" t="s">
        <v>3014</v>
      </c>
      <c r="E837" t="s">
        <v>14</v>
      </c>
      <c r="F837" t="s">
        <v>15</v>
      </c>
      <c r="G837">
        <v>15222</v>
      </c>
      <c r="H837" t="s">
        <v>48</v>
      </c>
      <c r="I837">
        <v>265</v>
      </c>
      <c r="J837">
        <v>1</v>
      </c>
      <c r="K837" t="s">
        <v>8131</v>
      </c>
    </row>
    <row r="838" spans="1:11" x14ac:dyDescent="0.25">
      <c r="A838" t="s">
        <v>3015</v>
      </c>
      <c r="B838" t="s">
        <v>3016</v>
      </c>
      <c r="C838" t="s">
        <v>3017</v>
      </c>
      <c r="D838" t="s">
        <v>3018</v>
      </c>
      <c r="E838" t="s">
        <v>14</v>
      </c>
      <c r="F838" t="s">
        <v>15</v>
      </c>
      <c r="G838">
        <v>15206</v>
      </c>
      <c r="H838" t="s">
        <v>21</v>
      </c>
      <c r="I838">
        <v>26</v>
      </c>
      <c r="J838">
        <v>1</v>
      </c>
      <c r="K838" t="s">
        <v>8131</v>
      </c>
    </row>
    <row r="839" spans="1:11" x14ac:dyDescent="0.25">
      <c r="A839" t="s">
        <v>3019</v>
      </c>
      <c r="B839" t="s">
        <v>3020</v>
      </c>
      <c r="C839" t="s">
        <v>3021</v>
      </c>
      <c r="D839" t="s">
        <v>3022</v>
      </c>
      <c r="E839" t="s">
        <v>14</v>
      </c>
      <c r="F839" t="s">
        <v>15</v>
      </c>
      <c r="G839">
        <v>15237</v>
      </c>
      <c r="H839" t="s">
        <v>21</v>
      </c>
      <c r="I839">
        <v>28</v>
      </c>
      <c r="J839">
        <v>1</v>
      </c>
      <c r="K839" t="s">
        <v>8131</v>
      </c>
    </row>
    <row r="840" spans="1:11" x14ac:dyDescent="0.25">
      <c r="A840" t="s">
        <v>3023</v>
      </c>
      <c r="B840" t="s">
        <v>3024</v>
      </c>
      <c r="C840" t="s">
        <v>3025</v>
      </c>
      <c r="D840" t="s">
        <v>3026</v>
      </c>
      <c r="E840" t="s">
        <v>14</v>
      </c>
      <c r="F840" t="s">
        <v>15</v>
      </c>
      <c r="G840">
        <v>15237</v>
      </c>
      <c r="H840" t="s">
        <v>48</v>
      </c>
      <c r="I840">
        <v>23</v>
      </c>
      <c r="J840">
        <v>1</v>
      </c>
      <c r="K840" t="s">
        <v>8131</v>
      </c>
    </row>
    <row r="841" spans="1:11" x14ac:dyDescent="0.25">
      <c r="A841" t="s">
        <v>3027</v>
      </c>
      <c r="B841" t="s">
        <v>3028</v>
      </c>
      <c r="C841" t="s">
        <v>3029</v>
      </c>
      <c r="D841" t="s">
        <v>1964</v>
      </c>
      <c r="E841" t="s">
        <v>14</v>
      </c>
      <c r="F841" t="s">
        <v>15</v>
      </c>
      <c r="G841">
        <v>15238</v>
      </c>
      <c r="H841" t="s">
        <v>48</v>
      </c>
      <c r="I841">
        <v>27</v>
      </c>
      <c r="J841">
        <v>0</v>
      </c>
      <c r="K841" t="s">
        <v>8131</v>
      </c>
    </row>
    <row r="842" spans="1:11" x14ac:dyDescent="0.25">
      <c r="A842" t="s">
        <v>3030</v>
      </c>
      <c r="B842" t="s">
        <v>188</v>
      </c>
      <c r="C842" t="s">
        <v>3031</v>
      </c>
      <c r="D842" t="s">
        <v>3032</v>
      </c>
      <c r="E842" t="s">
        <v>14</v>
      </c>
      <c r="F842" t="s">
        <v>15</v>
      </c>
      <c r="G842">
        <v>15205</v>
      </c>
      <c r="H842" t="s">
        <v>48</v>
      </c>
      <c r="I842">
        <v>3</v>
      </c>
      <c r="J842">
        <v>1</v>
      </c>
      <c r="K842" t="s">
        <v>8131</v>
      </c>
    </row>
    <row r="843" spans="1:11" x14ac:dyDescent="0.25">
      <c r="A843" t="s">
        <v>3033</v>
      </c>
      <c r="B843" t="s">
        <v>3034</v>
      </c>
      <c r="C843" t="s">
        <v>3035</v>
      </c>
      <c r="D843" t="s">
        <v>541</v>
      </c>
      <c r="E843" t="s">
        <v>14</v>
      </c>
      <c r="F843" t="s">
        <v>15</v>
      </c>
      <c r="G843">
        <v>15216</v>
      </c>
      <c r="H843" t="s">
        <v>16</v>
      </c>
      <c r="I843">
        <v>33</v>
      </c>
      <c r="J843">
        <v>1</v>
      </c>
      <c r="K843" t="s">
        <v>8131</v>
      </c>
    </row>
    <row r="844" spans="1:11" x14ac:dyDescent="0.25">
      <c r="A844" t="s">
        <v>3036</v>
      </c>
      <c r="B844" t="s">
        <v>3037</v>
      </c>
      <c r="C844" t="s">
        <v>3038</v>
      </c>
      <c r="D844" t="s">
        <v>2810</v>
      </c>
      <c r="E844" t="s">
        <v>14</v>
      </c>
      <c r="F844" t="s">
        <v>15</v>
      </c>
      <c r="G844">
        <v>15217</v>
      </c>
      <c r="H844" t="s">
        <v>48</v>
      </c>
      <c r="I844">
        <v>206</v>
      </c>
      <c r="J844">
        <v>1</v>
      </c>
      <c r="K844" t="s">
        <v>8126</v>
      </c>
    </row>
    <row r="845" spans="1:11" x14ac:dyDescent="0.25">
      <c r="A845" t="s">
        <v>3039</v>
      </c>
      <c r="B845" t="s">
        <v>3040</v>
      </c>
      <c r="C845" t="s">
        <v>3041</v>
      </c>
      <c r="D845" t="s">
        <v>3042</v>
      </c>
      <c r="E845" t="s">
        <v>14</v>
      </c>
      <c r="F845" t="s">
        <v>15</v>
      </c>
      <c r="G845">
        <v>15235</v>
      </c>
      <c r="H845" t="s">
        <v>16</v>
      </c>
      <c r="I845">
        <v>31</v>
      </c>
      <c r="J845">
        <v>1</v>
      </c>
      <c r="K845" t="s">
        <v>8131</v>
      </c>
    </row>
    <row r="846" spans="1:11" x14ac:dyDescent="0.25">
      <c r="A846" t="s">
        <v>3043</v>
      </c>
      <c r="B846" t="s">
        <v>3044</v>
      </c>
      <c r="C846" t="s">
        <v>1180</v>
      </c>
      <c r="D846" t="s">
        <v>3045</v>
      </c>
      <c r="E846" t="s">
        <v>14</v>
      </c>
      <c r="F846" t="s">
        <v>15</v>
      </c>
      <c r="G846">
        <v>15219</v>
      </c>
      <c r="H846" t="s">
        <v>48</v>
      </c>
      <c r="I846">
        <v>47</v>
      </c>
      <c r="J846">
        <v>1</v>
      </c>
      <c r="K846" t="s">
        <v>8131</v>
      </c>
    </row>
    <row r="847" spans="1:11" x14ac:dyDescent="0.25">
      <c r="A847" t="s">
        <v>3046</v>
      </c>
      <c r="B847" t="s">
        <v>3047</v>
      </c>
      <c r="C847" t="s">
        <v>3048</v>
      </c>
      <c r="D847" t="s">
        <v>3049</v>
      </c>
      <c r="E847" t="s">
        <v>14</v>
      </c>
      <c r="F847" t="s">
        <v>15</v>
      </c>
      <c r="G847">
        <v>15209</v>
      </c>
      <c r="H847" t="s">
        <v>48</v>
      </c>
      <c r="I847">
        <v>63</v>
      </c>
      <c r="J847">
        <v>0</v>
      </c>
      <c r="K847" t="s">
        <v>8121</v>
      </c>
    </row>
    <row r="848" spans="1:11" x14ac:dyDescent="0.25">
      <c r="A848" t="s">
        <v>3050</v>
      </c>
      <c r="B848" t="s">
        <v>3051</v>
      </c>
      <c r="C848" t="s">
        <v>3052</v>
      </c>
      <c r="D848" t="s">
        <v>3053</v>
      </c>
      <c r="E848" t="s">
        <v>14</v>
      </c>
      <c r="F848" t="s">
        <v>15</v>
      </c>
      <c r="G848">
        <v>15235</v>
      </c>
      <c r="H848" t="s">
        <v>113</v>
      </c>
      <c r="I848">
        <v>8</v>
      </c>
      <c r="J848">
        <v>0</v>
      </c>
      <c r="K848" t="s">
        <v>8124</v>
      </c>
    </row>
    <row r="849" spans="1:11" x14ac:dyDescent="0.25">
      <c r="A849" t="s">
        <v>3054</v>
      </c>
      <c r="B849" t="s">
        <v>89</v>
      </c>
      <c r="C849" t="s">
        <v>3055</v>
      </c>
      <c r="D849" t="s">
        <v>3056</v>
      </c>
      <c r="E849" t="s">
        <v>14</v>
      </c>
      <c r="F849" t="s">
        <v>15</v>
      </c>
      <c r="G849">
        <v>15216</v>
      </c>
      <c r="H849" t="s">
        <v>21</v>
      </c>
      <c r="I849">
        <v>38</v>
      </c>
      <c r="J849">
        <v>0</v>
      </c>
      <c r="K849" t="s">
        <v>8131</v>
      </c>
    </row>
    <row r="850" spans="1:11" x14ac:dyDescent="0.25">
      <c r="A850" t="s">
        <v>3057</v>
      </c>
      <c r="B850" t="s">
        <v>824</v>
      </c>
      <c r="C850" t="s">
        <v>3058</v>
      </c>
      <c r="D850" t="s">
        <v>3059</v>
      </c>
      <c r="E850" t="s">
        <v>14</v>
      </c>
      <c r="F850" t="s">
        <v>15</v>
      </c>
      <c r="G850">
        <v>15209</v>
      </c>
      <c r="H850" t="s">
        <v>21</v>
      </c>
      <c r="I850">
        <v>144</v>
      </c>
      <c r="J850">
        <v>1</v>
      </c>
      <c r="K850" t="s">
        <v>8131</v>
      </c>
    </row>
    <row r="851" spans="1:11" x14ac:dyDescent="0.25">
      <c r="A851" t="s">
        <v>3060</v>
      </c>
      <c r="B851" t="s">
        <v>3061</v>
      </c>
      <c r="C851" t="s">
        <v>3062</v>
      </c>
      <c r="D851" t="s">
        <v>3063</v>
      </c>
      <c r="E851" t="s">
        <v>14</v>
      </c>
      <c r="F851" t="s">
        <v>15</v>
      </c>
      <c r="G851">
        <v>15220</v>
      </c>
      <c r="H851" t="s">
        <v>43</v>
      </c>
      <c r="I851">
        <v>5</v>
      </c>
      <c r="J851">
        <v>0</v>
      </c>
      <c r="K851" t="s">
        <v>8131</v>
      </c>
    </row>
    <row r="852" spans="1:11" x14ac:dyDescent="0.25">
      <c r="A852" t="s">
        <v>3064</v>
      </c>
      <c r="B852" t="s">
        <v>3065</v>
      </c>
      <c r="C852" t="s">
        <v>3066</v>
      </c>
      <c r="D852" t="s">
        <v>3067</v>
      </c>
      <c r="E852" t="s">
        <v>14</v>
      </c>
      <c r="F852" t="s">
        <v>15</v>
      </c>
      <c r="G852">
        <v>15217</v>
      </c>
      <c r="H852" t="s">
        <v>16</v>
      </c>
      <c r="I852">
        <v>104</v>
      </c>
      <c r="J852">
        <v>1</v>
      </c>
      <c r="K852" t="s">
        <v>8131</v>
      </c>
    </row>
    <row r="853" spans="1:11" x14ac:dyDescent="0.25">
      <c r="A853" t="s">
        <v>3068</v>
      </c>
      <c r="B853" t="s">
        <v>3069</v>
      </c>
      <c r="C853" t="s">
        <v>3070</v>
      </c>
      <c r="E853" t="s">
        <v>14</v>
      </c>
      <c r="F853" t="s">
        <v>15</v>
      </c>
      <c r="H853" t="s">
        <v>21</v>
      </c>
      <c r="I853">
        <v>21</v>
      </c>
      <c r="J853">
        <v>1</v>
      </c>
      <c r="K853" t="s">
        <v>8131</v>
      </c>
    </row>
    <row r="854" spans="1:11" x14ac:dyDescent="0.25">
      <c r="A854" t="s">
        <v>3071</v>
      </c>
      <c r="B854" t="s">
        <v>3072</v>
      </c>
      <c r="C854" t="s">
        <v>1020</v>
      </c>
      <c r="D854" t="s">
        <v>2287</v>
      </c>
      <c r="E854" t="s">
        <v>14</v>
      </c>
      <c r="F854" t="s">
        <v>15</v>
      </c>
      <c r="G854">
        <v>15213</v>
      </c>
      <c r="H854" t="s">
        <v>34</v>
      </c>
      <c r="I854">
        <v>37</v>
      </c>
      <c r="J854">
        <v>0</v>
      </c>
      <c r="K854" t="s">
        <v>8122</v>
      </c>
    </row>
    <row r="855" spans="1:11" x14ac:dyDescent="0.25">
      <c r="A855" t="s">
        <v>3073</v>
      </c>
      <c r="B855" t="s">
        <v>3074</v>
      </c>
      <c r="C855" t="s">
        <v>3075</v>
      </c>
      <c r="D855" t="s">
        <v>3076</v>
      </c>
      <c r="E855" t="s">
        <v>14</v>
      </c>
      <c r="F855" t="s">
        <v>15</v>
      </c>
      <c r="G855">
        <v>15213</v>
      </c>
      <c r="H855" t="s">
        <v>16</v>
      </c>
      <c r="I855">
        <v>160</v>
      </c>
      <c r="J855">
        <v>1</v>
      </c>
      <c r="K855" t="s">
        <v>8117</v>
      </c>
    </row>
    <row r="856" spans="1:11" x14ac:dyDescent="0.25">
      <c r="A856" t="s">
        <v>3077</v>
      </c>
      <c r="B856" t="s">
        <v>3078</v>
      </c>
      <c r="C856" t="s">
        <v>2800</v>
      </c>
      <c r="D856" t="s">
        <v>1282</v>
      </c>
      <c r="E856" t="s">
        <v>14</v>
      </c>
      <c r="F856" t="s">
        <v>15</v>
      </c>
      <c r="G856">
        <v>15222</v>
      </c>
      <c r="H856" t="s">
        <v>16</v>
      </c>
      <c r="I856">
        <v>32</v>
      </c>
      <c r="J856">
        <v>1</v>
      </c>
      <c r="K856" t="s">
        <v>8131</v>
      </c>
    </row>
    <row r="857" spans="1:11" x14ac:dyDescent="0.25">
      <c r="A857" t="e">
        <f>-httBl6DSZiUtDX4SQWtag</f>
        <v>#NAME?</v>
      </c>
      <c r="B857" t="s">
        <v>3079</v>
      </c>
      <c r="C857" t="s">
        <v>3080</v>
      </c>
      <c r="D857" t="s">
        <v>3081</v>
      </c>
      <c r="E857" t="s">
        <v>14</v>
      </c>
      <c r="F857" t="s">
        <v>15</v>
      </c>
      <c r="G857">
        <v>15222</v>
      </c>
      <c r="H857" t="s">
        <v>16</v>
      </c>
      <c r="I857">
        <v>158</v>
      </c>
      <c r="J857">
        <v>1</v>
      </c>
      <c r="K857" t="s">
        <v>8120</v>
      </c>
    </row>
    <row r="858" spans="1:11" x14ac:dyDescent="0.25">
      <c r="A858" t="s">
        <v>3082</v>
      </c>
      <c r="B858" t="s">
        <v>3083</v>
      </c>
      <c r="C858" t="s">
        <v>3084</v>
      </c>
      <c r="D858" t="s">
        <v>3085</v>
      </c>
      <c r="E858" t="s">
        <v>14</v>
      </c>
      <c r="F858" t="s">
        <v>15</v>
      </c>
      <c r="G858">
        <v>15203</v>
      </c>
      <c r="H858" t="s">
        <v>48</v>
      </c>
      <c r="I858">
        <v>29</v>
      </c>
      <c r="J858">
        <v>1</v>
      </c>
      <c r="K858" t="s">
        <v>8131</v>
      </c>
    </row>
    <row r="859" spans="1:11" x14ac:dyDescent="0.25">
      <c r="A859" t="s">
        <v>3086</v>
      </c>
      <c r="B859" t="s">
        <v>3087</v>
      </c>
      <c r="C859" t="s">
        <v>3088</v>
      </c>
      <c r="D859" t="s">
        <v>472</v>
      </c>
      <c r="E859" t="s">
        <v>14</v>
      </c>
      <c r="F859" t="s">
        <v>15</v>
      </c>
      <c r="G859">
        <v>15223</v>
      </c>
      <c r="H859" t="s">
        <v>113</v>
      </c>
      <c r="I859">
        <v>11</v>
      </c>
      <c r="J859">
        <v>1</v>
      </c>
      <c r="K859" t="s">
        <v>8120</v>
      </c>
    </row>
    <row r="860" spans="1:11" x14ac:dyDescent="0.25">
      <c r="A860" t="s">
        <v>3089</v>
      </c>
      <c r="B860" t="s">
        <v>578</v>
      </c>
      <c r="C860" t="s">
        <v>3090</v>
      </c>
      <c r="D860" t="s">
        <v>3091</v>
      </c>
      <c r="E860" t="s">
        <v>14</v>
      </c>
      <c r="F860" t="s">
        <v>15</v>
      </c>
      <c r="G860">
        <v>15222</v>
      </c>
      <c r="H860" t="s">
        <v>43</v>
      </c>
      <c r="I860">
        <v>7</v>
      </c>
      <c r="J860">
        <v>0</v>
      </c>
      <c r="K860" t="s">
        <v>8131</v>
      </c>
    </row>
    <row r="861" spans="1:11" x14ac:dyDescent="0.25">
      <c r="A861" t="s">
        <v>3092</v>
      </c>
      <c r="B861" t="s">
        <v>3093</v>
      </c>
      <c r="C861" t="s">
        <v>3094</v>
      </c>
      <c r="D861" t="s">
        <v>3095</v>
      </c>
      <c r="E861" t="s">
        <v>14</v>
      </c>
      <c r="F861" t="s">
        <v>15</v>
      </c>
      <c r="G861">
        <v>15205</v>
      </c>
      <c r="H861" t="s">
        <v>48</v>
      </c>
      <c r="I861">
        <v>170</v>
      </c>
      <c r="J861">
        <v>1</v>
      </c>
      <c r="K861" t="s">
        <v>8122</v>
      </c>
    </row>
    <row r="862" spans="1:11" x14ac:dyDescent="0.25">
      <c r="A862" t="s">
        <v>3096</v>
      </c>
      <c r="B862" t="s">
        <v>3097</v>
      </c>
      <c r="C862" t="s">
        <v>3098</v>
      </c>
      <c r="D862" t="s">
        <v>321</v>
      </c>
      <c r="E862" t="s">
        <v>14</v>
      </c>
      <c r="F862" t="s">
        <v>15</v>
      </c>
      <c r="G862">
        <v>15219</v>
      </c>
      <c r="H862" t="s">
        <v>16</v>
      </c>
      <c r="I862">
        <v>24</v>
      </c>
      <c r="J862">
        <v>1</v>
      </c>
      <c r="K862" t="s">
        <v>8131</v>
      </c>
    </row>
    <row r="863" spans="1:11" x14ac:dyDescent="0.25">
      <c r="A863" t="s">
        <v>3099</v>
      </c>
      <c r="B863" t="s">
        <v>2090</v>
      </c>
      <c r="C863" t="s">
        <v>3100</v>
      </c>
      <c r="D863" t="s">
        <v>3101</v>
      </c>
      <c r="E863" t="s">
        <v>14</v>
      </c>
      <c r="F863" t="s">
        <v>15</v>
      </c>
      <c r="G863">
        <v>15203</v>
      </c>
      <c r="H863" t="s">
        <v>21</v>
      </c>
      <c r="I863">
        <v>10</v>
      </c>
      <c r="J863">
        <v>0</v>
      </c>
      <c r="K863" t="s">
        <v>8131</v>
      </c>
    </row>
    <row r="864" spans="1:11" x14ac:dyDescent="0.25">
      <c r="A864" t="s">
        <v>3102</v>
      </c>
      <c r="B864" t="s">
        <v>106</v>
      </c>
      <c r="C864" t="s">
        <v>3103</v>
      </c>
      <c r="D864" t="s">
        <v>2487</v>
      </c>
      <c r="E864" t="s">
        <v>14</v>
      </c>
      <c r="F864" t="s">
        <v>15</v>
      </c>
      <c r="G864">
        <v>15201</v>
      </c>
      <c r="H864" t="s">
        <v>48</v>
      </c>
      <c r="I864">
        <v>15</v>
      </c>
      <c r="J864">
        <v>0</v>
      </c>
      <c r="K864" t="s">
        <v>8131</v>
      </c>
    </row>
    <row r="865" spans="1:11" x14ac:dyDescent="0.25">
      <c r="A865" t="s">
        <v>3104</v>
      </c>
      <c r="B865" t="s">
        <v>3105</v>
      </c>
      <c r="C865" t="s">
        <v>3106</v>
      </c>
      <c r="D865" t="s">
        <v>3107</v>
      </c>
      <c r="E865" t="s">
        <v>14</v>
      </c>
      <c r="F865" t="s">
        <v>15</v>
      </c>
      <c r="G865">
        <v>15206</v>
      </c>
      <c r="H865" t="s">
        <v>16</v>
      </c>
      <c r="I865">
        <v>29</v>
      </c>
      <c r="J865">
        <v>0</v>
      </c>
      <c r="K865" t="s">
        <v>8131</v>
      </c>
    </row>
    <row r="866" spans="1:11" x14ac:dyDescent="0.25">
      <c r="A866" t="s">
        <v>3108</v>
      </c>
      <c r="B866" t="s">
        <v>119</v>
      </c>
      <c r="C866" t="s">
        <v>3109</v>
      </c>
      <c r="D866" t="s">
        <v>104</v>
      </c>
      <c r="E866" t="s">
        <v>14</v>
      </c>
      <c r="F866" t="s">
        <v>15</v>
      </c>
      <c r="G866">
        <v>15215</v>
      </c>
      <c r="H866" t="s">
        <v>16</v>
      </c>
      <c r="I866">
        <v>8</v>
      </c>
      <c r="J866">
        <v>0</v>
      </c>
      <c r="K866" t="s">
        <v>8131</v>
      </c>
    </row>
    <row r="867" spans="1:11" x14ac:dyDescent="0.25">
      <c r="A867" t="s">
        <v>3110</v>
      </c>
      <c r="B867" t="s">
        <v>3111</v>
      </c>
      <c r="C867" t="s">
        <v>3112</v>
      </c>
      <c r="D867" t="s">
        <v>3113</v>
      </c>
      <c r="E867" t="s">
        <v>14</v>
      </c>
      <c r="F867" t="s">
        <v>15</v>
      </c>
      <c r="G867">
        <v>15238</v>
      </c>
      <c r="H867" t="s">
        <v>16</v>
      </c>
      <c r="I867">
        <v>17</v>
      </c>
      <c r="J867">
        <v>1</v>
      </c>
      <c r="K867" t="s">
        <v>8131</v>
      </c>
    </row>
    <row r="868" spans="1:11" x14ac:dyDescent="0.25">
      <c r="A868" t="s">
        <v>3114</v>
      </c>
      <c r="B868" t="s">
        <v>3115</v>
      </c>
      <c r="C868" t="s">
        <v>460</v>
      </c>
      <c r="D868" t="s">
        <v>367</v>
      </c>
      <c r="E868" t="s">
        <v>14</v>
      </c>
      <c r="F868" t="s">
        <v>15</v>
      </c>
      <c r="G868">
        <v>15241</v>
      </c>
      <c r="H868" t="s">
        <v>21</v>
      </c>
      <c r="I868">
        <v>3</v>
      </c>
      <c r="J868">
        <v>0</v>
      </c>
      <c r="K868" t="s">
        <v>8131</v>
      </c>
    </row>
    <row r="869" spans="1:11" x14ac:dyDescent="0.25">
      <c r="A869" t="s">
        <v>3116</v>
      </c>
      <c r="B869" t="s">
        <v>3117</v>
      </c>
      <c r="C869" t="s">
        <v>3118</v>
      </c>
      <c r="D869" t="s">
        <v>375</v>
      </c>
      <c r="E869" t="s">
        <v>14</v>
      </c>
      <c r="F869" t="s">
        <v>15</v>
      </c>
      <c r="G869">
        <v>15228</v>
      </c>
      <c r="H869" t="s">
        <v>16</v>
      </c>
      <c r="I869">
        <v>30</v>
      </c>
      <c r="J869">
        <v>0</v>
      </c>
      <c r="K869" t="s">
        <v>8121</v>
      </c>
    </row>
    <row r="870" spans="1:11" x14ac:dyDescent="0.25">
      <c r="A870" t="s">
        <v>3119</v>
      </c>
      <c r="B870" t="s">
        <v>65</v>
      </c>
      <c r="C870" t="s">
        <v>3120</v>
      </c>
      <c r="D870" t="s">
        <v>3121</v>
      </c>
      <c r="E870" t="s">
        <v>14</v>
      </c>
      <c r="F870" t="s">
        <v>15</v>
      </c>
      <c r="G870">
        <v>15239</v>
      </c>
      <c r="H870" t="s">
        <v>16</v>
      </c>
      <c r="I870">
        <v>9</v>
      </c>
      <c r="J870">
        <v>1</v>
      </c>
      <c r="K870" t="s">
        <v>8131</v>
      </c>
    </row>
    <row r="871" spans="1:11" x14ac:dyDescent="0.25">
      <c r="A871" t="s">
        <v>3122</v>
      </c>
      <c r="B871" t="s">
        <v>377</v>
      </c>
      <c r="C871" t="s">
        <v>3123</v>
      </c>
      <c r="D871" t="s">
        <v>3124</v>
      </c>
      <c r="E871" t="s">
        <v>14</v>
      </c>
      <c r="F871" t="s">
        <v>15</v>
      </c>
      <c r="G871">
        <v>15235</v>
      </c>
      <c r="H871" t="s">
        <v>34</v>
      </c>
      <c r="I871">
        <v>10</v>
      </c>
      <c r="J871">
        <v>1</v>
      </c>
      <c r="K871" t="s">
        <v>8124</v>
      </c>
    </row>
    <row r="872" spans="1:11" x14ac:dyDescent="0.25">
      <c r="A872" t="s">
        <v>3125</v>
      </c>
      <c r="B872" t="s">
        <v>3126</v>
      </c>
      <c r="C872" t="s">
        <v>3127</v>
      </c>
      <c r="D872" t="s">
        <v>3128</v>
      </c>
      <c r="E872" t="s">
        <v>14</v>
      </c>
      <c r="F872" t="s">
        <v>15</v>
      </c>
      <c r="G872">
        <v>15120</v>
      </c>
      <c r="H872" t="s">
        <v>21</v>
      </c>
      <c r="I872">
        <v>8</v>
      </c>
      <c r="J872">
        <v>1</v>
      </c>
      <c r="K872" t="s">
        <v>8131</v>
      </c>
    </row>
    <row r="873" spans="1:11" x14ac:dyDescent="0.25">
      <c r="A873" t="s">
        <v>3129</v>
      </c>
      <c r="B873" t="s">
        <v>3130</v>
      </c>
      <c r="C873" t="s">
        <v>1447</v>
      </c>
      <c r="D873" t="s">
        <v>1448</v>
      </c>
      <c r="E873" t="s">
        <v>14</v>
      </c>
      <c r="F873" t="s">
        <v>15</v>
      </c>
      <c r="G873">
        <v>15238</v>
      </c>
      <c r="H873" t="s">
        <v>48</v>
      </c>
      <c r="I873">
        <v>42</v>
      </c>
      <c r="J873">
        <v>1</v>
      </c>
      <c r="K873" t="s">
        <v>8131</v>
      </c>
    </row>
    <row r="874" spans="1:11" x14ac:dyDescent="0.25">
      <c r="A874" t="s">
        <v>3131</v>
      </c>
      <c r="B874" t="s">
        <v>3132</v>
      </c>
      <c r="C874" t="s">
        <v>3133</v>
      </c>
      <c r="D874" t="s">
        <v>3134</v>
      </c>
      <c r="E874" t="s">
        <v>14</v>
      </c>
      <c r="F874" t="s">
        <v>15</v>
      </c>
      <c r="G874">
        <v>15201</v>
      </c>
      <c r="H874" t="s">
        <v>48</v>
      </c>
      <c r="I874">
        <v>168</v>
      </c>
      <c r="J874">
        <v>1</v>
      </c>
      <c r="K874" t="s">
        <v>8117</v>
      </c>
    </row>
    <row r="875" spans="1:11" x14ac:dyDescent="0.25">
      <c r="A875" t="s">
        <v>3135</v>
      </c>
      <c r="B875" t="s">
        <v>3136</v>
      </c>
      <c r="C875" t="s">
        <v>3137</v>
      </c>
      <c r="D875" t="s">
        <v>3138</v>
      </c>
      <c r="E875" t="s">
        <v>14</v>
      </c>
      <c r="F875" t="s">
        <v>15</v>
      </c>
      <c r="G875">
        <v>15205</v>
      </c>
      <c r="H875" t="s">
        <v>48</v>
      </c>
      <c r="I875">
        <v>21</v>
      </c>
      <c r="J875">
        <v>1</v>
      </c>
      <c r="K875" t="s">
        <v>8131</v>
      </c>
    </row>
    <row r="876" spans="1:11" x14ac:dyDescent="0.25">
      <c r="A876" t="s">
        <v>3139</v>
      </c>
      <c r="B876" t="s">
        <v>3140</v>
      </c>
      <c r="C876" t="s">
        <v>3141</v>
      </c>
      <c r="D876" t="s">
        <v>3142</v>
      </c>
      <c r="E876" t="s">
        <v>14</v>
      </c>
      <c r="F876" t="s">
        <v>15</v>
      </c>
      <c r="G876">
        <v>15236</v>
      </c>
      <c r="H876" t="s">
        <v>16</v>
      </c>
      <c r="I876">
        <v>17</v>
      </c>
      <c r="J876">
        <v>0</v>
      </c>
      <c r="K876" t="s">
        <v>8131</v>
      </c>
    </row>
    <row r="877" spans="1:11" x14ac:dyDescent="0.25">
      <c r="A877" t="s">
        <v>3143</v>
      </c>
      <c r="B877" t="s">
        <v>3144</v>
      </c>
      <c r="C877" t="s">
        <v>3145</v>
      </c>
      <c r="D877" t="s">
        <v>3146</v>
      </c>
      <c r="E877" t="s">
        <v>14</v>
      </c>
      <c r="F877" t="s">
        <v>15</v>
      </c>
      <c r="G877">
        <v>15201</v>
      </c>
      <c r="H877" t="s">
        <v>48</v>
      </c>
      <c r="I877">
        <v>353</v>
      </c>
      <c r="J877">
        <v>1</v>
      </c>
      <c r="K877" t="s">
        <v>8122</v>
      </c>
    </row>
    <row r="878" spans="1:11" x14ac:dyDescent="0.25">
      <c r="A878" t="s">
        <v>3147</v>
      </c>
      <c r="B878" t="s">
        <v>3148</v>
      </c>
      <c r="C878" t="s">
        <v>3149</v>
      </c>
      <c r="D878" t="s">
        <v>599</v>
      </c>
      <c r="E878" t="s">
        <v>14</v>
      </c>
      <c r="F878" t="s">
        <v>15</v>
      </c>
      <c r="G878">
        <v>15219</v>
      </c>
      <c r="H878" t="s">
        <v>48</v>
      </c>
      <c r="I878">
        <v>78</v>
      </c>
      <c r="J878">
        <v>1</v>
      </c>
      <c r="K878" t="s">
        <v>8132</v>
      </c>
    </row>
    <row r="879" spans="1:11" x14ac:dyDescent="0.25">
      <c r="A879" t="s">
        <v>3150</v>
      </c>
      <c r="B879" t="s">
        <v>3151</v>
      </c>
      <c r="C879" t="s">
        <v>3152</v>
      </c>
      <c r="D879" t="s">
        <v>3153</v>
      </c>
      <c r="E879" t="s">
        <v>14</v>
      </c>
      <c r="F879" t="s">
        <v>15</v>
      </c>
      <c r="G879">
        <v>15213</v>
      </c>
      <c r="H879" t="s">
        <v>48</v>
      </c>
      <c r="I879">
        <v>20</v>
      </c>
      <c r="J879">
        <v>1</v>
      </c>
      <c r="K879" t="s">
        <v>8120</v>
      </c>
    </row>
    <row r="880" spans="1:11" x14ac:dyDescent="0.25">
      <c r="A880" t="s">
        <v>3154</v>
      </c>
      <c r="B880" t="s">
        <v>816</v>
      </c>
      <c r="C880" t="s">
        <v>3155</v>
      </c>
      <c r="D880" t="s">
        <v>3156</v>
      </c>
      <c r="E880" t="s">
        <v>14</v>
      </c>
      <c r="F880" t="s">
        <v>15</v>
      </c>
      <c r="G880">
        <v>15213</v>
      </c>
      <c r="H880" t="s">
        <v>48</v>
      </c>
      <c r="I880">
        <v>48</v>
      </c>
      <c r="J880">
        <v>0</v>
      </c>
      <c r="K880" t="s">
        <v>8117</v>
      </c>
    </row>
    <row r="881" spans="1:11" x14ac:dyDescent="0.25">
      <c r="A881" t="s">
        <v>3157</v>
      </c>
      <c r="B881" t="s">
        <v>447</v>
      </c>
      <c r="C881" t="s">
        <v>3158</v>
      </c>
      <c r="D881" t="s">
        <v>2375</v>
      </c>
      <c r="E881" t="s">
        <v>14</v>
      </c>
      <c r="F881" t="s">
        <v>15</v>
      </c>
      <c r="G881">
        <v>15222</v>
      </c>
      <c r="H881" t="s">
        <v>16</v>
      </c>
      <c r="I881">
        <v>101</v>
      </c>
      <c r="J881">
        <v>1</v>
      </c>
      <c r="K881" t="s">
        <v>8122</v>
      </c>
    </row>
    <row r="882" spans="1:11" x14ac:dyDescent="0.25">
      <c r="A882" t="s">
        <v>3159</v>
      </c>
      <c r="B882" t="s">
        <v>331</v>
      </c>
      <c r="C882" t="s">
        <v>3160</v>
      </c>
      <c r="D882" t="s">
        <v>3161</v>
      </c>
      <c r="E882" t="s">
        <v>14</v>
      </c>
      <c r="F882" t="s">
        <v>15</v>
      </c>
      <c r="G882">
        <v>15236</v>
      </c>
      <c r="H882" t="s">
        <v>34</v>
      </c>
      <c r="I882">
        <v>5</v>
      </c>
      <c r="J882">
        <v>1</v>
      </c>
      <c r="K882" t="s">
        <v>8123</v>
      </c>
    </row>
    <row r="883" spans="1:11" x14ac:dyDescent="0.25">
      <c r="A883" t="s">
        <v>3162</v>
      </c>
      <c r="B883" t="s">
        <v>2090</v>
      </c>
      <c r="C883" t="s">
        <v>32</v>
      </c>
      <c r="D883" t="s">
        <v>3163</v>
      </c>
      <c r="E883" t="s">
        <v>14</v>
      </c>
      <c r="F883" t="s">
        <v>15</v>
      </c>
      <c r="G883">
        <v>15226</v>
      </c>
      <c r="H883" t="s">
        <v>113</v>
      </c>
      <c r="I883">
        <v>5</v>
      </c>
      <c r="J883">
        <v>1</v>
      </c>
      <c r="K883" t="s">
        <v>8131</v>
      </c>
    </row>
    <row r="884" spans="1:11" x14ac:dyDescent="0.25">
      <c r="A884" t="s">
        <v>3164</v>
      </c>
      <c r="B884" t="s">
        <v>3165</v>
      </c>
      <c r="C884" t="s">
        <v>3166</v>
      </c>
      <c r="D884" t="s">
        <v>3167</v>
      </c>
      <c r="E884" t="s">
        <v>14</v>
      </c>
      <c r="F884" t="s">
        <v>15</v>
      </c>
      <c r="G884">
        <v>15237</v>
      </c>
      <c r="H884" t="s">
        <v>16</v>
      </c>
      <c r="I884">
        <v>97</v>
      </c>
      <c r="J884">
        <v>1</v>
      </c>
      <c r="K884" t="s">
        <v>8131</v>
      </c>
    </row>
    <row r="885" spans="1:11" x14ac:dyDescent="0.25">
      <c r="A885" t="s">
        <v>3168</v>
      </c>
      <c r="B885" t="s">
        <v>3169</v>
      </c>
      <c r="C885" t="s">
        <v>3170</v>
      </c>
      <c r="D885" t="s">
        <v>3171</v>
      </c>
      <c r="E885" t="s">
        <v>14</v>
      </c>
      <c r="F885" t="s">
        <v>15</v>
      </c>
      <c r="G885">
        <v>15237</v>
      </c>
      <c r="H885" t="s">
        <v>48</v>
      </c>
      <c r="I885">
        <v>94</v>
      </c>
      <c r="J885">
        <v>1</v>
      </c>
      <c r="K885" t="s">
        <v>8131</v>
      </c>
    </row>
    <row r="886" spans="1:11" x14ac:dyDescent="0.25">
      <c r="A886" t="e">
        <f>-UjCvAsvBOr19y8lqPueiQ</f>
        <v>#NAME?</v>
      </c>
      <c r="B886" t="s">
        <v>377</v>
      </c>
      <c r="C886" t="s">
        <v>471</v>
      </c>
      <c r="D886" t="s">
        <v>3172</v>
      </c>
      <c r="E886" t="s">
        <v>14</v>
      </c>
      <c r="F886" t="s">
        <v>15</v>
      </c>
      <c r="G886">
        <v>15206</v>
      </c>
      <c r="H886" t="s">
        <v>43</v>
      </c>
      <c r="I886">
        <v>22</v>
      </c>
      <c r="J886">
        <v>1</v>
      </c>
      <c r="K886" t="s">
        <v>8124</v>
      </c>
    </row>
    <row r="887" spans="1:11" x14ac:dyDescent="0.25">
      <c r="A887" t="s">
        <v>3173</v>
      </c>
      <c r="B887" t="s">
        <v>319</v>
      </c>
      <c r="C887" t="s">
        <v>3174</v>
      </c>
      <c r="D887" t="s">
        <v>3175</v>
      </c>
      <c r="E887" t="s">
        <v>14</v>
      </c>
      <c r="F887" t="s">
        <v>15</v>
      </c>
      <c r="G887">
        <v>15216</v>
      </c>
      <c r="H887" t="s">
        <v>48</v>
      </c>
      <c r="I887">
        <v>6</v>
      </c>
      <c r="J887">
        <v>0</v>
      </c>
      <c r="K887" t="s">
        <v>8120</v>
      </c>
    </row>
    <row r="888" spans="1:11" x14ac:dyDescent="0.25">
      <c r="A888" t="s">
        <v>3176</v>
      </c>
      <c r="B888" t="s">
        <v>3177</v>
      </c>
      <c r="C888" t="s">
        <v>3178</v>
      </c>
      <c r="D888" t="s">
        <v>3179</v>
      </c>
      <c r="E888" t="s">
        <v>14</v>
      </c>
      <c r="F888" t="s">
        <v>15</v>
      </c>
      <c r="G888">
        <v>15206</v>
      </c>
      <c r="H888" t="s">
        <v>16</v>
      </c>
      <c r="I888">
        <v>278</v>
      </c>
      <c r="J888">
        <v>1</v>
      </c>
      <c r="K888" t="s">
        <v>8132</v>
      </c>
    </row>
    <row r="889" spans="1:11" x14ac:dyDescent="0.25">
      <c r="A889" t="s">
        <v>3180</v>
      </c>
      <c r="B889" t="s">
        <v>3181</v>
      </c>
      <c r="C889" t="s">
        <v>3182</v>
      </c>
      <c r="D889" t="s">
        <v>3183</v>
      </c>
      <c r="E889" t="s">
        <v>14</v>
      </c>
      <c r="F889" t="s">
        <v>15</v>
      </c>
      <c r="G889">
        <v>15237</v>
      </c>
      <c r="H889" t="s">
        <v>16</v>
      </c>
      <c r="I889">
        <v>5</v>
      </c>
      <c r="J889">
        <v>1</v>
      </c>
      <c r="K889" t="s">
        <v>8131</v>
      </c>
    </row>
    <row r="890" spans="1:11" x14ac:dyDescent="0.25">
      <c r="A890" t="s">
        <v>3184</v>
      </c>
      <c r="B890" t="s">
        <v>3185</v>
      </c>
      <c r="C890" t="s">
        <v>3186</v>
      </c>
      <c r="E890" t="s">
        <v>14</v>
      </c>
      <c r="F890" t="s">
        <v>15</v>
      </c>
      <c r="G890">
        <v>15222</v>
      </c>
      <c r="H890" t="s">
        <v>16</v>
      </c>
      <c r="I890">
        <v>5</v>
      </c>
      <c r="J890">
        <v>1</v>
      </c>
      <c r="K890" t="s">
        <v>8131</v>
      </c>
    </row>
    <row r="891" spans="1:11" x14ac:dyDescent="0.25">
      <c r="A891" t="s">
        <v>3187</v>
      </c>
      <c r="B891" t="s">
        <v>65</v>
      </c>
      <c r="C891" t="s">
        <v>3188</v>
      </c>
      <c r="D891" t="s">
        <v>3189</v>
      </c>
      <c r="E891" t="s">
        <v>14</v>
      </c>
      <c r="F891" t="s">
        <v>15</v>
      </c>
      <c r="G891">
        <v>15205</v>
      </c>
      <c r="H891" t="s">
        <v>48</v>
      </c>
      <c r="I891">
        <v>57</v>
      </c>
      <c r="J891">
        <v>1</v>
      </c>
      <c r="K891" t="s">
        <v>8131</v>
      </c>
    </row>
    <row r="892" spans="1:11" x14ac:dyDescent="0.25">
      <c r="A892" t="s">
        <v>3190</v>
      </c>
      <c r="B892" t="s">
        <v>3191</v>
      </c>
      <c r="C892" t="s">
        <v>3192</v>
      </c>
      <c r="D892" t="s">
        <v>1131</v>
      </c>
      <c r="E892" t="s">
        <v>14</v>
      </c>
      <c r="F892" t="s">
        <v>15</v>
      </c>
      <c r="G892">
        <v>15222</v>
      </c>
      <c r="H892" t="s">
        <v>16</v>
      </c>
      <c r="I892">
        <v>180</v>
      </c>
      <c r="J892">
        <v>1</v>
      </c>
      <c r="K892" t="s">
        <v>8120</v>
      </c>
    </row>
    <row r="893" spans="1:11" x14ac:dyDescent="0.25">
      <c r="A893" t="s">
        <v>3193</v>
      </c>
      <c r="B893" t="s">
        <v>586</v>
      </c>
      <c r="C893" t="s">
        <v>3194</v>
      </c>
      <c r="D893" t="s">
        <v>1196</v>
      </c>
      <c r="E893" t="s">
        <v>14</v>
      </c>
      <c r="F893" t="s">
        <v>15</v>
      </c>
      <c r="G893">
        <v>15201</v>
      </c>
      <c r="H893" t="s">
        <v>16</v>
      </c>
      <c r="I893">
        <v>21</v>
      </c>
      <c r="J893">
        <v>0</v>
      </c>
      <c r="K893" t="s">
        <v>8120</v>
      </c>
    </row>
    <row r="894" spans="1:11" x14ac:dyDescent="0.25">
      <c r="A894" t="s">
        <v>3195</v>
      </c>
      <c r="B894" t="s">
        <v>3196</v>
      </c>
      <c r="C894" t="s">
        <v>228</v>
      </c>
      <c r="D894" t="s">
        <v>3197</v>
      </c>
      <c r="E894" t="s">
        <v>14</v>
      </c>
      <c r="F894" t="s">
        <v>15</v>
      </c>
      <c r="G894">
        <v>15238</v>
      </c>
      <c r="H894" t="s">
        <v>1028</v>
      </c>
      <c r="I894">
        <v>4</v>
      </c>
      <c r="J894">
        <v>1</v>
      </c>
      <c r="K894" t="s">
        <v>8131</v>
      </c>
    </row>
    <row r="895" spans="1:11" x14ac:dyDescent="0.25">
      <c r="A895" t="s">
        <v>3198</v>
      </c>
      <c r="B895" t="s">
        <v>3199</v>
      </c>
      <c r="C895" t="s">
        <v>1762</v>
      </c>
      <c r="D895" t="s">
        <v>3200</v>
      </c>
      <c r="E895" t="s">
        <v>14</v>
      </c>
      <c r="F895" t="s">
        <v>15</v>
      </c>
      <c r="G895">
        <v>15222</v>
      </c>
      <c r="H895" t="s">
        <v>34</v>
      </c>
      <c r="I895">
        <v>54</v>
      </c>
      <c r="J895">
        <v>1</v>
      </c>
      <c r="K895" t="s">
        <v>8131</v>
      </c>
    </row>
    <row r="896" spans="1:11" x14ac:dyDescent="0.25">
      <c r="A896" t="s">
        <v>3201</v>
      </c>
      <c r="B896" t="s">
        <v>65</v>
      </c>
      <c r="C896" t="s">
        <v>3202</v>
      </c>
      <c r="D896" t="s">
        <v>3203</v>
      </c>
      <c r="E896" t="s">
        <v>14</v>
      </c>
      <c r="F896" t="s">
        <v>15</v>
      </c>
      <c r="G896">
        <v>15241</v>
      </c>
      <c r="H896" t="s">
        <v>16</v>
      </c>
      <c r="I896">
        <v>30</v>
      </c>
      <c r="J896">
        <v>1</v>
      </c>
      <c r="K896" t="s">
        <v>8131</v>
      </c>
    </row>
    <row r="897" spans="1:11" x14ac:dyDescent="0.25">
      <c r="A897" t="s">
        <v>3204</v>
      </c>
      <c r="B897" t="s">
        <v>3205</v>
      </c>
      <c r="C897" t="s">
        <v>3206</v>
      </c>
      <c r="D897" t="s">
        <v>3207</v>
      </c>
      <c r="E897" t="s">
        <v>14</v>
      </c>
      <c r="F897" t="s">
        <v>15</v>
      </c>
      <c r="G897">
        <v>15222</v>
      </c>
      <c r="H897" t="s">
        <v>16</v>
      </c>
      <c r="I897">
        <v>90</v>
      </c>
      <c r="J897">
        <v>1</v>
      </c>
      <c r="K897" t="s">
        <v>8124</v>
      </c>
    </row>
    <row r="898" spans="1:11" x14ac:dyDescent="0.25">
      <c r="A898" t="s">
        <v>3208</v>
      </c>
      <c r="B898" t="s">
        <v>3209</v>
      </c>
      <c r="C898" t="s">
        <v>1575</v>
      </c>
      <c r="D898" t="s">
        <v>3210</v>
      </c>
      <c r="E898" t="s">
        <v>14</v>
      </c>
      <c r="F898" t="s">
        <v>15</v>
      </c>
      <c r="G898">
        <v>15239</v>
      </c>
      <c r="H898" t="s">
        <v>113</v>
      </c>
      <c r="I898">
        <v>8</v>
      </c>
      <c r="J898">
        <v>1</v>
      </c>
      <c r="K898" t="s">
        <v>8131</v>
      </c>
    </row>
    <row r="899" spans="1:11" x14ac:dyDescent="0.25">
      <c r="A899" t="s">
        <v>3211</v>
      </c>
      <c r="B899" t="s">
        <v>3212</v>
      </c>
      <c r="C899" t="s">
        <v>147</v>
      </c>
      <c r="D899" t="s">
        <v>3213</v>
      </c>
      <c r="E899" t="s">
        <v>14</v>
      </c>
      <c r="F899" t="s">
        <v>15</v>
      </c>
      <c r="G899">
        <v>15205</v>
      </c>
      <c r="H899" t="s">
        <v>48</v>
      </c>
      <c r="I899">
        <v>140</v>
      </c>
      <c r="J899">
        <v>1</v>
      </c>
      <c r="K899" t="s">
        <v>8131</v>
      </c>
    </row>
    <row r="900" spans="1:11" x14ac:dyDescent="0.25">
      <c r="A900" t="s">
        <v>3214</v>
      </c>
      <c r="B900" t="s">
        <v>3215</v>
      </c>
      <c r="C900" t="s">
        <v>32</v>
      </c>
      <c r="D900" t="s">
        <v>3216</v>
      </c>
      <c r="E900" t="s">
        <v>14</v>
      </c>
      <c r="F900" t="s">
        <v>15</v>
      </c>
      <c r="G900">
        <v>15221</v>
      </c>
      <c r="H900" t="s">
        <v>43</v>
      </c>
      <c r="I900">
        <v>3</v>
      </c>
      <c r="J900">
        <v>1</v>
      </c>
      <c r="K900" t="s">
        <v>8131</v>
      </c>
    </row>
    <row r="901" spans="1:11" x14ac:dyDescent="0.25">
      <c r="A901" t="s">
        <v>3217</v>
      </c>
      <c r="B901" t="s">
        <v>65</v>
      </c>
      <c r="C901" t="s">
        <v>3218</v>
      </c>
      <c r="D901" t="s">
        <v>3219</v>
      </c>
      <c r="E901" t="s">
        <v>14</v>
      </c>
      <c r="F901" t="s">
        <v>15</v>
      </c>
      <c r="G901">
        <v>15236</v>
      </c>
      <c r="H901" t="s">
        <v>16</v>
      </c>
      <c r="I901">
        <v>19</v>
      </c>
      <c r="J901">
        <v>0</v>
      </c>
      <c r="K901" t="s">
        <v>8131</v>
      </c>
    </row>
    <row r="902" spans="1:11" x14ac:dyDescent="0.25">
      <c r="A902" t="s">
        <v>3220</v>
      </c>
      <c r="B902" t="s">
        <v>3221</v>
      </c>
      <c r="C902" t="s">
        <v>3222</v>
      </c>
      <c r="D902" t="s">
        <v>3223</v>
      </c>
      <c r="E902" t="s">
        <v>14</v>
      </c>
      <c r="F902" t="s">
        <v>15</v>
      </c>
      <c r="G902">
        <v>15212</v>
      </c>
      <c r="H902" t="s">
        <v>48</v>
      </c>
      <c r="I902">
        <v>26</v>
      </c>
      <c r="J902">
        <v>1</v>
      </c>
      <c r="K902" t="s">
        <v>8131</v>
      </c>
    </row>
    <row r="903" spans="1:11" x14ac:dyDescent="0.25">
      <c r="A903" t="s">
        <v>3224</v>
      </c>
      <c r="B903" t="s">
        <v>3225</v>
      </c>
      <c r="C903" t="s">
        <v>3226</v>
      </c>
      <c r="E903" t="s">
        <v>14</v>
      </c>
      <c r="F903" t="s">
        <v>15</v>
      </c>
      <c r="G903">
        <v>15213</v>
      </c>
      <c r="H903" t="s">
        <v>34</v>
      </c>
      <c r="I903">
        <v>5</v>
      </c>
      <c r="J903">
        <v>1</v>
      </c>
      <c r="K903" t="s">
        <v>8131</v>
      </c>
    </row>
    <row r="904" spans="1:11" x14ac:dyDescent="0.25">
      <c r="A904" t="s">
        <v>3227</v>
      </c>
      <c r="B904" t="s">
        <v>1490</v>
      </c>
      <c r="C904" t="s">
        <v>3228</v>
      </c>
      <c r="D904" t="s">
        <v>3229</v>
      </c>
      <c r="E904" t="s">
        <v>14</v>
      </c>
      <c r="F904" t="s">
        <v>15</v>
      </c>
      <c r="G904">
        <v>15235</v>
      </c>
      <c r="H904" t="s">
        <v>113</v>
      </c>
      <c r="I904">
        <v>5</v>
      </c>
      <c r="J904">
        <v>1</v>
      </c>
      <c r="K904" t="s">
        <v>8131</v>
      </c>
    </row>
    <row r="905" spans="1:11" x14ac:dyDescent="0.25">
      <c r="A905" t="s">
        <v>3230</v>
      </c>
      <c r="B905" t="s">
        <v>3231</v>
      </c>
      <c r="C905" t="s">
        <v>3232</v>
      </c>
      <c r="D905" t="s">
        <v>3233</v>
      </c>
      <c r="E905" t="s">
        <v>14</v>
      </c>
      <c r="F905" t="s">
        <v>15</v>
      </c>
      <c r="G905">
        <v>15222</v>
      </c>
      <c r="H905" t="s">
        <v>48</v>
      </c>
      <c r="I905">
        <v>22</v>
      </c>
      <c r="J905">
        <v>0</v>
      </c>
      <c r="K905" t="s">
        <v>8131</v>
      </c>
    </row>
    <row r="906" spans="1:11" x14ac:dyDescent="0.25">
      <c r="A906" t="s">
        <v>3234</v>
      </c>
      <c r="B906" t="s">
        <v>3235</v>
      </c>
      <c r="C906" t="s">
        <v>3236</v>
      </c>
      <c r="D906" t="s">
        <v>3237</v>
      </c>
      <c r="E906" t="s">
        <v>14</v>
      </c>
      <c r="F906" t="s">
        <v>15</v>
      </c>
      <c r="G906">
        <v>15222</v>
      </c>
      <c r="H906" t="s">
        <v>16</v>
      </c>
      <c r="I906">
        <v>279</v>
      </c>
      <c r="J906">
        <v>1</v>
      </c>
      <c r="K906" t="s">
        <v>8131</v>
      </c>
    </row>
    <row r="907" spans="1:11" x14ac:dyDescent="0.25">
      <c r="A907" t="s">
        <v>3238</v>
      </c>
      <c r="B907" t="s">
        <v>3239</v>
      </c>
      <c r="C907" t="s">
        <v>3240</v>
      </c>
      <c r="D907" t="s">
        <v>59</v>
      </c>
      <c r="E907" t="s">
        <v>14</v>
      </c>
      <c r="F907" t="s">
        <v>15</v>
      </c>
      <c r="G907">
        <v>15213</v>
      </c>
      <c r="H907" t="s">
        <v>48</v>
      </c>
      <c r="I907">
        <v>101</v>
      </c>
      <c r="J907">
        <v>0</v>
      </c>
      <c r="K907" t="s">
        <v>8119</v>
      </c>
    </row>
    <row r="908" spans="1:11" x14ac:dyDescent="0.25">
      <c r="A908" t="s">
        <v>3241</v>
      </c>
      <c r="B908" t="s">
        <v>3242</v>
      </c>
      <c r="C908" t="s">
        <v>3243</v>
      </c>
      <c r="D908" t="s">
        <v>3244</v>
      </c>
      <c r="E908" t="s">
        <v>14</v>
      </c>
      <c r="F908" t="s">
        <v>15</v>
      </c>
      <c r="G908">
        <v>15219</v>
      </c>
      <c r="H908" t="s">
        <v>34</v>
      </c>
      <c r="I908">
        <v>10</v>
      </c>
      <c r="J908">
        <v>0</v>
      </c>
      <c r="K908" t="s">
        <v>8131</v>
      </c>
    </row>
    <row r="909" spans="1:11" x14ac:dyDescent="0.25">
      <c r="A909" t="s">
        <v>3245</v>
      </c>
      <c r="B909" t="s">
        <v>3246</v>
      </c>
      <c r="C909" t="s">
        <v>3247</v>
      </c>
      <c r="D909" t="s">
        <v>253</v>
      </c>
      <c r="E909" t="s">
        <v>14</v>
      </c>
      <c r="F909" t="s">
        <v>15</v>
      </c>
      <c r="G909">
        <v>15205</v>
      </c>
      <c r="H909" t="s">
        <v>34</v>
      </c>
      <c r="I909">
        <v>3</v>
      </c>
      <c r="J909">
        <v>1</v>
      </c>
      <c r="K909" t="s">
        <v>8131</v>
      </c>
    </row>
    <row r="910" spans="1:11" x14ac:dyDescent="0.25">
      <c r="A910" t="s">
        <v>3248</v>
      </c>
      <c r="B910" t="s">
        <v>2549</v>
      </c>
      <c r="C910" t="s">
        <v>340</v>
      </c>
      <c r="D910" t="s">
        <v>3249</v>
      </c>
      <c r="E910" t="s">
        <v>14</v>
      </c>
      <c r="F910" t="s">
        <v>15</v>
      </c>
      <c r="G910">
        <v>15235</v>
      </c>
      <c r="H910" t="s">
        <v>43</v>
      </c>
      <c r="I910">
        <v>6</v>
      </c>
      <c r="J910">
        <v>1</v>
      </c>
      <c r="K910" t="s">
        <v>8131</v>
      </c>
    </row>
    <row r="911" spans="1:11" x14ac:dyDescent="0.25">
      <c r="A911" t="s">
        <v>3250</v>
      </c>
      <c r="B911" t="s">
        <v>3251</v>
      </c>
      <c r="C911" t="s">
        <v>3252</v>
      </c>
      <c r="D911" t="s">
        <v>3253</v>
      </c>
      <c r="E911" t="s">
        <v>14</v>
      </c>
      <c r="F911" t="s">
        <v>15</v>
      </c>
      <c r="G911">
        <v>15237</v>
      </c>
      <c r="H911" t="s">
        <v>16</v>
      </c>
      <c r="I911">
        <v>36</v>
      </c>
      <c r="J911">
        <v>1</v>
      </c>
      <c r="K911" t="s">
        <v>8131</v>
      </c>
    </row>
    <row r="912" spans="1:11" x14ac:dyDescent="0.25">
      <c r="A912" t="s">
        <v>3254</v>
      </c>
      <c r="B912" t="s">
        <v>3255</v>
      </c>
      <c r="C912" t="s">
        <v>3256</v>
      </c>
      <c r="D912" t="s">
        <v>3257</v>
      </c>
      <c r="E912" t="s">
        <v>14</v>
      </c>
      <c r="F912" t="s">
        <v>15</v>
      </c>
      <c r="G912">
        <v>15222</v>
      </c>
      <c r="H912" t="s">
        <v>21</v>
      </c>
      <c r="I912">
        <v>66</v>
      </c>
      <c r="J912">
        <v>1</v>
      </c>
      <c r="K912" t="s">
        <v>8131</v>
      </c>
    </row>
    <row r="913" spans="1:11" x14ac:dyDescent="0.25">
      <c r="A913" t="s">
        <v>3258</v>
      </c>
      <c r="B913" t="s">
        <v>3259</v>
      </c>
      <c r="C913" t="s">
        <v>1464</v>
      </c>
      <c r="D913" t="s">
        <v>3260</v>
      </c>
      <c r="E913" t="s">
        <v>14</v>
      </c>
      <c r="F913" t="s">
        <v>15</v>
      </c>
      <c r="G913">
        <v>15202</v>
      </c>
      <c r="H913" t="s">
        <v>34</v>
      </c>
      <c r="I913">
        <v>6</v>
      </c>
      <c r="J913">
        <v>1</v>
      </c>
      <c r="K913" t="s">
        <v>8131</v>
      </c>
    </row>
    <row r="914" spans="1:11" x14ac:dyDescent="0.25">
      <c r="A914" t="s">
        <v>3261</v>
      </c>
      <c r="B914" t="s">
        <v>877</v>
      </c>
      <c r="C914" t="s">
        <v>2847</v>
      </c>
      <c r="D914" t="s">
        <v>3262</v>
      </c>
      <c r="E914" t="s">
        <v>14</v>
      </c>
      <c r="F914" t="s">
        <v>15</v>
      </c>
      <c r="G914">
        <v>15234</v>
      </c>
      <c r="H914" t="s">
        <v>48</v>
      </c>
      <c r="I914">
        <v>46</v>
      </c>
      <c r="J914">
        <v>1</v>
      </c>
      <c r="K914" t="s">
        <v>8131</v>
      </c>
    </row>
    <row r="915" spans="1:11" x14ac:dyDescent="0.25">
      <c r="A915" t="s">
        <v>3263</v>
      </c>
      <c r="B915" t="s">
        <v>3264</v>
      </c>
      <c r="C915" t="s">
        <v>3265</v>
      </c>
      <c r="D915" t="s">
        <v>1924</v>
      </c>
      <c r="E915" t="s">
        <v>14</v>
      </c>
      <c r="F915" t="s">
        <v>15</v>
      </c>
      <c r="G915">
        <v>15231</v>
      </c>
      <c r="H915" t="s">
        <v>43</v>
      </c>
      <c r="I915">
        <v>7</v>
      </c>
      <c r="J915">
        <v>1</v>
      </c>
      <c r="K915" t="s">
        <v>8131</v>
      </c>
    </row>
    <row r="916" spans="1:11" x14ac:dyDescent="0.25">
      <c r="A916" t="s">
        <v>3266</v>
      </c>
      <c r="B916" t="s">
        <v>3267</v>
      </c>
      <c r="C916" t="s">
        <v>3268</v>
      </c>
      <c r="D916" t="s">
        <v>3269</v>
      </c>
      <c r="E916" t="s">
        <v>14</v>
      </c>
      <c r="F916" t="s">
        <v>15</v>
      </c>
      <c r="G916">
        <v>15219</v>
      </c>
      <c r="H916" t="s">
        <v>16</v>
      </c>
      <c r="I916">
        <v>20</v>
      </c>
      <c r="J916">
        <v>1</v>
      </c>
      <c r="K916" t="s">
        <v>8131</v>
      </c>
    </row>
    <row r="917" spans="1:11" x14ac:dyDescent="0.25">
      <c r="A917" t="s">
        <v>3270</v>
      </c>
      <c r="B917" t="s">
        <v>2009</v>
      </c>
      <c r="C917" t="s">
        <v>3271</v>
      </c>
      <c r="D917" t="s">
        <v>3272</v>
      </c>
      <c r="E917" t="s">
        <v>14</v>
      </c>
      <c r="F917" t="s">
        <v>15</v>
      </c>
      <c r="G917">
        <v>15203</v>
      </c>
      <c r="H917" t="s">
        <v>34</v>
      </c>
      <c r="I917">
        <v>3</v>
      </c>
      <c r="J917">
        <v>0</v>
      </c>
      <c r="K917" t="s">
        <v>8131</v>
      </c>
    </row>
    <row r="918" spans="1:11" x14ac:dyDescent="0.25">
      <c r="A918" t="s">
        <v>3273</v>
      </c>
      <c r="B918" t="s">
        <v>3274</v>
      </c>
      <c r="C918" t="s">
        <v>3275</v>
      </c>
      <c r="D918" t="s">
        <v>3276</v>
      </c>
      <c r="E918" t="s">
        <v>14</v>
      </c>
      <c r="F918" t="s">
        <v>15</v>
      </c>
      <c r="G918">
        <v>15201</v>
      </c>
      <c r="H918" t="s">
        <v>16</v>
      </c>
      <c r="I918">
        <v>144</v>
      </c>
      <c r="J918">
        <v>0</v>
      </c>
      <c r="K918" t="s">
        <v>8131</v>
      </c>
    </row>
    <row r="919" spans="1:11" x14ac:dyDescent="0.25">
      <c r="A919" t="s">
        <v>3277</v>
      </c>
      <c r="B919" t="s">
        <v>3278</v>
      </c>
      <c r="C919" t="s">
        <v>3279</v>
      </c>
      <c r="D919" t="s">
        <v>3280</v>
      </c>
      <c r="E919" t="s">
        <v>14</v>
      </c>
      <c r="F919" t="s">
        <v>15</v>
      </c>
      <c r="G919">
        <v>15212</v>
      </c>
      <c r="H919" t="s">
        <v>21</v>
      </c>
      <c r="I919">
        <v>10</v>
      </c>
      <c r="J919">
        <v>0</v>
      </c>
      <c r="K919" t="s">
        <v>8131</v>
      </c>
    </row>
    <row r="920" spans="1:11" x14ac:dyDescent="0.25">
      <c r="A920" t="s">
        <v>3281</v>
      </c>
      <c r="B920" t="s">
        <v>36</v>
      </c>
      <c r="C920" t="s">
        <v>856</v>
      </c>
      <c r="D920" t="s">
        <v>321</v>
      </c>
      <c r="E920" t="s">
        <v>14</v>
      </c>
      <c r="F920" t="s">
        <v>15</v>
      </c>
      <c r="G920">
        <v>15219</v>
      </c>
      <c r="H920" t="s">
        <v>157</v>
      </c>
      <c r="I920">
        <v>3</v>
      </c>
      <c r="J920">
        <v>1</v>
      </c>
      <c r="K920" t="s">
        <v>8131</v>
      </c>
    </row>
    <row r="921" spans="1:11" x14ac:dyDescent="0.25">
      <c r="A921" t="s">
        <v>3282</v>
      </c>
      <c r="B921" t="s">
        <v>1881</v>
      </c>
      <c r="C921" t="s">
        <v>3283</v>
      </c>
      <c r="D921" t="s">
        <v>3284</v>
      </c>
      <c r="E921" t="s">
        <v>14</v>
      </c>
      <c r="F921" t="s">
        <v>15</v>
      </c>
      <c r="G921">
        <v>15237</v>
      </c>
      <c r="H921" t="s">
        <v>43</v>
      </c>
      <c r="I921">
        <v>68</v>
      </c>
      <c r="J921">
        <v>1</v>
      </c>
      <c r="K921" t="s">
        <v>8131</v>
      </c>
    </row>
    <row r="922" spans="1:11" x14ac:dyDescent="0.25">
      <c r="A922" t="s">
        <v>3285</v>
      </c>
      <c r="B922" t="s">
        <v>3286</v>
      </c>
      <c r="C922" t="s">
        <v>3287</v>
      </c>
      <c r="D922" t="s">
        <v>3288</v>
      </c>
      <c r="E922" t="s">
        <v>14</v>
      </c>
      <c r="F922" t="s">
        <v>15</v>
      </c>
      <c r="G922">
        <v>15222</v>
      </c>
      <c r="H922" t="s">
        <v>21</v>
      </c>
      <c r="I922">
        <v>7</v>
      </c>
      <c r="J922">
        <v>1</v>
      </c>
      <c r="K922" t="s">
        <v>8122</v>
      </c>
    </row>
    <row r="923" spans="1:11" x14ac:dyDescent="0.25">
      <c r="A923" t="s">
        <v>3289</v>
      </c>
      <c r="B923" t="s">
        <v>3290</v>
      </c>
      <c r="C923" t="s">
        <v>3291</v>
      </c>
      <c r="D923" t="s">
        <v>2136</v>
      </c>
      <c r="E923" t="s">
        <v>14</v>
      </c>
      <c r="F923" t="s">
        <v>15</v>
      </c>
      <c r="G923">
        <v>15217</v>
      </c>
      <c r="H923" t="s">
        <v>16</v>
      </c>
      <c r="I923">
        <v>137</v>
      </c>
      <c r="J923">
        <v>1</v>
      </c>
      <c r="K923" t="s">
        <v>8131</v>
      </c>
    </row>
    <row r="924" spans="1:11" x14ac:dyDescent="0.25">
      <c r="A924" t="s">
        <v>3292</v>
      </c>
      <c r="B924" t="s">
        <v>3293</v>
      </c>
      <c r="C924" t="s">
        <v>3294</v>
      </c>
      <c r="D924" t="s">
        <v>3295</v>
      </c>
      <c r="E924" t="s">
        <v>14</v>
      </c>
      <c r="F924" t="s">
        <v>15</v>
      </c>
      <c r="G924">
        <v>15208</v>
      </c>
      <c r="H924" t="s">
        <v>48</v>
      </c>
      <c r="I924">
        <v>61</v>
      </c>
      <c r="J924">
        <v>1</v>
      </c>
      <c r="K924" t="s">
        <v>8131</v>
      </c>
    </row>
    <row r="925" spans="1:11" x14ac:dyDescent="0.25">
      <c r="A925" t="s">
        <v>3296</v>
      </c>
      <c r="B925" t="s">
        <v>3297</v>
      </c>
      <c r="C925" t="s">
        <v>3298</v>
      </c>
      <c r="D925" t="s">
        <v>3299</v>
      </c>
      <c r="E925" t="s">
        <v>14</v>
      </c>
      <c r="F925" t="s">
        <v>15</v>
      </c>
      <c r="G925">
        <v>15212</v>
      </c>
      <c r="H925" t="s">
        <v>92</v>
      </c>
      <c r="I925">
        <v>8</v>
      </c>
      <c r="J925">
        <v>1</v>
      </c>
      <c r="K925" t="s">
        <v>8131</v>
      </c>
    </row>
    <row r="926" spans="1:11" x14ac:dyDescent="0.25">
      <c r="A926" t="s">
        <v>3300</v>
      </c>
      <c r="B926" t="s">
        <v>447</v>
      </c>
      <c r="C926" t="s">
        <v>448</v>
      </c>
      <c r="D926" t="s">
        <v>3207</v>
      </c>
      <c r="E926" t="s">
        <v>14</v>
      </c>
      <c r="F926" t="s">
        <v>15</v>
      </c>
      <c r="G926">
        <v>15222</v>
      </c>
      <c r="H926" t="s">
        <v>34</v>
      </c>
      <c r="I926">
        <v>22</v>
      </c>
      <c r="J926">
        <v>0</v>
      </c>
      <c r="K926" t="s">
        <v>8122</v>
      </c>
    </row>
    <row r="927" spans="1:11" x14ac:dyDescent="0.25">
      <c r="A927" t="s">
        <v>3301</v>
      </c>
      <c r="B927" t="s">
        <v>3302</v>
      </c>
      <c r="C927" t="s">
        <v>3303</v>
      </c>
      <c r="D927" t="s">
        <v>3304</v>
      </c>
      <c r="E927" t="s">
        <v>14</v>
      </c>
      <c r="F927" t="s">
        <v>15</v>
      </c>
      <c r="G927">
        <v>15235</v>
      </c>
      <c r="H927" t="s">
        <v>34</v>
      </c>
      <c r="I927">
        <v>3</v>
      </c>
      <c r="J927">
        <v>1</v>
      </c>
      <c r="K927" t="s">
        <v>8131</v>
      </c>
    </row>
    <row r="928" spans="1:11" x14ac:dyDescent="0.25">
      <c r="A928" t="s">
        <v>3305</v>
      </c>
      <c r="B928" t="s">
        <v>263</v>
      </c>
      <c r="C928" t="s">
        <v>3306</v>
      </c>
      <c r="D928" t="s">
        <v>3307</v>
      </c>
      <c r="E928" t="s">
        <v>14</v>
      </c>
      <c r="F928" t="s">
        <v>15</v>
      </c>
      <c r="G928">
        <v>15203</v>
      </c>
      <c r="H928" t="s">
        <v>16</v>
      </c>
      <c r="I928">
        <v>715</v>
      </c>
      <c r="J928">
        <v>1</v>
      </c>
      <c r="K928" t="s">
        <v>8131</v>
      </c>
    </row>
    <row r="929" spans="1:11" x14ac:dyDescent="0.25">
      <c r="A929" t="s">
        <v>3308</v>
      </c>
      <c r="B929" t="s">
        <v>3309</v>
      </c>
      <c r="C929" t="s">
        <v>419</v>
      </c>
      <c r="D929" t="s">
        <v>3310</v>
      </c>
      <c r="E929" t="s">
        <v>14</v>
      </c>
      <c r="F929" t="s">
        <v>15</v>
      </c>
      <c r="G929">
        <v>15219</v>
      </c>
      <c r="H929" t="s">
        <v>157</v>
      </c>
      <c r="I929">
        <v>18</v>
      </c>
      <c r="J929">
        <v>1</v>
      </c>
      <c r="K929" t="s">
        <v>8131</v>
      </c>
    </row>
    <row r="930" spans="1:11" x14ac:dyDescent="0.25">
      <c r="A930" t="s">
        <v>3311</v>
      </c>
      <c r="B930" t="s">
        <v>239</v>
      </c>
      <c r="C930" t="s">
        <v>3312</v>
      </c>
      <c r="D930" t="s">
        <v>3313</v>
      </c>
      <c r="E930" t="s">
        <v>14</v>
      </c>
      <c r="F930" t="s">
        <v>15</v>
      </c>
      <c r="G930">
        <v>15238</v>
      </c>
      <c r="H930" t="s">
        <v>34</v>
      </c>
      <c r="I930">
        <v>4</v>
      </c>
      <c r="J930">
        <v>0</v>
      </c>
      <c r="K930" t="s">
        <v>8122</v>
      </c>
    </row>
    <row r="931" spans="1:11" x14ac:dyDescent="0.25">
      <c r="A931" t="s">
        <v>3314</v>
      </c>
      <c r="B931" t="s">
        <v>3315</v>
      </c>
      <c r="C931" t="s">
        <v>3316</v>
      </c>
      <c r="D931" t="s">
        <v>2205</v>
      </c>
      <c r="E931" t="s">
        <v>14</v>
      </c>
      <c r="F931" t="s">
        <v>15</v>
      </c>
      <c r="G931">
        <v>15238</v>
      </c>
      <c r="H931" t="s">
        <v>113</v>
      </c>
      <c r="I931">
        <v>9</v>
      </c>
      <c r="J931">
        <v>1</v>
      </c>
      <c r="K931" t="s">
        <v>8124</v>
      </c>
    </row>
    <row r="932" spans="1:11" x14ac:dyDescent="0.25">
      <c r="A932" t="s">
        <v>3317</v>
      </c>
      <c r="B932" t="s">
        <v>3318</v>
      </c>
      <c r="C932" t="s">
        <v>3319</v>
      </c>
      <c r="D932" t="s">
        <v>3320</v>
      </c>
      <c r="E932" t="s">
        <v>14</v>
      </c>
      <c r="F932" t="s">
        <v>15</v>
      </c>
      <c r="G932">
        <v>15206</v>
      </c>
      <c r="H932" t="s">
        <v>48</v>
      </c>
      <c r="I932">
        <v>173</v>
      </c>
      <c r="J932">
        <v>0</v>
      </c>
      <c r="K932" t="s">
        <v>8132</v>
      </c>
    </row>
    <row r="933" spans="1:11" x14ac:dyDescent="0.25">
      <c r="A933" t="s">
        <v>3321</v>
      </c>
      <c r="B933" t="s">
        <v>3322</v>
      </c>
      <c r="C933" t="s">
        <v>3323</v>
      </c>
      <c r="D933" t="s">
        <v>3324</v>
      </c>
      <c r="E933" t="s">
        <v>14</v>
      </c>
      <c r="F933" t="s">
        <v>15</v>
      </c>
      <c r="G933">
        <v>15201</v>
      </c>
      <c r="H933" t="s">
        <v>48</v>
      </c>
      <c r="I933">
        <v>72</v>
      </c>
      <c r="J933">
        <v>1</v>
      </c>
      <c r="K933" t="s">
        <v>8131</v>
      </c>
    </row>
    <row r="934" spans="1:11" x14ac:dyDescent="0.25">
      <c r="A934" t="s">
        <v>3325</v>
      </c>
      <c r="B934" t="s">
        <v>3326</v>
      </c>
      <c r="C934" t="s">
        <v>3327</v>
      </c>
      <c r="D934" t="s">
        <v>2735</v>
      </c>
      <c r="E934" t="s">
        <v>14</v>
      </c>
      <c r="F934" t="s">
        <v>15</v>
      </c>
      <c r="G934">
        <v>15206</v>
      </c>
      <c r="H934" t="s">
        <v>16</v>
      </c>
      <c r="I934">
        <v>271</v>
      </c>
      <c r="J934">
        <v>0</v>
      </c>
      <c r="K934" t="s">
        <v>8131</v>
      </c>
    </row>
    <row r="935" spans="1:11" x14ac:dyDescent="0.25">
      <c r="A935" t="s">
        <v>3328</v>
      </c>
      <c r="B935" t="s">
        <v>298</v>
      </c>
      <c r="C935" t="s">
        <v>32</v>
      </c>
      <c r="D935" t="s">
        <v>3329</v>
      </c>
      <c r="E935" t="s">
        <v>14</v>
      </c>
      <c r="F935" t="s">
        <v>15</v>
      </c>
      <c r="G935">
        <v>15222</v>
      </c>
      <c r="H935" t="s">
        <v>43</v>
      </c>
      <c r="I935">
        <v>7</v>
      </c>
      <c r="J935">
        <v>0</v>
      </c>
      <c r="K935" t="s">
        <v>8131</v>
      </c>
    </row>
    <row r="936" spans="1:11" x14ac:dyDescent="0.25">
      <c r="A936" t="s">
        <v>3330</v>
      </c>
      <c r="B936" t="s">
        <v>2353</v>
      </c>
      <c r="C936" t="s">
        <v>3331</v>
      </c>
      <c r="D936" t="s">
        <v>2403</v>
      </c>
      <c r="E936" t="s">
        <v>14</v>
      </c>
      <c r="F936" t="s">
        <v>15</v>
      </c>
      <c r="G936">
        <v>15226</v>
      </c>
      <c r="H936" t="s">
        <v>16</v>
      </c>
      <c r="I936">
        <v>9</v>
      </c>
      <c r="J936">
        <v>0</v>
      </c>
      <c r="K936" t="s">
        <v>8131</v>
      </c>
    </row>
    <row r="937" spans="1:11" x14ac:dyDescent="0.25">
      <c r="A937" t="s">
        <v>3332</v>
      </c>
      <c r="B937" t="s">
        <v>2090</v>
      </c>
      <c r="C937" t="s">
        <v>2013</v>
      </c>
      <c r="D937" t="s">
        <v>3333</v>
      </c>
      <c r="E937" t="s">
        <v>14</v>
      </c>
      <c r="F937" t="s">
        <v>15</v>
      </c>
      <c r="G937">
        <v>15216</v>
      </c>
      <c r="H937" t="s">
        <v>113</v>
      </c>
      <c r="I937">
        <v>9</v>
      </c>
      <c r="J937">
        <v>1</v>
      </c>
      <c r="K937" t="s">
        <v>8131</v>
      </c>
    </row>
    <row r="938" spans="1:11" x14ac:dyDescent="0.25">
      <c r="A938" t="s">
        <v>3334</v>
      </c>
      <c r="B938" t="s">
        <v>3335</v>
      </c>
      <c r="C938" t="s">
        <v>3336</v>
      </c>
      <c r="D938" t="s">
        <v>3337</v>
      </c>
      <c r="E938" t="s">
        <v>14</v>
      </c>
      <c r="F938" t="s">
        <v>15</v>
      </c>
      <c r="G938">
        <v>15238</v>
      </c>
      <c r="H938" t="s">
        <v>21</v>
      </c>
      <c r="I938">
        <v>43</v>
      </c>
      <c r="J938">
        <v>1</v>
      </c>
      <c r="K938" t="s">
        <v>8131</v>
      </c>
    </row>
    <row r="939" spans="1:11" x14ac:dyDescent="0.25">
      <c r="A939" t="s">
        <v>3338</v>
      </c>
      <c r="B939" t="s">
        <v>3339</v>
      </c>
      <c r="C939" t="s">
        <v>2065</v>
      </c>
      <c r="D939" t="s">
        <v>3340</v>
      </c>
      <c r="E939" t="s">
        <v>14</v>
      </c>
      <c r="F939" t="s">
        <v>15</v>
      </c>
      <c r="G939">
        <v>15220</v>
      </c>
      <c r="H939" t="s">
        <v>34</v>
      </c>
      <c r="I939">
        <v>30</v>
      </c>
      <c r="J939">
        <v>1</v>
      </c>
      <c r="K939" t="s">
        <v>8131</v>
      </c>
    </row>
    <row r="940" spans="1:11" x14ac:dyDescent="0.25">
      <c r="A940" t="s">
        <v>3341</v>
      </c>
      <c r="B940" t="s">
        <v>3342</v>
      </c>
      <c r="C940" t="s">
        <v>3343</v>
      </c>
      <c r="D940" t="s">
        <v>3344</v>
      </c>
      <c r="E940" t="s">
        <v>14</v>
      </c>
      <c r="F940" t="s">
        <v>15</v>
      </c>
      <c r="G940">
        <v>15220</v>
      </c>
      <c r="H940" t="s">
        <v>48</v>
      </c>
      <c r="I940">
        <v>32</v>
      </c>
      <c r="J940">
        <v>1</v>
      </c>
      <c r="K940" t="s">
        <v>8131</v>
      </c>
    </row>
    <row r="941" spans="1:11" x14ac:dyDescent="0.25">
      <c r="A941" t="s">
        <v>3345</v>
      </c>
      <c r="B941" t="s">
        <v>3346</v>
      </c>
      <c r="C941" t="s">
        <v>3347</v>
      </c>
      <c r="D941" t="s">
        <v>3348</v>
      </c>
      <c r="E941" t="s">
        <v>14</v>
      </c>
      <c r="F941" t="s">
        <v>15</v>
      </c>
      <c r="G941">
        <v>15233</v>
      </c>
      <c r="H941" t="s">
        <v>34</v>
      </c>
      <c r="I941">
        <v>5</v>
      </c>
      <c r="J941">
        <v>0</v>
      </c>
      <c r="K941" t="s">
        <v>8125</v>
      </c>
    </row>
    <row r="942" spans="1:11" x14ac:dyDescent="0.25">
      <c r="A942" t="s">
        <v>3349</v>
      </c>
      <c r="B942" t="s">
        <v>3350</v>
      </c>
      <c r="C942" t="s">
        <v>3351</v>
      </c>
      <c r="D942" t="s">
        <v>3352</v>
      </c>
      <c r="E942" t="s">
        <v>14</v>
      </c>
      <c r="F942" t="s">
        <v>15</v>
      </c>
      <c r="G942">
        <v>15228</v>
      </c>
      <c r="H942" t="s">
        <v>48</v>
      </c>
      <c r="I942">
        <v>50</v>
      </c>
      <c r="J942">
        <v>1</v>
      </c>
      <c r="K942" t="s">
        <v>8120</v>
      </c>
    </row>
    <row r="943" spans="1:11" x14ac:dyDescent="0.25">
      <c r="A943" t="s">
        <v>3353</v>
      </c>
      <c r="B943" t="s">
        <v>3354</v>
      </c>
      <c r="C943" t="s">
        <v>3355</v>
      </c>
      <c r="D943" t="s">
        <v>3356</v>
      </c>
      <c r="E943" t="s">
        <v>14</v>
      </c>
      <c r="F943" t="s">
        <v>15</v>
      </c>
      <c r="G943">
        <v>15224</v>
      </c>
      <c r="H943" t="s">
        <v>21</v>
      </c>
      <c r="I943">
        <v>73</v>
      </c>
      <c r="J943">
        <v>1</v>
      </c>
      <c r="K943" t="s">
        <v>8122</v>
      </c>
    </row>
    <row r="944" spans="1:11" x14ac:dyDescent="0.25">
      <c r="A944" t="s">
        <v>3357</v>
      </c>
      <c r="B944" t="s">
        <v>3358</v>
      </c>
      <c r="C944" t="s">
        <v>3359</v>
      </c>
      <c r="D944" t="s">
        <v>472</v>
      </c>
      <c r="E944" t="s">
        <v>14</v>
      </c>
      <c r="F944" t="s">
        <v>15</v>
      </c>
      <c r="G944">
        <v>15223</v>
      </c>
      <c r="H944" t="s">
        <v>113</v>
      </c>
      <c r="I944">
        <v>6</v>
      </c>
      <c r="J944">
        <v>0</v>
      </c>
      <c r="K944" t="s">
        <v>8131</v>
      </c>
    </row>
    <row r="945" spans="1:11" x14ac:dyDescent="0.25">
      <c r="A945" t="s">
        <v>3360</v>
      </c>
      <c r="B945" t="s">
        <v>2549</v>
      </c>
      <c r="C945" t="s">
        <v>340</v>
      </c>
      <c r="D945" t="s">
        <v>3361</v>
      </c>
      <c r="E945" t="s">
        <v>14</v>
      </c>
      <c r="F945" t="s">
        <v>15</v>
      </c>
      <c r="G945">
        <v>15224</v>
      </c>
      <c r="H945" t="s">
        <v>48</v>
      </c>
      <c r="I945">
        <v>16</v>
      </c>
      <c r="J945">
        <v>1</v>
      </c>
      <c r="K945" t="s">
        <v>8131</v>
      </c>
    </row>
    <row r="946" spans="1:11" x14ac:dyDescent="0.25">
      <c r="A946" t="s">
        <v>3362</v>
      </c>
      <c r="B946" t="s">
        <v>319</v>
      </c>
      <c r="C946" t="s">
        <v>3363</v>
      </c>
      <c r="D946" t="s">
        <v>3364</v>
      </c>
      <c r="E946" t="s">
        <v>14</v>
      </c>
      <c r="F946" t="s">
        <v>15</v>
      </c>
      <c r="G946">
        <v>15216</v>
      </c>
      <c r="H946" t="s">
        <v>48</v>
      </c>
      <c r="I946">
        <v>29</v>
      </c>
      <c r="J946">
        <v>0</v>
      </c>
      <c r="K946" t="s">
        <v>8120</v>
      </c>
    </row>
    <row r="947" spans="1:11" x14ac:dyDescent="0.25">
      <c r="A947" t="s">
        <v>3365</v>
      </c>
      <c r="B947" t="s">
        <v>3366</v>
      </c>
      <c r="C947" t="s">
        <v>3367</v>
      </c>
      <c r="D947" t="s">
        <v>3368</v>
      </c>
      <c r="E947" t="s">
        <v>14</v>
      </c>
      <c r="F947" t="s">
        <v>15</v>
      </c>
      <c r="G947">
        <v>15217</v>
      </c>
      <c r="H947" t="s">
        <v>48</v>
      </c>
      <c r="I947">
        <v>213</v>
      </c>
      <c r="J947">
        <v>1</v>
      </c>
      <c r="K947" t="s">
        <v>8117</v>
      </c>
    </row>
    <row r="948" spans="1:11" x14ac:dyDescent="0.25">
      <c r="A948" t="s">
        <v>3369</v>
      </c>
      <c r="B948" t="s">
        <v>3370</v>
      </c>
      <c r="C948" t="s">
        <v>1001</v>
      </c>
      <c r="D948" t="s">
        <v>3371</v>
      </c>
      <c r="E948" t="s">
        <v>14</v>
      </c>
      <c r="F948" t="s">
        <v>15</v>
      </c>
      <c r="G948">
        <v>15213</v>
      </c>
      <c r="H948" t="s">
        <v>43</v>
      </c>
      <c r="I948">
        <v>50</v>
      </c>
      <c r="J948">
        <v>1</v>
      </c>
      <c r="K948" t="s">
        <v>8131</v>
      </c>
    </row>
    <row r="949" spans="1:11" x14ac:dyDescent="0.25">
      <c r="A949" t="s">
        <v>3372</v>
      </c>
      <c r="B949" t="s">
        <v>119</v>
      </c>
      <c r="C949" t="s">
        <v>3373</v>
      </c>
      <c r="D949" t="s">
        <v>3374</v>
      </c>
      <c r="E949" t="s">
        <v>14</v>
      </c>
      <c r="F949" t="s">
        <v>15</v>
      </c>
      <c r="G949">
        <v>15213</v>
      </c>
      <c r="H949" t="s">
        <v>48</v>
      </c>
      <c r="I949">
        <v>40</v>
      </c>
      <c r="J949">
        <v>1</v>
      </c>
      <c r="K949" t="s">
        <v>8131</v>
      </c>
    </row>
    <row r="950" spans="1:11" x14ac:dyDescent="0.25">
      <c r="A950" t="s">
        <v>3375</v>
      </c>
      <c r="B950" t="s">
        <v>1664</v>
      </c>
      <c r="C950" t="s">
        <v>3376</v>
      </c>
      <c r="D950" t="s">
        <v>3377</v>
      </c>
      <c r="E950" t="s">
        <v>14</v>
      </c>
      <c r="F950" t="s">
        <v>15</v>
      </c>
      <c r="G950">
        <v>15222</v>
      </c>
      <c r="H950" t="s">
        <v>16</v>
      </c>
      <c r="I950">
        <v>5</v>
      </c>
      <c r="J950">
        <v>0</v>
      </c>
      <c r="K950" t="s">
        <v>8131</v>
      </c>
    </row>
    <row r="951" spans="1:11" x14ac:dyDescent="0.25">
      <c r="A951" t="s">
        <v>3378</v>
      </c>
      <c r="B951" t="s">
        <v>267</v>
      </c>
      <c r="C951" t="s">
        <v>3379</v>
      </c>
      <c r="D951" t="s">
        <v>3380</v>
      </c>
      <c r="E951" t="s">
        <v>14</v>
      </c>
      <c r="F951" t="s">
        <v>15</v>
      </c>
      <c r="G951">
        <v>15275</v>
      </c>
      <c r="H951" t="s">
        <v>16</v>
      </c>
      <c r="I951">
        <v>195</v>
      </c>
      <c r="J951">
        <v>0</v>
      </c>
      <c r="K951" t="s">
        <v>8131</v>
      </c>
    </row>
    <row r="952" spans="1:11" x14ac:dyDescent="0.25">
      <c r="A952" t="s">
        <v>3381</v>
      </c>
      <c r="B952" t="s">
        <v>586</v>
      </c>
      <c r="C952" t="s">
        <v>3382</v>
      </c>
      <c r="D952" t="s">
        <v>1555</v>
      </c>
      <c r="E952" t="s">
        <v>14</v>
      </c>
      <c r="F952" t="s">
        <v>15</v>
      </c>
      <c r="G952">
        <v>15236</v>
      </c>
      <c r="H952" t="s">
        <v>16</v>
      </c>
      <c r="I952">
        <v>9</v>
      </c>
      <c r="J952">
        <v>0</v>
      </c>
      <c r="K952" t="s">
        <v>8120</v>
      </c>
    </row>
    <row r="953" spans="1:11" x14ac:dyDescent="0.25">
      <c r="A953" t="s">
        <v>3383</v>
      </c>
      <c r="B953" t="s">
        <v>3384</v>
      </c>
      <c r="C953" t="s">
        <v>3385</v>
      </c>
      <c r="D953" t="s">
        <v>1170</v>
      </c>
      <c r="E953" t="s">
        <v>14</v>
      </c>
      <c r="F953" t="s">
        <v>15</v>
      </c>
      <c r="G953">
        <v>15222</v>
      </c>
      <c r="H953" t="s">
        <v>48</v>
      </c>
      <c r="I953">
        <v>256</v>
      </c>
      <c r="J953">
        <v>1</v>
      </c>
      <c r="K953" t="s">
        <v>8117</v>
      </c>
    </row>
    <row r="954" spans="1:11" x14ac:dyDescent="0.25">
      <c r="A954" t="e">
        <f>-x2NjuDTiphKwCixSrv_SQ</f>
        <v>#NAME?</v>
      </c>
      <c r="B954" t="s">
        <v>3386</v>
      </c>
      <c r="C954" t="s">
        <v>3387</v>
      </c>
      <c r="D954" t="s">
        <v>3388</v>
      </c>
      <c r="E954" t="s">
        <v>14</v>
      </c>
      <c r="F954" t="s">
        <v>15</v>
      </c>
      <c r="G954">
        <v>15216</v>
      </c>
      <c r="H954" t="s">
        <v>21</v>
      </c>
      <c r="I954">
        <v>45</v>
      </c>
      <c r="J954">
        <v>0</v>
      </c>
      <c r="K954" t="s">
        <v>8127</v>
      </c>
    </row>
    <row r="955" spans="1:11" x14ac:dyDescent="0.25">
      <c r="A955" t="s">
        <v>3389</v>
      </c>
      <c r="B955" t="s">
        <v>36</v>
      </c>
      <c r="C955" t="s">
        <v>3390</v>
      </c>
      <c r="D955" t="s">
        <v>3391</v>
      </c>
      <c r="E955" t="s">
        <v>14</v>
      </c>
      <c r="F955" t="s">
        <v>15</v>
      </c>
      <c r="G955">
        <v>15229</v>
      </c>
      <c r="H955" t="s">
        <v>48</v>
      </c>
      <c r="I955">
        <v>14</v>
      </c>
      <c r="J955">
        <v>1</v>
      </c>
      <c r="K955" t="s">
        <v>8131</v>
      </c>
    </row>
    <row r="956" spans="1:11" x14ac:dyDescent="0.25">
      <c r="A956" t="s">
        <v>3392</v>
      </c>
      <c r="B956" t="s">
        <v>267</v>
      </c>
      <c r="C956" t="s">
        <v>3393</v>
      </c>
      <c r="D956" t="s">
        <v>3394</v>
      </c>
      <c r="E956" t="s">
        <v>14</v>
      </c>
      <c r="F956" t="s">
        <v>15</v>
      </c>
      <c r="G956">
        <v>15237</v>
      </c>
      <c r="H956" t="s">
        <v>34</v>
      </c>
      <c r="I956">
        <v>60</v>
      </c>
      <c r="J956">
        <v>1</v>
      </c>
      <c r="K956" t="s">
        <v>8131</v>
      </c>
    </row>
    <row r="957" spans="1:11" x14ac:dyDescent="0.25">
      <c r="A957" t="s">
        <v>3395</v>
      </c>
      <c r="B957" t="s">
        <v>3396</v>
      </c>
      <c r="C957" t="s">
        <v>3397</v>
      </c>
      <c r="D957" t="s">
        <v>3398</v>
      </c>
      <c r="E957" t="s">
        <v>14</v>
      </c>
      <c r="F957" t="s">
        <v>15</v>
      </c>
      <c r="G957">
        <v>15237</v>
      </c>
      <c r="H957" t="s">
        <v>21</v>
      </c>
      <c r="I957">
        <v>25</v>
      </c>
      <c r="J957">
        <v>1</v>
      </c>
      <c r="K957" t="s">
        <v>8131</v>
      </c>
    </row>
    <row r="958" spans="1:11" x14ac:dyDescent="0.25">
      <c r="A958" t="s">
        <v>3399</v>
      </c>
      <c r="B958" t="s">
        <v>3400</v>
      </c>
      <c r="C958" t="s">
        <v>3401</v>
      </c>
      <c r="D958" t="s">
        <v>3402</v>
      </c>
      <c r="E958" t="s">
        <v>14</v>
      </c>
      <c r="F958" t="s">
        <v>15</v>
      </c>
      <c r="G958">
        <v>15222</v>
      </c>
      <c r="H958" t="s">
        <v>48</v>
      </c>
      <c r="I958">
        <v>111</v>
      </c>
      <c r="J958">
        <v>0</v>
      </c>
      <c r="K958" t="s">
        <v>8131</v>
      </c>
    </row>
    <row r="959" spans="1:11" x14ac:dyDescent="0.25">
      <c r="A959" t="s">
        <v>3403</v>
      </c>
      <c r="B959" t="s">
        <v>3404</v>
      </c>
      <c r="C959" t="s">
        <v>3405</v>
      </c>
      <c r="D959" t="s">
        <v>3406</v>
      </c>
      <c r="E959" t="s">
        <v>14</v>
      </c>
      <c r="F959" t="s">
        <v>15</v>
      </c>
      <c r="G959">
        <v>15222</v>
      </c>
      <c r="H959" t="s">
        <v>113</v>
      </c>
      <c r="I959">
        <v>5</v>
      </c>
      <c r="J959">
        <v>1</v>
      </c>
      <c r="K959" t="s">
        <v>8131</v>
      </c>
    </row>
    <row r="960" spans="1:11" x14ac:dyDescent="0.25">
      <c r="A960" t="s">
        <v>3407</v>
      </c>
      <c r="B960" t="s">
        <v>3408</v>
      </c>
      <c r="C960" t="s">
        <v>3409</v>
      </c>
      <c r="D960" t="s">
        <v>3410</v>
      </c>
      <c r="E960" t="s">
        <v>14</v>
      </c>
      <c r="F960" t="s">
        <v>15</v>
      </c>
      <c r="G960">
        <v>15216</v>
      </c>
      <c r="H960" t="s">
        <v>21</v>
      </c>
      <c r="I960">
        <v>37</v>
      </c>
      <c r="J960">
        <v>0</v>
      </c>
      <c r="K960" t="s">
        <v>8125</v>
      </c>
    </row>
    <row r="961" spans="1:11" x14ac:dyDescent="0.25">
      <c r="A961" t="s">
        <v>3411</v>
      </c>
      <c r="B961" t="s">
        <v>3412</v>
      </c>
      <c r="C961" t="s">
        <v>3413</v>
      </c>
      <c r="D961" t="s">
        <v>3414</v>
      </c>
      <c r="E961" t="s">
        <v>14</v>
      </c>
      <c r="F961" t="s">
        <v>15</v>
      </c>
      <c r="G961">
        <v>15203</v>
      </c>
      <c r="H961" t="s">
        <v>21</v>
      </c>
      <c r="I961">
        <v>99</v>
      </c>
      <c r="J961">
        <v>1</v>
      </c>
      <c r="K961" t="s">
        <v>8131</v>
      </c>
    </row>
    <row r="962" spans="1:11" x14ac:dyDescent="0.25">
      <c r="A962" t="s">
        <v>3415</v>
      </c>
      <c r="B962" t="s">
        <v>3416</v>
      </c>
      <c r="C962" t="s">
        <v>3417</v>
      </c>
      <c r="D962" t="s">
        <v>390</v>
      </c>
      <c r="E962" t="s">
        <v>14</v>
      </c>
      <c r="F962" t="s">
        <v>15</v>
      </c>
      <c r="G962">
        <v>15232</v>
      </c>
      <c r="H962" t="s">
        <v>48</v>
      </c>
      <c r="I962">
        <v>24</v>
      </c>
      <c r="J962">
        <v>0</v>
      </c>
      <c r="K962" t="s">
        <v>8131</v>
      </c>
    </row>
    <row r="963" spans="1:11" x14ac:dyDescent="0.25">
      <c r="A963" t="s">
        <v>3418</v>
      </c>
      <c r="B963" t="s">
        <v>3419</v>
      </c>
      <c r="C963" t="s">
        <v>3420</v>
      </c>
      <c r="D963" t="s">
        <v>3421</v>
      </c>
      <c r="E963" t="s">
        <v>14</v>
      </c>
      <c r="F963" t="s">
        <v>15</v>
      </c>
      <c r="G963">
        <v>15224</v>
      </c>
      <c r="H963" t="s">
        <v>16</v>
      </c>
      <c r="I963">
        <v>18</v>
      </c>
      <c r="J963">
        <v>1</v>
      </c>
      <c r="K963" t="s">
        <v>8117</v>
      </c>
    </row>
    <row r="964" spans="1:11" x14ac:dyDescent="0.25">
      <c r="A964" t="s">
        <v>3422</v>
      </c>
      <c r="B964" t="s">
        <v>3423</v>
      </c>
      <c r="C964" t="s">
        <v>3424</v>
      </c>
      <c r="D964" t="s">
        <v>3425</v>
      </c>
      <c r="E964" t="s">
        <v>14</v>
      </c>
      <c r="F964" t="s">
        <v>15</v>
      </c>
      <c r="G964">
        <v>15233</v>
      </c>
      <c r="H964" t="s">
        <v>48</v>
      </c>
      <c r="I964">
        <v>5</v>
      </c>
      <c r="J964">
        <v>1</v>
      </c>
      <c r="K964" t="s">
        <v>8131</v>
      </c>
    </row>
    <row r="965" spans="1:11" x14ac:dyDescent="0.25">
      <c r="A965" t="s">
        <v>3426</v>
      </c>
      <c r="B965" t="s">
        <v>3427</v>
      </c>
      <c r="C965" t="s">
        <v>3428</v>
      </c>
      <c r="D965" t="s">
        <v>3429</v>
      </c>
      <c r="E965" t="s">
        <v>14</v>
      </c>
      <c r="F965" t="s">
        <v>15</v>
      </c>
      <c r="G965">
        <v>15219</v>
      </c>
      <c r="H965" t="s">
        <v>16</v>
      </c>
      <c r="I965">
        <v>167</v>
      </c>
      <c r="J965">
        <v>1</v>
      </c>
      <c r="K965" t="s">
        <v>8131</v>
      </c>
    </row>
    <row r="966" spans="1:11" x14ac:dyDescent="0.25">
      <c r="A966" t="s">
        <v>3430</v>
      </c>
      <c r="B966" t="s">
        <v>3431</v>
      </c>
      <c r="C966" t="s">
        <v>3432</v>
      </c>
      <c r="D966" t="s">
        <v>3433</v>
      </c>
      <c r="E966" t="s">
        <v>14</v>
      </c>
      <c r="F966" t="s">
        <v>15</v>
      </c>
      <c r="G966">
        <v>15229</v>
      </c>
      <c r="H966" t="s">
        <v>16</v>
      </c>
      <c r="I966">
        <v>14</v>
      </c>
      <c r="J966">
        <v>0</v>
      </c>
      <c r="K966" t="s">
        <v>8121</v>
      </c>
    </row>
    <row r="967" spans="1:11" x14ac:dyDescent="0.25">
      <c r="A967" t="s">
        <v>3434</v>
      </c>
      <c r="B967" t="s">
        <v>3435</v>
      </c>
      <c r="C967" t="s">
        <v>3436</v>
      </c>
      <c r="D967" t="s">
        <v>3437</v>
      </c>
      <c r="E967" t="s">
        <v>14</v>
      </c>
      <c r="F967" t="s">
        <v>15</v>
      </c>
      <c r="G967">
        <v>15217</v>
      </c>
      <c r="H967" t="s">
        <v>16</v>
      </c>
      <c r="I967">
        <v>43</v>
      </c>
      <c r="J967">
        <v>1</v>
      </c>
      <c r="K967" t="s">
        <v>8131</v>
      </c>
    </row>
    <row r="968" spans="1:11" x14ac:dyDescent="0.25">
      <c r="A968" t="s">
        <v>3438</v>
      </c>
      <c r="B968" t="s">
        <v>3439</v>
      </c>
      <c r="C968" t="s">
        <v>3440</v>
      </c>
      <c r="D968" t="s">
        <v>3441</v>
      </c>
      <c r="E968" t="s">
        <v>14</v>
      </c>
      <c r="F968" t="s">
        <v>15</v>
      </c>
      <c r="G968">
        <v>15213</v>
      </c>
      <c r="H968" t="s">
        <v>16</v>
      </c>
      <c r="I968">
        <v>182</v>
      </c>
      <c r="J968">
        <v>1</v>
      </c>
      <c r="K968" t="s">
        <v>8131</v>
      </c>
    </row>
    <row r="969" spans="1:11" x14ac:dyDescent="0.25">
      <c r="A969" t="s">
        <v>3442</v>
      </c>
      <c r="B969" t="s">
        <v>3443</v>
      </c>
      <c r="C969" t="s">
        <v>3444</v>
      </c>
      <c r="D969" t="s">
        <v>3445</v>
      </c>
      <c r="E969" t="s">
        <v>14</v>
      </c>
      <c r="F969" t="s">
        <v>15</v>
      </c>
      <c r="G969">
        <v>15205</v>
      </c>
      <c r="H969" t="s">
        <v>21</v>
      </c>
      <c r="I969">
        <v>140</v>
      </c>
      <c r="J969">
        <v>1</v>
      </c>
      <c r="K969" t="s">
        <v>8131</v>
      </c>
    </row>
    <row r="970" spans="1:11" x14ac:dyDescent="0.25">
      <c r="A970" t="s">
        <v>3446</v>
      </c>
      <c r="B970" t="s">
        <v>3447</v>
      </c>
      <c r="C970" t="s">
        <v>3448</v>
      </c>
      <c r="D970" t="s">
        <v>3449</v>
      </c>
      <c r="E970" t="s">
        <v>14</v>
      </c>
      <c r="F970" t="s">
        <v>15</v>
      </c>
      <c r="G970">
        <v>15206</v>
      </c>
      <c r="H970" t="s">
        <v>48</v>
      </c>
      <c r="I970">
        <v>177</v>
      </c>
      <c r="J970">
        <v>0</v>
      </c>
      <c r="K970" t="s">
        <v>8133</v>
      </c>
    </row>
    <row r="971" spans="1:11" x14ac:dyDescent="0.25">
      <c r="A971" t="s">
        <v>3450</v>
      </c>
      <c r="B971" t="s">
        <v>3451</v>
      </c>
      <c r="C971" t="s">
        <v>3452</v>
      </c>
      <c r="D971" t="s">
        <v>922</v>
      </c>
      <c r="E971" t="s">
        <v>14</v>
      </c>
      <c r="F971" t="s">
        <v>15</v>
      </c>
      <c r="G971">
        <v>15210</v>
      </c>
      <c r="H971" t="s">
        <v>21</v>
      </c>
      <c r="I971">
        <v>6</v>
      </c>
      <c r="J971">
        <v>0</v>
      </c>
      <c r="K971" t="s">
        <v>8131</v>
      </c>
    </row>
    <row r="972" spans="1:11" x14ac:dyDescent="0.25">
      <c r="A972" t="s">
        <v>3453</v>
      </c>
      <c r="B972" t="s">
        <v>3454</v>
      </c>
      <c r="C972" t="s">
        <v>3455</v>
      </c>
      <c r="D972" t="s">
        <v>3456</v>
      </c>
      <c r="E972" t="s">
        <v>14</v>
      </c>
      <c r="F972" t="s">
        <v>15</v>
      </c>
      <c r="G972">
        <v>15222</v>
      </c>
      <c r="H972" t="s">
        <v>48</v>
      </c>
      <c r="I972">
        <v>187</v>
      </c>
      <c r="J972">
        <v>0</v>
      </c>
      <c r="K972" t="s">
        <v>8131</v>
      </c>
    </row>
    <row r="973" spans="1:11" x14ac:dyDescent="0.25">
      <c r="A973" t="s">
        <v>3457</v>
      </c>
      <c r="B973" t="s">
        <v>3458</v>
      </c>
      <c r="C973" t="s">
        <v>3459</v>
      </c>
      <c r="D973" t="s">
        <v>198</v>
      </c>
      <c r="E973" t="s">
        <v>14</v>
      </c>
      <c r="F973" t="s">
        <v>15</v>
      </c>
      <c r="G973">
        <v>15222</v>
      </c>
      <c r="H973" t="s">
        <v>21</v>
      </c>
      <c r="I973">
        <v>6</v>
      </c>
      <c r="J973">
        <v>1</v>
      </c>
      <c r="K973" t="s">
        <v>8131</v>
      </c>
    </row>
    <row r="974" spans="1:11" x14ac:dyDescent="0.25">
      <c r="A974" t="s">
        <v>3460</v>
      </c>
      <c r="B974" t="s">
        <v>3461</v>
      </c>
      <c r="C974" t="s">
        <v>3462</v>
      </c>
      <c r="D974" t="s">
        <v>3463</v>
      </c>
      <c r="E974" t="s">
        <v>14</v>
      </c>
      <c r="F974" t="s">
        <v>15</v>
      </c>
      <c r="G974">
        <v>15232</v>
      </c>
      <c r="H974" t="s">
        <v>113</v>
      </c>
      <c r="I974">
        <v>25</v>
      </c>
      <c r="J974">
        <v>0</v>
      </c>
      <c r="K974" t="s">
        <v>8131</v>
      </c>
    </row>
    <row r="975" spans="1:11" x14ac:dyDescent="0.25">
      <c r="A975" t="s">
        <v>3464</v>
      </c>
      <c r="B975" t="s">
        <v>3465</v>
      </c>
      <c r="C975" t="s">
        <v>3466</v>
      </c>
      <c r="D975" t="s">
        <v>3467</v>
      </c>
      <c r="E975" t="s">
        <v>14</v>
      </c>
      <c r="F975" t="s">
        <v>15</v>
      </c>
      <c r="G975">
        <v>15203</v>
      </c>
      <c r="H975" t="s">
        <v>16</v>
      </c>
      <c r="I975">
        <v>180</v>
      </c>
      <c r="J975">
        <v>1</v>
      </c>
      <c r="K975" t="s">
        <v>8131</v>
      </c>
    </row>
    <row r="976" spans="1:11" x14ac:dyDescent="0.25">
      <c r="A976" t="s">
        <v>3468</v>
      </c>
      <c r="B976" t="s">
        <v>3469</v>
      </c>
      <c r="C976" t="s">
        <v>3103</v>
      </c>
      <c r="D976" t="s">
        <v>1789</v>
      </c>
      <c r="E976" t="s">
        <v>14</v>
      </c>
      <c r="F976" t="s">
        <v>15</v>
      </c>
      <c r="G976">
        <v>15222</v>
      </c>
      <c r="H976" t="s">
        <v>34</v>
      </c>
      <c r="I976">
        <v>62</v>
      </c>
      <c r="J976">
        <v>0</v>
      </c>
      <c r="K976" t="s">
        <v>8131</v>
      </c>
    </row>
    <row r="977" spans="1:11" x14ac:dyDescent="0.25">
      <c r="A977" t="s">
        <v>3470</v>
      </c>
      <c r="B977" t="s">
        <v>3471</v>
      </c>
      <c r="C977" t="s">
        <v>3472</v>
      </c>
      <c r="D977" t="s">
        <v>3473</v>
      </c>
      <c r="E977" t="s">
        <v>14</v>
      </c>
      <c r="F977" t="s">
        <v>15</v>
      </c>
      <c r="G977">
        <v>15224</v>
      </c>
      <c r="H977" t="s">
        <v>48</v>
      </c>
      <c r="I977">
        <v>27</v>
      </c>
      <c r="J977">
        <v>1</v>
      </c>
      <c r="K977" t="s">
        <v>8131</v>
      </c>
    </row>
    <row r="978" spans="1:11" x14ac:dyDescent="0.25">
      <c r="A978" t="s">
        <v>3474</v>
      </c>
      <c r="B978" t="s">
        <v>720</v>
      </c>
      <c r="C978" t="s">
        <v>3475</v>
      </c>
      <c r="D978" t="s">
        <v>3476</v>
      </c>
      <c r="E978" t="s">
        <v>14</v>
      </c>
      <c r="F978" t="s">
        <v>15</v>
      </c>
      <c r="G978">
        <v>15224</v>
      </c>
      <c r="H978" t="s">
        <v>16</v>
      </c>
      <c r="I978">
        <v>234</v>
      </c>
      <c r="J978">
        <v>1</v>
      </c>
      <c r="K978" t="s">
        <v>8131</v>
      </c>
    </row>
    <row r="979" spans="1:11" x14ac:dyDescent="0.25">
      <c r="A979" t="s">
        <v>3477</v>
      </c>
      <c r="B979" t="s">
        <v>3478</v>
      </c>
      <c r="C979" t="s">
        <v>2476</v>
      </c>
      <c r="D979" t="s">
        <v>3479</v>
      </c>
      <c r="E979" t="s">
        <v>14</v>
      </c>
      <c r="F979" t="s">
        <v>15</v>
      </c>
      <c r="G979">
        <v>15216</v>
      </c>
      <c r="H979" t="s">
        <v>34</v>
      </c>
      <c r="I979">
        <v>22</v>
      </c>
      <c r="J979">
        <v>1</v>
      </c>
      <c r="K979" t="s">
        <v>8131</v>
      </c>
    </row>
    <row r="980" spans="1:11" x14ac:dyDescent="0.25">
      <c r="A980" t="s">
        <v>3480</v>
      </c>
      <c r="B980" t="s">
        <v>3481</v>
      </c>
      <c r="C980" t="s">
        <v>3482</v>
      </c>
      <c r="D980" t="s">
        <v>3483</v>
      </c>
      <c r="E980" t="s">
        <v>14</v>
      </c>
      <c r="F980" t="s">
        <v>15</v>
      </c>
      <c r="G980">
        <v>15222</v>
      </c>
      <c r="H980" t="s">
        <v>48</v>
      </c>
      <c r="I980">
        <v>9</v>
      </c>
      <c r="J980">
        <v>1</v>
      </c>
      <c r="K980" t="s">
        <v>8131</v>
      </c>
    </row>
    <row r="981" spans="1:11" x14ac:dyDescent="0.25">
      <c r="A981" t="s">
        <v>3484</v>
      </c>
      <c r="B981" t="s">
        <v>3485</v>
      </c>
      <c r="C981" t="s">
        <v>3486</v>
      </c>
      <c r="D981" t="s">
        <v>3487</v>
      </c>
      <c r="E981" t="s">
        <v>14</v>
      </c>
      <c r="F981" t="s">
        <v>15</v>
      </c>
      <c r="G981">
        <v>15222</v>
      </c>
      <c r="H981" t="s">
        <v>21</v>
      </c>
      <c r="I981">
        <v>128</v>
      </c>
      <c r="J981">
        <v>1</v>
      </c>
      <c r="K981" t="s">
        <v>8131</v>
      </c>
    </row>
    <row r="982" spans="1:11" x14ac:dyDescent="0.25">
      <c r="A982" t="s">
        <v>3488</v>
      </c>
      <c r="B982" t="s">
        <v>3489</v>
      </c>
      <c r="C982" t="s">
        <v>3490</v>
      </c>
      <c r="D982" t="s">
        <v>3491</v>
      </c>
      <c r="E982" t="s">
        <v>14</v>
      </c>
      <c r="F982" t="s">
        <v>15</v>
      </c>
      <c r="G982">
        <v>15205</v>
      </c>
      <c r="H982" t="s">
        <v>48</v>
      </c>
      <c r="I982">
        <v>108</v>
      </c>
      <c r="J982">
        <v>1</v>
      </c>
      <c r="K982" t="s">
        <v>8131</v>
      </c>
    </row>
    <row r="983" spans="1:11" x14ac:dyDescent="0.25">
      <c r="A983" t="s">
        <v>3492</v>
      </c>
      <c r="B983" t="s">
        <v>377</v>
      </c>
      <c r="C983" t="s">
        <v>3493</v>
      </c>
      <c r="D983" t="s">
        <v>3494</v>
      </c>
      <c r="E983" t="s">
        <v>14</v>
      </c>
      <c r="F983" t="s">
        <v>15</v>
      </c>
      <c r="G983">
        <v>15236</v>
      </c>
      <c r="H983" t="s">
        <v>16</v>
      </c>
      <c r="I983">
        <v>16</v>
      </c>
      <c r="J983">
        <v>1</v>
      </c>
      <c r="K983" t="s">
        <v>8124</v>
      </c>
    </row>
    <row r="984" spans="1:11" x14ac:dyDescent="0.25">
      <c r="A984" t="s">
        <v>3495</v>
      </c>
      <c r="B984" t="s">
        <v>36</v>
      </c>
      <c r="C984" t="s">
        <v>3496</v>
      </c>
      <c r="D984" t="s">
        <v>1799</v>
      </c>
      <c r="E984" t="s">
        <v>14</v>
      </c>
      <c r="F984" t="s">
        <v>15</v>
      </c>
      <c r="G984">
        <v>15237</v>
      </c>
      <c r="H984" t="s">
        <v>48</v>
      </c>
      <c r="I984">
        <v>9</v>
      </c>
      <c r="J984">
        <v>1</v>
      </c>
      <c r="K984" t="s">
        <v>8131</v>
      </c>
    </row>
    <row r="985" spans="1:11" x14ac:dyDescent="0.25">
      <c r="A985" t="s">
        <v>3497</v>
      </c>
      <c r="B985" t="s">
        <v>3498</v>
      </c>
      <c r="C985" t="s">
        <v>3499</v>
      </c>
      <c r="D985" t="s">
        <v>3500</v>
      </c>
      <c r="E985" t="s">
        <v>14</v>
      </c>
      <c r="F985" t="s">
        <v>15</v>
      </c>
      <c r="G985">
        <v>15201</v>
      </c>
      <c r="H985" t="s">
        <v>21</v>
      </c>
      <c r="I985">
        <v>69</v>
      </c>
      <c r="J985">
        <v>1</v>
      </c>
      <c r="K985" t="s">
        <v>8131</v>
      </c>
    </row>
    <row r="986" spans="1:11" x14ac:dyDescent="0.25">
      <c r="A986" t="s">
        <v>3501</v>
      </c>
      <c r="B986" t="s">
        <v>3502</v>
      </c>
      <c r="C986" t="s">
        <v>3503</v>
      </c>
      <c r="D986" t="s">
        <v>3504</v>
      </c>
      <c r="E986" t="s">
        <v>14</v>
      </c>
      <c r="F986" t="s">
        <v>15</v>
      </c>
      <c r="G986">
        <v>15224</v>
      </c>
      <c r="H986" t="s">
        <v>48</v>
      </c>
      <c r="I986">
        <v>34</v>
      </c>
      <c r="J986">
        <v>1</v>
      </c>
      <c r="K986" t="s">
        <v>8131</v>
      </c>
    </row>
    <row r="987" spans="1:11" x14ac:dyDescent="0.25">
      <c r="A987" t="s">
        <v>3505</v>
      </c>
      <c r="B987" t="s">
        <v>683</v>
      </c>
      <c r="C987" t="s">
        <v>419</v>
      </c>
      <c r="D987" t="s">
        <v>3506</v>
      </c>
      <c r="E987" t="s">
        <v>14</v>
      </c>
      <c r="F987" t="s">
        <v>15</v>
      </c>
      <c r="G987">
        <v>15238</v>
      </c>
      <c r="H987" t="s">
        <v>43</v>
      </c>
      <c r="I987">
        <v>11</v>
      </c>
      <c r="J987">
        <v>1</v>
      </c>
      <c r="K987" t="s">
        <v>8131</v>
      </c>
    </row>
    <row r="988" spans="1:11" x14ac:dyDescent="0.25">
      <c r="A988" t="s">
        <v>3507</v>
      </c>
      <c r="B988" t="s">
        <v>3508</v>
      </c>
      <c r="C988" t="s">
        <v>3509</v>
      </c>
      <c r="D988" t="s">
        <v>3510</v>
      </c>
      <c r="E988" t="s">
        <v>14</v>
      </c>
      <c r="F988" t="s">
        <v>15</v>
      </c>
      <c r="G988">
        <v>15213</v>
      </c>
      <c r="H988" t="s">
        <v>92</v>
      </c>
      <c r="I988">
        <v>123</v>
      </c>
      <c r="J988">
        <v>1</v>
      </c>
      <c r="K988" t="s">
        <v>8131</v>
      </c>
    </row>
    <row r="989" spans="1:11" x14ac:dyDescent="0.25">
      <c r="A989" t="s">
        <v>3511</v>
      </c>
      <c r="B989" t="s">
        <v>1384</v>
      </c>
      <c r="C989" t="s">
        <v>3512</v>
      </c>
      <c r="D989" t="s">
        <v>3513</v>
      </c>
      <c r="E989" t="s">
        <v>14</v>
      </c>
      <c r="F989" t="s">
        <v>15</v>
      </c>
      <c r="G989">
        <v>15212</v>
      </c>
      <c r="H989" t="s">
        <v>16</v>
      </c>
      <c r="I989">
        <v>29</v>
      </c>
      <c r="J989">
        <v>1</v>
      </c>
      <c r="K989" t="s">
        <v>8131</v>
      </c>
    </row>
    <row r="990" spans="1:11" x14ac:dyDescent="0.25">
      <c r="A990" t="s">
        <v>3514</v>
      </c>
      <c r="B990" t="s">
        <v>3515</v>
      </c>
      <c r="C990" t="s">
        <v>3516</v>
      </c>
      <c r="D990" t="s">
        <v>3517</v>
      </c>
      <c r="E990" t="s">
        <v>14</v>
      </c>
      <c r="F990" t="s">
        <v>15</v>
      </c>
      <c r="G990">
        <v>15275</v>
      </c>
      <c r="H990" t="s">
        <v>48</v>
      </c>
      <c r="I990">
        <v>21</v>
      </c>
      <c r="J990">
        <v>1</v>
      </c>
      <c r="K990" t="s">
        <v>8131</v>
      </c>
    </row>
    <row r="991" spans="1:11" x14ac:dyDescent="0.25">
      <c r="A991" t="s">
        <v>3518</v>
      </c>
      <c r="B991" t="s">
        <v>3519</v>
      </c>
      <c r="C991" t="s">
        <v>3520</v>
      </c>
      <c r="D991" t="s">
        <v>3521</v>
      </c>
      <c r="E991" t="s">
        <v>14</v>
      </c>
      <c r="F991" t="s">
        <v>15</v>
      </c>
      <c r="G991">
        <v>15241</v>
      </c>
      <c r="H991" t="s">
        <v>34</v>
      </c>
      <c r="I991">
        <v>22</v>
      </c>
      <c r="J991">
        <v>0</v>
      </c>
      <c r="K991" t="s">
        <v>8120</v>
      </c>
    </row>
    <row r="992" spans="1:11" x14ac:dyDescent="0.25">
      <c r="A992" t="s">
        <v>3522</v>
      </c>
      <c r="B992" t="s">
        <v>3523</v>
      </c>
      <c r="C992" t="s">
        <v>3524</v>
      </c>
      <c r="D992" t="s">
        <v>3525</v>
      </c>
      <c r="E992" t="s">
        <v>14</v>
      </c>
      <c r="F992" t="s">
        <v>15</v>
      </c>
      <c r="G992">
        <v>15227</v>
      </c>
      <c r="H992" t="s">
        <v>48</v>
      </c>
      <c r="I992">
        <v>4</v>
      </c>
      <c r="J992">
        <v>1</v>
      </c>
      <c r="K992" t="s">
        <v>8131</v>
      </c>
    </row>
    <row r="993" spans="1:11" x14ac:dyDescent="0.25">
      <c r="A993" t="s">
        <v>3526</v>
      </c>
      <c r="B993" t="s">
        <v>36</v>
      </c>
      <c r="C993" t="s">
        <v>3527</v>
      </c>
      <c r="D993" t="s">
        <v>3528</v>
      </c>
      <c r="E993" t="s">
        <v>14</v>
      </c>
      <c r="F993" t="s">
        <v>15</v>
      </c>
      <c r="G993">
        <v>15237</v>
      </c>
      <c r="H993" t="s">
        <v>48</v>
      </c>
      <c r="I993">
        <v>9</v>
      </c>
      <c r="J993">
        <v>0</v>
      </c>
      <c r="K993" t="s">
        <v>8131</v>
      </c>
    </row>
    <row r="994" spans="1:11" x14ac:dyDescent="0.25">
      <c r="A994" t="s">
        <v>3529</v>
      </c>
      <c r="B994" t="s">
        <v>36</v>
      </c>
      <c r="C994" t="s">
        <v>2115</v>
      </c>
      <c r="D994" t="s">
        <v>3530</v>
      </c>
      <c r="E994" t="s">
        <v>14</v>
      </c>
      <c r="F994" t="s">
        <v>15</v>
      </c>
      <c r="G994">
        <v>15227</v>
      </c>
      <c r="H994" t="s">
        <v>48</v>
      </c>
      <c r="I994">
        <v>3</v>
      </c>
      <c r="J994">
        <v>0</v>
      </c>
      <c r="K994" t="s">
        <v>8131</v>
      </c>
    </row>
    <row r="995" spans="1:11" x14ac:dyDescent="0.25">
      <c r="A995" t="s">
        <v>3531</v>
      </c>
      <c r="B995" t="s">
        <v>36</v>
      </c>
      <c r="C995" t="s">
        <v>1233</v>
      </c>
      <c r="D995" t="s">
        <v>3532</v>
      </c>
      <c r="E995" t="s">
        <v>14</v>
      </c>
      <c r="F995" t="s">
        <v>15</v>
      </c>
      <c r="G995">
        <v>15241</v>
      </c>
      <c r="H995" t="s">
        <v>34</v>
      </c>
      <c r="I995">
        <v>5</v>
      </c>
      <c r="J995">
        <v>1</v>
      </c>
      <c r="K995" t="s">
        <v>8131</v>
      </c>
    </row>
    <row r="996" spans="1:11" x14ac:dyDescent="0.25">
      <c r="A996" t="s">
        <v>3533</v>
      </c>
      <c r="B996" t="s">
        <v>3534</v>
      </c>
      <c r="C996" t="s">
        <v>2792</v>
      </c>
      <c r="D996" t="s">
        <v>3535</v>
      </c>
      <c r="E996" t="s">
        <v>14</v>
      </c>
      <c r="F996" t="s">
        <v>15</v>
      </c>
      <c r="G996">
        <v>15224</v>
      </c>
      <c r="H996" t="s">
        <v>16</v>
      </c>
      <c r="I996">
        <v>13</v>
      </c>
      <c r="J996">
        <v>1</v>
      </c>
      <c r="K996" t="s">
        <v>8120</v>
      </c>
    </row>
    <row r="997" spans="1:11" x14ac:dyDescent="0.25">
      <c r="A997" t="s">
        <v>3536</v>
      </c>
      <c r="B997" t="s">
        <v>3537</v>
      </c>
      <c r="C997" t="s">
        <v>3538</v>
      </c>
      <c r="D997" t="s">
        <v>2391</v>
      </c>
      <c r="E997" t="s">
        <v>14</v>
      </c>
      <c r="F997" t="s">
        <v>15</v>
      </c>
      <c r="G997">
        <v>15217</v>
      </c>
      <c r="H997" t="s">
        <v>21</v>
      </c>
      <c r="I997">
        <v>79</v>
      </c>
      <c r="J997">
        <v>1</v>
      </c>
      <c r="K997" t="s">
        <v>8123</v>
      </c>
    </row>
    <row r="998" spans="1:11" x14ac:dyDescent="0.25">
      <c r="A998" t="s">
        <v>3539</v>
      </c>
      <c r="B998" t="s">
        <v>3540</v>
      </c>
      <c r="C998" t="s">
        <v>3541</v>
      </c>
      <c r="D998" t="s">
        <v>3542</v>
      </c>
      <c r="E998" t="s">
        <v>14</v>
      </c>
      <c r="F998" t="s">
        <v>15</v>
      </c>
      <c r="G998">
        <v>15224</v>
      </c>
      <c r="H998" t="s">
        <v>16</v>
      </c>
      <c r="I998">
        <v>103</v>
      </c>
      <c r="J998">
        <v>0</v>
      </c>
      <c r="K998" t="s">
        <v>8117</v>
      </c>
    </row>
    <row r="999" spans="1:11" x14ac:dyDescent="0.25">
      <c r="A999" t="s">
        <v>3543</v>
      </c>
      <c r="B999" t="s">
        <v>3544</v>
      </c>
      <c r="C999" t="s">
        <v>3545</v>
      </c>
      <c r="D999" t="s">
        <v>3546</v>
      </c>
      <c r="E999" t="s">
        <v>14</v>
      </c>
      <c r="F999" t="s">
        <v>15</v>
      </c>
      <c r="G999">
        <v>15227</v>
      </c>
      <c r="H999" t="s">
        <v>16</v>
      </c>
      <c r="I999">
        <v>50</v>
      </c>
      <c r="J999">
        <v>1</v>
      </c>
      <c r="K999" t="s">
        <v>8131</v>
      </c>
    </row>
    <row r="1000" spans="1:11" x14ac:dyDescent="0.25">
      <c r="A1000" t="s">
        <v>3547</v>
      </c>
      <c r="B1000" t="s">
        <v>3498</v>
      </c>
      <c r="C1000" t="s">
        <v>3548</v>
      </c>
      <c r="D1000" t="s">
        <v>3549</v>
      </c>
      <c r="E1000" t="s">
        <v>14</v>
      </c>
      <c r="F1000" t="s">
        <v>15</v>
      </c>
      <c r="G1000">
        <v>15222</v>
      </c>
      <c r="H1000" t="s">
        <v>16</v>
      </c>
      <c r="I1000">
        <v>20</v>
      </c>
      <c r="J1000">
        <v>0</v>
      </c>
      <c r="K1000" t="s">
        <v>8131</v>
      </c>
    </row>
    <row r="1001" spans="1:11" x14ac:dyDescent="0.25">
      <c r="A1001" t="s">
        <v>3550</v>
      </c>
      <c r="B1001" t="s">
        <v>3551</v>
      </c>
      <c r="C1001" t="s">
        <v>3552</v>
      </c>
      <c r="D1001" t="s">
        <v>3553</v>
      </c>
      <c r="E1001" t="s">
        <v>14</v>
      </c>
      <c r="F1001" t="s">
        <v>15</v>
      </c>
      <c r="G1001">
        <v>15213</v>
      </c>
      <c r="H1001" t="s">
        <v>16</v>
      </c>
      <c r="I1001">
        <v>153</v>
      </c>
      <c r="J1001">
        <v>1</v>
      </c>
      <c r="K1001" t="s">
        <v>8125</v>
      </c>
    </row>
    <row r="1002" spans="1:11" x14ac:dyDescent="0.25">
      <c r="A1002" t="s">
        <v>3554</v>
      </c>
      <c r="B1002" t="s">
        <v>3555</v>
      </c>
      <c r="C1002" t="s">
        <v>3556</v>
      </c>
      <c r="D1002" t="s">
        <v>100</v>
      </c>
      <c r="E1002" t="s">
        <v>14</v>
      </c>
      <c r="F1002" t="s">
        <v>15</v>
      </c>
      <c r="G1002">
        <v>15222</v>
      </c>
      <c r="H1002" t="s">
        <v>16</v>
      </c>
      <c r="I1002">
        <v>13</v>
      </c>
      <c r="J1002">
        <v>0</v>
      </c>
      <c r="K1002" t="s">
        <v>8131</v>
      </c>
    </row>
    <row r="1003" spans="1:11" x14ac:dyDescent="0.25">
      <c r="A1003" t="s">
        <v>3557</v>
      </c>
      <c r="B1003" t="s">
        <v>3558</v>
      </c>
      <c r="C1003" t="s">
        <v>3559</v>
      </c>
      <c r="D1003" t="s">
        <v>3560</v>
      </c>
      <c r="E1003" t="s">
        <v>14</v>
      </c>
      <c r="F1003" t="s">
        <v>15</v>
      </c>
      <c r="G1003">
        <v>15212</v>
      </c>
      <c r="H1003" t="s">
        <v>48</v>
      </c>
      <c r="I1003">
        <v>33</v>
      </c>
      <c r="J1003">
        <v>1</v>
      </c>
      <c r="K1003" t="s">
        <v>8120</v>
      </c>
    </row>
    <row r="1004" spans="1:11" x14ac:dyDescent="0.25">
      <c r="A1004" t="s">
        <v>3561</v>
      </c>
      <c r="B1004" t="s">
        <v>3562</v>
      </c>
      <c r="C1004" t="s">
        <v>3563</v>
      </c>
      <c r="D1004" t="s">
        <v>3564</v>
      </c>
      <c r="E1004" t="s">
        <v>14</v>
      </c>
      <c r="F1004" t="s">
        <v>15</v>
      </c>
      <c r="G1004">
        <v>15229</v>
      </c>
      <c r="H1004" t="s">
        <v>48</v>
      </c>
      <c r="I1004">
        <v>30</v>
      </c>
      <c r="J1004">
        <v>1</v>
      </c>
      <c r="K1004" t="s">
        <v>8131</v>
      </c>
    </row>
    <row r="1005" spans="1:11" x14ac:dyDescent="0.25">
      <c r="A1005" t="s">
        <v>3565</v>
      </c>
      <c r="B1005" t="s">
        <v>119</v>
      </c>
      <c r="C1005" t="s">
        <v>3566</v>
      </c>
      <c r="D1005" t="s">
        <v>3567</v>
      </c>
      <c r="E1005" t="s">
        <v>14</v>
      </c>
      <c r="F1005" t="s">
        <v>15</v>
      </c>
      <c r="G1005">
        <v>15219</v>
      </c>
      <c r="H1005" t="s">
        <v>34</v>
      </c>
      <c r="I1005">
        <v>10</v>
      </c>
      <c r="J1005">
        <v>0</v>
      </c>
      <c r="K1005" t="s">
        <v>8131</v>
      </c>
    </row>
    <row r="1006" spans="1:11" x14ac:dyDescent="0.25">
      <c r="A1006" t="s">
        <v>3568</v>
      </c>
      <c r="B1006" t="s">
        <v>3569</v>
      </c>
      <c r="C1006" t="s">
        <v>3570</v>
      </c>
      <c r="D1006" t="s">
        <v>3571</v>
      </c>
      <c r="E1006" t="s">
        <v>14</v>
      </c>
      <c r="F1006" t="s">
        <v>15</v>
      </c>
      <c r="G1006">
        <v>15226</v>
      </c>
      <c r="H1006" t="s">
        <v>34</v>
      </c>
      <c r="I1006">
        <v>51</v>
      </c>
      <c r="J1006">
        <v>1</v>
      </c>
      <c r="K1006" t="s">
        <v>8131</v>
      </c>
    </row>
    <row r="1007" spans="1:11" x14ac:dyDescent="0.25">
      <c r="A1007" t="s">
        <v>3572</v>
      </c>
      <c r="B1007" t="s">
        <v>3573</v>
      </c>
      <c r="C1007" t="s">
        <v>3574</v>
      </c>
      <c r="D1007" t="s">
        <v>2007</v>
      </c>
      <c r="E1007" t="s">
        <v>14</v>
      </c>
      <c r="F1007" t="s">
        <v>15</v>
      </c>
      <c r="G1007">
        <v>15220</v>
      </c>
      <c r="H1007" t="s">
        <v>48</v>
      </c>
      <c r="I1007">
        <v>49</v>
      </c>
      <c r="J1007">
        <v>0</v>
      </c>
      <c r="K1007" t="s">
        <v>8120</v>
      </c>
    </row>
    <row r="1008" spans="1:11" x14ac:dyDescent="0.25">
      <c r="A1008" t="s">
        <v>3575</v>
      </c>
      <c r="B1008" t="s">
        <v>3576</v>
      </c>
      <c r="C1008" t="s">
        <v>3577</v>
      </c>
      <c r="D1008" t="s">
        <v>3578</v>
      </c>
      <c r="E1008" t="s">
        <v>14</v>
      </c>
      <c r="F1008" t="s">
        <v>15</v>
      </c>
      <c r="G1008">
        <v>15222</v>
      </c>
      <c r="H1008" t="s">
        <v>21</v>
      </c>
      <c r="I1008">
        <v>45</v>
      </c>
      <c r="J1008">
        <v>1</v>
      </c>
      <c r="K1008" t="s">
        <v>8121</v>
      </c>
    </row>
    <row r="1009" spans="1:11" x14ac:dyDescent="0.25">
      <c r="A1009" t="s">
        <v>3579</v>
      </c>
      <c r="B1009" t="s">
        <v>282</v>
      </c>
      <c r="C1009" t="s">
        <v>3580</v>
      </c>
      <c r="D1009" t="s">
        <v>3581</v>
      </c>
      <c r="E1009" t="s">
        <v>14</v>
      </c>
      <c r="F1009" t="s">
        <v>15</v>
      </c>
      <c r="G1009">
        <v>15216</v>
      </c>
      <c r="H1009" t="s">
        <v>16</v>
      </c>
      <c r="I1009">
        <v>50</v>
      </c>
      <c r="J1009">
        <v>1</v>
      </c>
      <c r="K1009" t="s">
        <v>8124</v>
      </c>
    </row>
    <row r="1010" spans="1:11" x14ac:dyDescent="0.25">
      <c r="A1010" t="s">
        <v>3582</v>
      </c>
      <c r="B1010" t="s">
        <v>3498</v>
      </c>
      <c r="C1010" t="s">
        <v>3583</v>
      </c>
      <c r="D1010" t="s">
        <v>3584</v>
      </c>
      <c r="E1010" t="s">
        <v>14</v>
      </c>
      <c r="F1010" t="s">
        <v>15</v>
      </c>
      <c r="G1010">
        <v>15222</v>
      </c>
      <c r="H1010" t="s">
        <v>16</v>
      </c>
      <c r="I1010">
        <v>39</v>
      </c>
      <c r="J1010">
        <v>1</v>
      </c>
      <c r="K1010" t="s">
        <v>8131</v>
      </c>
    </row>
    <row r="1011" spans="1:11" x14ac:dyDescent="0.25">
      <c r="A1011" t="s">
        <v>3585</v>
      </c>
      <c r="B1011" t="s">
        <v>3586</v>
      </c>
      <c r="C1011" t="s">
        <v>3587</v>
      </c>
      <c r="D1011" t="s">
        <v>3588</v>
      </c>
      <c r="E1011" t="s">
        <v>14</v>
      </c>
      <c r="F1011" t="s">
        <v>15</v>
      </c>
      <c r="G1011">
        <v>15213</v>
      </c>
      <c r="H1011" t="s">
        <v>43</v>
      </c>
      <c r="I1011">
        <v>59</v>
      </c>
      <c r="J1011">
        <v>0</v>
      </c>
      <c r="K1011" t="s">
        <v>8131</v>
      </c>
    </row>
    <row r="1012" spans="1:11" x14ac:dyDescent="0.25">
      <c r="A1012" t="s">
        <v>3589</v>
      </c>
      <c r="B1012" t="s">
        <v>3590</v>
      </c>
      <c r="C1012" t="s">
        <v>3591</v>
      </c>
      <c r="D1012" t="s">
        <v>3592</v>
      </c>
      <c r="E1012" t="s">
        <v>14</v>
      </c>
      <c r="F1012" t="s">
        <v>15</v>
      </c>
      <c r="G1012">
        <v>15219</v>
      </c>
      <c r="H1012" t="s">
        <v>16</v>
      </c>
      <c r="I1012">
        <v>4</v>
      </c>
      <c r="J1012">
        <v>1</v>
      </c>
      <c r="K1012" t="s">
        <v>8131</v>
      </c>
    </row>
    <row r="1013" spans="1:11" x14ac:dyDescent="0.25">
      <c r="A1013" t="s">
        <v>3593</v>
      </c>
      <c r="B1013" t="s">
        <v>3594</v>
      </c>
      <c r="C1013" t="s">
        <v>3595</v>
      </c>
      <c r="D1013" t="s">
        <v>3596</v>
      </c>
      <c r="E1013" t="s">
        <v>14</v>
      </c>
      <c r="F1013" t="s">
        <v>15</v>
      </c>
      <c r="G1013">
        <v>15231</v>
      </c>
      <c r="H1013" t="s">
        <v>48</v>
      </c>
      <c r="I1013">
        <v>6</v>
      </c>
      <c r="J1013">
        <v>1</v>
      </c>
      <c r="K1013" t="s">
        <v>8124</v>
      </c>
    </row>
    <row r="1014" spans="1:11" x14ac:dyDescent="0.25">
      <c r="A1014" t="s">
        <v>3597</v>
      </c>
      <c r="B1014" t="s">
        <v>3598</v>
      </c>
      <c r="C1014" t="s">
        <v>3599</v>
      </c>
      <c r="D1014" t="s">
        <v>3600</v>
      </c>
      <c r="E1014" t="s">
        <v>14</v>
      </c>
      <c r="F1014" t="s">
        <v>15</v>
      </c>
      <c r="G1014">
        <v>15213</v>
      </c>
      <c r="H1014" t="s">
        <v>48</v>
      </c>
      <c r="I1014">
        <v>15</v>
      </c>
      <c r="J1014">
        <v>1</v>
      </c>
      <c r="K1014" t="s">
        <v>8131</v>
      </c>
    </row>
    <row r="1015" spans="1:11" x14ac:dyDescent="0.25">
      <c r="A1015" t="s">
        <v>3601</v>
      </c>
      <c r="B1015" t="s">
        <v>3602</v>
      </c>
      <c r="C1015" t="s">
        <v>3603</v>
      </c>
      <c r="D1015" t="s">
        <v>3604</v>
      </c>
      <c r="E1015" t="s">
        <v>14</v>
      </c>
      <c r="F1015" t="s">
        <v>15</v>
      </c>
      <c r="G1015">
        <v>15222</v>
      </c>
      <c r="H1015" t="s">
        <v>16</v>
      </c>
      <c r="I1015">
        <v>113</v>
      </c>
      <c r="J1015">
        <v>0</v>
      </c>
      <c r="K1015" t="s">
        <v>8131</v>
      </c>
    </row>
    <row r="1016" spans="1:11" x14ac:dyDescent="0.25">
      <c r="A1016" t="s">
        <v>3605</v>
      </c>
      <c r="B1016" t="s">
        <v>282</v>
      </c>
      <c r="C1016" t="s">
        <v>3606</v>
      </c>
      <c r="D1016" t="s">
        <v>2807</v>
      </c>
      <c r="E1016" t="s">
        <v>14</v>
      </c>
      <c r="F1016" t="s">
        <v>15</v>
      </c>
      <c r="G1016">
        <v>15206</v>
      </c>
      <c r="H1016" t="s">
        <v>34</v>
      </c>
      <c r="I1016">
        <v>31</v>
      </c>
      <c r="J1016">
        <v>0</v>
      </c>
      <c r="K1016" t="s">
        <v>8124</v>
      </c>
    </row>
    <row r="1017" spans="1:11" x14ac:dyDescent="0.25">
      <c r="A1017" t="s">
        <v>3607</v>
      </c>
      <c r="B1017" t="s">
        <v>3608</v>
      </c>
      <c r="C1017" t="s">
        <v>3609</v>
      </c>
      <c r="D1017" t="s">
        <v>3610</v>
      </c>
      <c r="E1017" t="s">
        <v>14</v>
      </c>
      <c r="F1017" t="s">
        <v>15</v>
      </c>
      <c r="G1017">
        <v>15224</v>
      </c>
      <c r="H1017" t="s">
        <v>48</v>
      </c>
      <c r="I1017">
        <v>7</v>
      </c>
      <c r="J1017">
        <v>0</v>
      </c>
      <c r="K1017" t="s">
        <v>8131</v>
      </c>
    </row>
    <row r="1018" spans="1:11" x14ac:dyDescent="0.25">
      <c r="A1018" t="e">
        <f>-k80VNg0yqYQakKZILwViQ</f>
        <v>#NAME?</v>
      </c>
      <c r="B1018" t="s">
        <v>298</v>
      </c>
      <c r="C1018" t="s">
        <v>32</v>
      </c>
      <c r="D1018" t="s">
        <v>3611</v>
      </c>
      <c r="E1018" t="s">
        <v>14</v>
      </c>
      <c r="F1018" t="s">
        <v>15</v>
      </c>
      <c r="G1018">
        <v>15222</v>
      </c>
      <c r="H1018" t="s">
        <v>48</v>
      </c>
      <c r="I1018">
        <v>4</v>
      </c>
      <c r="J1018">
        <v>1</v>
      </c>
      <c r="K1018" t="s">
        <v>8131</v>
      </c>
    </row>
    <row r="1019" spans="1:11" x14ac:dyDescent="0.25">
      <c r="A1019" t="s">
        <v>3612</v>
      </c>
      <c r="B1019" t="s">
        <v>1416</v>
      </c>
      <c r="C1019" t="s">
        <v>32</v>
      </c>
      <c r="D1019" t="s">
        <v>3613</v>
      </c>
      <c r="E1019" t="s">
        <v>14</v>
      </c>
      <c r="F1019" t="s">
        <v>15</v>
      </c>
      <c r="G1019">
        <v>15237</v>
      </c>
      <c r="H1019" t="s">
        <v>48</v>
      </c>
      <c r="I1019">
        <v>3</v>
      </c>
      <c r="J1019">
        <v>1</v>
      </c>
      <c r="K1019" t="s">
        <v>8131</v>
      </c>
    </row>
    <row r="1020" spans="1:11" x14ac:dyDescent="0.25">
      <c r="A1020" t="s">
        <v>3614</v>
      </c>
      <c r="B1020" t="s">
        <v>65</v>
      </c>
      <c r="C1020" t="s">
        <v>3615</v>
      </c>
      <c r="D1020" t="s">
        <v>3616</v>
      </c>
      <c r="E1020" t="s">
        <v>14</v>
      </c>
      <c r="F1020" t="s">
        <v>15</v>
      </c>
      <c r="G1020">
        <v>15205</v>
      </c>
      <c r="H1020" t="s">
        <v>48</v>
      </c>
      <c r="I1020">
        <v>141</v>
      </c>
      <c r="J1020">
        <v>1</v>
      </c>
      <c r="K1020" t="s">
        <v>8131</v>
      </c>
    </row>
    <row r="1021" spans="1:11" x14ac:dyDescent="0.25">
      <c r="A1021" t="s">
        <v>3617</v>
      </c>
      <c r="B1021" t="s">
        <v>3618</v>
      </c>
      <c r="C1021" t="s">
        <v>1708</v>
      </c>
      <c r="D1021" t="s">
        <v>3619</v>
      </c>
      <c r="E1021" t="s">
        <v>14</v>
      </c>
      <c r="F1021" t="s">
        <v>15</v>
      </c>
      <c r="G1021">
        <v>15236</v>
      </c>
      <c r="H1021" t="s">
        <v>48</v>
      </c>
      <c r="I1021">
        <v>3</v>
      </c>
      <c r="J1021">
        <v>1</v>
      </c>
      <c r="K1021" t="s">
        <v>8131</v>
      </c>
    </row>
    <row r="1022" spans="1:11" x14ac:dyDescent="0.25">
      <c r="A1022" t="s">
        <v>3620</v>
      </c>
      <c r="B1022" t="s">
        <v>65</v>
      </c>
      <c r="C1022" t="s">
        <v>3621</v>
      </c>
      <c r="D1022" t="s">
        <v>3622</v>
      </c>
      <c r="E1022" t="s">
        <v>14</v>
      </c>
      <c r="F1022" t="s">
        <v>15</v>
      </c>
      <c r="G1022">
        <v>15212</v>
      </c>
      <c r="H1022" t="s">
        <v>48</v>
      </c>
      <c r="I1022">
        <v>13</v>
      </c>
      <c r="J1022">
        <v>0</v>
      </c>
      <c r="K1022" t="s">
        <v>8131</v>
      </c>
    </row>
    <row r="1023" spans="1:11" x14ac:dyDescent="0.25">
      <c r="A1023" t="s">
        <v>3623</v>
      </c>
      <c r="B1023" t="s">
        <v>119</v>
      </c>
      <c r="C1023" t="s">
        <v>3624</v>
      </c>
      <c r="D1023" t="s">
        <v>1886</v>
      </c>
      <c r="E1023" t="s">
        <v>14</v>
      </c>
      <c r="F1023" t="s">
        <v>15</v>
      </c>
      <c r="G1023">
        <v>15206</v>
      </c>
      <c r="H1023" t="s">
        <v>16</v>
      </c>
      <c r="I1023">
        <v>211</v>
      </c>
      <c r="J1023">
        <v>1</v>
      </c>
      <c r="K1023" t="s">
        <v>8131</v>
      </c>
    </row>
    <row r="1024" spans="1:11" x14ac:dyDescent="0.25">
      <c r="A1024" t="s">
        <v>3625</v>
      </c>
      <c r="B1024" t="s">
        <v>3626</v>
      </c>
      <c r="C1024" t="s">
        <v>1001</v>
      </c>
      <c r="D1024" t="s">
        <v>3627</v>
      </c>
      <c r="E1024" t="s">
        <v>14</v>
      </c>
      <c r="F1024" t="s">
        <v>15</v>
      </c>
      <c r="G1024">
        <v>15238</v>
      </c>
      <c r="H1024" t="s">
        <v>34</v>
      </c>
      <c r="I1024">
        <v>18</v>
      </c>
      <c r="J1024">
        <v>1</v>
      </c>
      <c r="K1024" t="s">
        <v>8131</v>
      </c>
    </row>
    <row r="1025" spans="1:11" x14ac:dyDescent="0.25">
      <c r="A1025" t="s">
        <v>3628</v>
      </c>
      <c r="B1025" t="s">
        <v>36</v>
      </c>
      <c r="C1025" t="s">
        <v>3629</v>
      </c>
      <c r="D1025" t="s">
        <v>3630</v>
      </c>
      <c r="E1025" t="s">
        <v>14</v>
      </c>
      <c r="F1025" t="s">
        <v>15</v>
      </c>
      <c r="G1025">
        <v>15222</v>
      </c>
      <c r="H1025" t="s">
        <v>16</v>
      </c>
      <c r="I1025">
        <v>17</v>
      </c>
      <c r="J1025">
        <v>1</v>
      </c>
      <c r="K1025" t="s">
        <v>8131</v>
      </c>
    </row>
    <row r="1026" spans="1:11" x14ac:dyDescent="0.25">
      <c r="A1026" t="s">
        <v>3631</v>
      </c>
      <c r="B1026" t="s">
        <v>474</v>
      </c>
      <c r="C1026" t="s">
        <v>3632</v>
      </c>
      <c r="D1026" t="s">
        <v>3633</v>
      </c>
      <c r="E1026" t="s">
        <v>14</v>
      </c>
      <c r="F1026" t="s">
        <v>15</v>
      </c>
      <c r="G1026">
        <v>15213</v>
      </c>
      <c r="H1026" t="s">
        <v>34</v>
      </c>
      <c r="I1026">
        <v>43</v>
      </c>
      <c r="J1026">
        <v>1</v>
      </c>
      <c r="K1026" t="s">
        <v>8120</v>
      </c>
    </row>
    <row r="1027" spans="1:11" x14ac:dyDescent="0.25">
      <c r="A1027" t="s">
        <v>3634</v>
      </c>
      <c r="B1027" t="s">
        <v>3635</v>
      </c>
      <c r="C1027" t="s">
        <v>3636</v>
      </c>
      <c r="D1027" t="s">
        <v>3637</v>
      </c>
      <c r="E1027" t="s">
        <v>14</v>
      </c>
      <c r="F1027" t="s">
        <v>15</v>
      </c>
      <c r="G1027">
        <v>15224</v>
      </c>
      <c r="H1027" t="s">
        <v>21</v>
      </c>
      <c r="I1027">
        <v>3</v>
      </c>
      <c r="J1027">
        <v>1</v>
      </c>
      <c r="K1027" t="s">
        <v>8131</v>
      </c>
    </row>
    <row r="1028" spans="1:11" x14ac:dyDescent="0.25">
      <c r="A1028" t="s">
        <v>3638</v>
      </c>
      <c r="B1028" t="s">
        <v>2090</v>
      </c>
      <c r="C1028" t="s">
        <v>2013</v>
      </c>
      <c r="D1028" t="s">
        <v>3639</v>
      </c>
      <c r="E1028" t="s">
        <v>14</v>
      </c>
      <c r="F1028" t="s">
        <v>15</v>
      </c>
      <c r="G1028">
        <v>15205</v>
      </c>
      <c r="H1028" t="s">
        <v>34</v>
      </c>
      <c r="I1028">
        <v>6</v>
      </c>
      <c r="J1028">
        <v>1</v>
      </c>
      <c r="K1028" t="s">
        <v>8131</v>
      </c>
    </row>
    <row r="1029" spans="1:11" x14ac:dyDescent="0.25">
      <c r="A1029" t="s">
        <v>3640</v>
      </c>
      <c r="B1029" t="s">
        <v>3641</v>
      </c>
      <c r="C1029" t="s">
        <v>3642</v>
      </c>
      <c r="D1029" t="s">
        <v>1262</v>
      </c>
      <c r="E1029" t="s">
        <v>14</v>
      </c>
      <c r="F1029" t="s">
        <v>15</v>
      </c>
      <c r="G1029">
        <v>15203</v>
      </c>
      <c r="H1029" t="s">
        <v>48</v>
      </c>
      <c r="I1029">
        <v>26</v>
      </c>
      <c r="J1029">
        <v>0</v>
      </c>
      <c r="K1029" t="s">
        <v>8120</v>
      </c>
    </row>
    <row r="1030" spans="1:11" x14ac:dyDescent="0.25">
      <c r="A1030" t="s">
        <v>3643</v>
      </c>
      <c r="B1030" t="s">
        <v>3644</v>
      </c>
      <c r="C1030" t="s">
        <v>3645</v>
      </c>
      <c r="D1030" t="s">
        <v>3646</v>
      </c>
      <c r="E1030" t="s">
        <v>14</v>
      </c>
      <c r="F1030" t="s">
        <v>15</v>
      </c>
      <c r="G1030">
        <v>15213</v>
      </c>
      <c r="H1030" t="s">
        <v>34</v>
      </c>
      <c r="I1030">
        <v>3</v>
      </c>
      <c r="J1030">
        <v>1</v>
      </c>
      <c r="K1030" t="s">
        <v>8131</v>
      </c>
    </row>
    <row r="1031" spans="1:11" x14ac:dyDescent="0.25">
      <c r="A1031" t="s">
        <v>3647</v>
      </c>
      <c r="B1031" t="s">
        <v>3648</v>
      </c>
      <c r="C1031" t="s">
        <v>3649</v>
      </c>
      <c r="D1031" t="s">
        <v>3650</v>
      </c>
      <c r="E1031" t="s">
        <v>14</v>
      </c>
      <c r="F1031" t="s">
        <v>15</v>
      </c>
      <c r="G1031">
        <v>15201</v>
      </c>
      <c r="H1031" t="s">
        <v>48</v>
      </c>
      <c r="I1031">
        <v>43</v>
      </c>
      <c r="J1031">
        <v>0</v>
      </c>
      <c r="K1031" t="s">
        <v>8131</v>
      </c>
    </row>
    <row r="1032" spans="1:11" x14ac:dyDescent="0.25">
      <c r="A1032" t="s">
        <v>3651</v>
      </c>
      <c r="B1032" t="s">
        <v>3652</v>
      </c>
      <c r="C1032" t="s">
        <v>3653</v>
      </c>
      <c r="D1032" t="s">
        <v>3654</v>
      </c>
      <c r="E1032" t="s">
        <v>14</v>
      </c>
      <c r="F1032" t="s">
        <v>15</v>
      </c>
      <c r="G1032">
        <v>15213</v>
      </c>
      <c r="H1032" t="s">
        <v>48</v>
      </c>
      <c r="I1032">
        <v>42</v>
      </c>
      <c r="J1032">
        <v>1</v>
      </c>
      <c r="K1032" t="s">
        <v>8131</v>
      </c>
    </row>
    <row r="1033" spans="1:11" x14ac:dyDescent="0.25">
      <c r="A1033" t="s">
        <v>3655</v>
      </c>
      <c r="B1033" t="s">
        <v>119</v>
      </c>
      <c r="C1033" t="s">
        <v>3656</v>
      </c>
      <c r="D1033" t="s">
        <v>3657</v>
      </c>
      <c r="E1033" t="s">
        <v>14</v>
      </c>
      <c r="F1033" t="s">
        <v>15</v>
      </c>
      <c r="G1033">
        <v>15222</v>
      </c>
      <c r="H1033" t="s">
        <v>43</v>
      </c>
      <c r="I1033">
        <v>9</v>
      </c>
      <c r="J1033">
        <v>1</v>
      </c>
      <c r="K1033" t="s">
        <v>8131</v>
      </c>
    </row>
    <row r="1034" spans="1:11" x14ac:dyDescent="0.25">
      <c r="A1034" t="s">
        <v>3658</v>
      </c>
      <c r="B1034" t="s">
        <v>1384</v>
      </c>
      <c r="C1034" t="s">
        <v>147</v>
      </c>
      <c r="D1034" t="s">
        <v>616</v>
      </c>
      <c r="E1034" t="s">
        <v>14</v>
      </c>
      <c r="F1034" t="s">
        <v>15</v>
      </c>
      <c r="G1034">
        <v>15219</v>
      </c>
      <c r="H1034" t="s">
        <v>34</v>
      </c>
      <c r="I1034">
        <v>9</v>
      </c>
      <c r="J1034">
        <v>0</v>
      </c>
      <c r="K1034" t="s">
        <v>8131</v>
      </c>
    </row>
    <row r="1035" spans="1:11" x14ac:dyDescent="0.25">
      <c r="A1035" t="s">
        <v>3659</v>
      </c>
      <c r="B1035" t="s">
        <v>3660</v>
      </c>
      <c r="C1035" t="s">
        <v>3661</v>
      </c>
      <c r="D1035" t="s">
        <v>3662</v>
      </c>
      <c r="E1035" t="s">
        <v>14</v>
      </c>
      <c r="F1035" t="s">
        <v>15</v>
      </c>
      <c r="G1035">
        <v>15206</v>
      </c>
      <c r="H1035" t="s">
        <v>48</v>
      </c>
      <c r="I1035">
        <v>221</v>
      </c>
      <c r="J1035">
        <v>1</v>
      </c>
      <c r="K1035" t="s">
        <v>8125</v>
      </c>
    </row>
    <row r="1036" spans="1:11" x14ac:dyDescent="0.25">
      <c r="A1036" t="s">
        <v>3663</v>
      </c>
      <c r="B1036" t="s">
        <v>1384</v>
      </c>
      <c r="C1036" t="s">
        <v>3664</v>
      </c>
      <c r="D1036" t="s">
        <v>3665</v>
      </c>
      <c r="E1036" t="s">
        <v>14</v>
      </c>
      <c r="F1036" t="s">
        <v>15</v>
      </c>
      <c r="G1036">
        <v>15223</v>
      </c>
      <c r="H1036" t="s">
        <v>21</v>
      </c>
      <c r="I1036">
        <v>38</v>
      </c>
      <c r="J1036">
        <v>1</v>
      </c>
      <c r="K1036" t="s">
        <v>8131</v>
      </c>
    </row>
    <row r="1037" spans="1:11" x14ac:dyDescent="0.25">
      <c r="A1037" t="s">
        <v>3666</v>
      </c>
      <c r="B1037" t="s">
        <v>3667</v>
      </c>
      <c r="C1037" t="s">
        <v>2418</v>
      </c>
      <c r="D1037" t="s">
        <v>3668</v>
      </c>
      <c r="E1037" t="s">
        <v>14</v>
      </c>
      <c r="F1037" t="s">
        <v>15</v>
      </c>
      <c r="G1037">
        <v>15238</v>
      </c>
      <c r="H1037" t="s">
        <v>34</v>
      </c>
      <c r="I1037">
        <v>92</v>
      </c>
      <c r="J1037">
        <v>1</v>
      </c>
      <c r="K1037" t="s">
        <v>8131</v>
      </c>
    </row>
    <row r="1038" spans="1:11" x14ac:dyDescent="0.25">
      <c r="A1038" t="s">
        <v>3669</v>
      </c>
      <c r="B1038" t="s">
        <v>2897</v>
      </c>
      <c r="C1038" t="s">
        <v>3670</v>
      </c>
      <c r="D1038" t="s">
        <v>902</v>
      </c>
      <c r="E1038" t="s">
        <v>14</v>
      </c>
      <c r="F1038" t="s">
        <v>15</v>
      </c>
      <c r="G1038">
        <v>15213</v>
      </c>
      <c r="H1038" t="s">
        <v>16</v>
      </c>
      <c r="I1038">
        <v>170</v>
      </c>
      <c r="J1038">
        <v>1</v>
      </c>
      <c r="K1038" t="s">
        <v>8119</v>
      </c>
    </row>
    <row r="1039" spans="1:11" x14ac:dyDescent="0.25">
      <c r="A1039" t="s">
        <v>3671</v>
      </c>
      <c r="B1039" t="s">
        <v>316</v>
      </c>
      <c r="C1039" t="s">
        <v>260</v>
      </c>
      <c r="D1039" t="s">
        <v>3672</v>
      </c>
      <c r="E1039" t="s">
        <v>14</v>
      </c>
      <c r="F1039" t="s">
        <v>15</v>
      </c>
      <c r="G1039">
        <v>15220</v>
      </c>
      <c r="H1039" t="s">
        <v>34</v>
      </c>
      <c r="I1039">
        <v>39</v>
      </c>
      <c r="J1039">
        <v>1</v>
      </c>
      <c r="K1039" t="s">
        <v>8122</v>
      </c>
    </row>
    <row r="1040" spans="1:11" x14ac:dyDescent="0.25">
      <c r="A1040" t="s">
        <v>3673</v>
      </c>
      <c r="B1040" t="s">
        <v>3674</v>
      </c>
      <c r="C1040" t="s">
        <v>3675</v>
      </c>
      <c r="D1040" t="s">
        <v>3676</v>
      </c>
      <c r="E1040" t="s">
        <v>14</v>
      </c>
      <c r="F1040" t="s">
        <v>15</v>
      </c>
      <c r="G1040">
        <v>15222</v>
      </c>
      <c r="H1040" t="s">
        <v>48</v>
      </c>
      <c r="I1040">
        <v>105</v>
      </c>
      <c r="J1040">
        <v>1</v>
      </c>
      <c r="K1040" t="s">
        <v>8121</v>
      </c>
    </row>
    <row r="1041" spans="1:11" x14ac:dyDescent="0.25">
      <c r="A1041" t="s">
        <v>3677</v>
      </c>
      <c r="B1041" t="s">
        <v>1664</v>
      </c>
      <c r="C1041" t="s">
        <v>3678</v>
      </c>
      <c r="D1041" t="s">
        <v>172</v>
      </c>
      <c r="E1041" t="s">
        <v>14</v>
      </c>
      <c r="F1041" t="s">
        <v>15</v>
      </c>
      <c r="G1041">
        <v>15213</v>
      </c>
      <c r="H1041" t="s">
        <v>34</v>
      </c>
      <c r="I1041">
        <v>11</v>
      </c>
      <c r="J1041">
        <v>0</v>
      </c>
      <c r="K1041" t="s">
        <v>8131</v>
      </c>
    </row>
    <row r="1042" spans="1:11" x14ac:dyDescent="0.25">
      <c r="A1042" t="s">
        <v>3679</v>
      </c>
      <c r="B1042" t="s">
        <v>3680</v>
      </c>
      <c r="C1042" t="s">
        <v>3681</v>
      </c>
      <c r="D1042" t="s">
        <v>3682</v>
      </c>
      <c r="E1042" t="s">
        <v>14</v>
      </c>
      <c r="F1042" t="s">
        <v>15</v>
      </c>
      <c r="G1042">
        <v>15207</v>
      </c>
      <c r="H1042" t="s">
        <v>16</v>
      </c>
      <c r="I1042">
        <v>30</v>
      </c>
      <c r="J1042">
        <v>1</v>
      </c>
      <c r="K1042" t="s">
        <v>8131</v>
      </c>
    </row>
    <row r="1043" spans="1:11" x14ac:dyDescent="0.25">
      <c r="A1043" t="s">
        <v>3683</v>
      </c>
      <c r="B1043" t="s">
        <v>3684</v>
      </c>
      <c r="C1043" t="s">
        <v>3685</v>
      </c>
      <c r="D1043" t="s">
        <v>2018</v>
      </c>
      <c r="E1043" t="s">
        <v>14</v>
      </c>
      <c r="F1043" t="s">
        <v>15</v>
      </c>
      <c r="G1043">
        <v>15213</v>
      </c>
      <c r="H1043" t="s">
        <v>21</v>
      </c>
      <c r="I1043">
        <v>3</v>
      </c>
      <c r="J1043">
        <v>0</v>
      </c>
      <c r="K1043" t="s">
        <v>8131</v>
      </c>
    </row>
    <row r="1044" spans="1:11" x14ac:dyDescent="0.25">
      <c r="A1044" t="s">
        <v>3686</v>
      </c>
      <c r="B1044" t="s">
        <v>3687</v>
      </c>
      <c r="C1044" t="s">
        <v>2044</v>
      </c>
      <c r="D1044" t="s">
        <v>3688</v>
      </c>
      <c r="E1044" t="s">
        <v>14</v>
      </c>
      <c r="F1044" t="s">
        <v>15</v>
      </c>
      <c r="G1044">
        <v>15229</v>
      </c>
      <c r="H1044" t="s">
        <v>113</v>
      </c>
      <c r="I1044">
        <v>21</v>
      </c>
      <c r="J1044">
        <v>1</v>
      </c>
      <c r="K1044" t="s">
        <v>8131</v>
      </c>
    </row>
    <row r="1045" spans="1:11" x14ac:dyDescent="0.25">
      <c r="A1045" t="s">
        <v>3689</v>
      </c>
      <c r="B1045" t="s">
        <v>274</v>
      </c>
      <c r="C1045" t="s">
        <v>3690</v>
      </c>
      <c r="D1045" t="s">
        <v>3691</v>
      </c>
      <c r="E1045" t="s">
        <v>14</v>
      </c>
      <c r="F1045" t="s">
        <v>15</v>
      </c>
      <c r="G1045">
        <v>15235</v>
      </c>
      <c r="H1045" t="s">
        <v>21</v>
      </c>
      <c r="I1045">
        <v>42</v>
      </c>
      <c r="J1045">
        <v>1</v>
      </c>
      <c r="K1045" t="s">
        <v>8120</v>
      </c>
    </row>
    <row r="1046" spans="1:11" x14ac:dyDescent="0.25">
      <c r="A1046" t="s">
        <v>3692</v>
      </c>
      <c r="B1046" t="s">
        <v>3693</v>
      </c>
      <c r="C1046" t="s">
        <v>3694</v>
      </c>
      <c r="D1046" t="s">
        <v>2906</v>
      </c>
      <c r="E1046" t="s">
        <v>14</v>
      </c>
      <c r="F1046" t="s">
        <v>15</v>
      </c>
      <c r="G1046">
        <v>15228</v>
      </c>
      <c r="H1046" t="s">
        <v>21</v>
      </c>
      <c r="I1046">
        <v>56</v>
      </c>
      <c r="J1046">
        <v>0</v>
      </c>
      <c r="K1046" t="s">
        <v>8128</v>
      </c>
    </row>
    <row r="1047" spans="1:11" x14ac:dyDescent="0.25">
      <c r="A1047" t="s">
        <v>3695</v>
      </c>
      <c r="B1047" t="s">
        <v>3696</v>
      </c>
      <c r="C1047" t="s">
        <v>3697</v>
      </c>
      <c r="D1047" t="s">
        <v>3698</v>
      </c>
      <c r="E1047" t="s">
        <v>14</v>
      </c>
      <c r="F1047" t="s">
        <v>15</v>
      </c>
      <c r="G1047">
        <v>15205</v>
      </c>
      <c r="H1047" t="s">
        <v>48</v>
      </c>
      <c r="I1047">
        <v>12</v>
      </c>
      <c r="J1047">
        <v>1</v>
      </c>
      <c r="K1047" t="s">
        <v>8131</v>
      </c>
    </row>
    <row r="1048" spans="1:11" x14ac:dyDescent="0.25">
      <c r="A1048" t="s">
        <v>3699</v>
      </c>
      <c r="B1048" t="s">
        <v>377</v>
      </c>
      <c r="C1048" t="s">
        <v>3700</v>
      </c>
      <c r="D1048" t="s">
        <v>3701</v>
      </c>
      <c r="E1048" t="s">
        <v>14</v>
      </c>
      <c r="F1048" t="s">
        <v>15</v>
      </c>
      <c r="G1048">
        <v>15219</v>
      </c>
      <c r="H1048" t="s">
        <v>34</v>
      </c>
      <c r="I1048">
        <v>28</v>
      </c>
      <c r="J1048">
        <v>0</v>
      </c>
      <c r="K1048" t="s">
        <v>8124</v>
      </c>
    </row>
    <row r="1049" spans="1:11" x14ac:dyDescent="0.25">
      <c r="A1049" t="s">
        <v>3702</v>
      </c>
      <c r="B1049" t="s">
        <v>720</v>
      </c>
      <c r="C1049" t="s">
        <v>3703</v>
      </c>
      <c r="D1049" t="s">
        <v>3704</v>
      </c>
      <c r="E1049" t="s">
        <v>14</v>
      </c>
      <c r="F1049" t="s">
        <v>15</v>
      </c>
      <c r="G1049">
        <v>15206</v>
      </c>
      <c r="H1049" t="s">
        <v>48</v>
      </c>
      <c r="I1049">
        <v>72</v>
      </c>
      <c r="J1049">
        <v>1</v>
      </c>
      <c r="K1049" t="s">
        <v>8131</v>
      </c>
    </row>
    <row r="1050" spans="1:11" x14ac:dyDescent="0.25">
      <c r="A1050" t="s">
        <v>3705</v>
      </c>
      <c r="B1050" t="s">
        <v>3706</v>
      </c>
      <c r="C1050" t="s">
        <v>3075</v>
      </c>
      <c r="D1050" t="s">
        <v>3707</v>
      </c>
      <c r="E1050" t="s">
        <v>14</v>
      </c>
      <c r="F1050" t="s">
        <v>15</v>
      </c>
      <c r="G1050">
        <v>15213</v>
      </c>
      <c r="H1050" t="s">
        <v>34</v>
      </c>
      <c r="I1050">
        <v>30</v>
      </c>
      <c r="J1050">
        <v>1</v>
      </c>
      <c r="K1050" t="s">
        <v>8117</v>
      </c>
    </row>
    <row r="1051" spans="1:11" x14ac:dyDescent="0.25">
      <c r="A1051" t="s">
        <v>3708</v>
      </c>
      <c r="B1051" t="s">
        <v>3709</v>
      </c>
      <c r="C1051" t="s">
        <v>3710</v>
      </c>
      <c r="E1051" t="s">
        <v>14</v>
      </c>
      <c r="F1051" t="s">
        <v>15</v>
      </c>
      <c r="G1051">
        <v>15206</v>
      </c>
      <c r="H1051" t="s">
        <v>21</v>
      </c>
      <c r="I1051">
        <v>15</v>
      </c>
      <c r="J1051">
        <v>1</v>
      </c>
      <c r="K1051" t="s">
        <v>8129</v>
      </c>
    </row>
    <row r="1052" spans="1:11" x14ac:dyDescent="0.25">
      <c r="A1052" t="s">
        <v>3711</v>
      </c>
      <c r="B1052" t="s">
        <v>3712</v>
      </c>
      <c r="C1052" t="s">
        <v>3713</v>
      </c>
      <c r="D1052" t="s">
        <v>3714</v>
      </c>
      <c r="E1052" t="s">
        <v>14</v>
      </c>
      <c r="F1052" t="s">
        <v>15</v>
      </c>
      <c r="G1052">
        <v>15235</v>
      </c>
      <c r="H1052" t="s">
        <v>21</v>
      </c>
      <c r="I1052">
        <v>156</v>
      </c>
      <c r="J1052">
        <v>1</v>
      </c>
      <c r="K1052" t="s">
        <v>8127</v>
      </c>
    </row>
    <row r="1053" spans="1:11" x14ac:dyDescent="0.25">
      <c r="A1053" t="s">
        <v>3715</v>
      </c>
      <c r="B1053" t="s">
        <v>3716</v>
      </c>
      <c r="C1053" t="s">
        <v>3717</v>
      </c>
      <c r="D1053" t="s">
        <v>3156</v>
      </c>
      <c r="E1053" t="s">
        <v>14</v>
      </c>
      <c r="F1053" t="s">
        <v>15</v>
      </c>
      <c r="G1053">
        <v>15213</v>
      </c>
      <c r="H1053" t="s">
        <v>21</v>
      </c>
      <c r="I1053">
        <v>166</v>
      </c>
      <c r="J1053">
        <v>1</v>
      </c>
      <c r="K1053" t="s">
        <v>8133</v>
      </c>
    </row>
    <row r="1054" spans="1:11" x14ac:dyDescent="0.25">
      <c r="A1054" t="s">
        <v>3718</v>
      </c>
      <c r="B1054" t="s">
        <v>119</v>
      </c>
      <c r="C1054" t="s">
        <v>3719</v>
      </c>
      <c r="D1054" t="s">
        <v>3720</v>
      </c>
      <c r="E1054" t="s">
        <v>14</v>
      </c>
      <c r="F1054" t="s">
        <v>15</v>
      </c>
      <c r="G1054">
        <v>15222</v>
      </c>
      <c r="H1054" t="s">
        <v>43</v>
      </c>
      <c r="I1054">
        <v>6</v>
      </c>
      <c r="J1054">
        <v>0</v>
      </c>
      <c r="K1054" t="s">
        <v>8131</v>
      </c>
    </row>
    <row r="1055" spans="1:11" x14ac:dyDescent="0.25">
      <c r="A1055" t="s">
        <v>3721</v>
      </c>
      <c r="B1055" t="s">
        <v>2897</v>
      </c>
      <c r="C1055" t="s">
        <v>3722</v>
      </c>
      <c r="D1055" t="s">
        <v>3723</v>
      </c>
      <c r="E1055" t="s">
        <v>14</v>
      </c>
      <c r="F1055" t="s">
        <v>15</v>
      </c>
      <c r="G1055">
        <v>15222</v>
      </c>
      <c r="H1055" t="s">
        <v>34</v>
      </c>
      <c r="I1055">
        <v>5</v>
      </c>
      <c r="J1055">
        <v>0</v>
      </c>
      <c r="K1055" t="s">
        <v>8119</v>
      </c>
    </row>
    <row r="1056" spans="1:11" x14ac:dyDescent="0.25">
      <c r="A1056" t="s">
        <v>3724</v>
      </c>
      <c r="B1056" t="s">
        <v>3725</v>
      </c>
      <c r="C1056" t="s">
        <v>147</v>
      </c>
      <c r="D1056" t="s">
        <v>3726</v>
      </c>
      <c r="E1056" t="s">
        <v>14</v>
      </c>
      <c r="F1056" t="s">
        <v>15</v>
      </c>
      <c r="G1056">
        <v>15219</v>
      </c>
      <c r="H1056" t="s">
        <v>34</v>
      </c>
      <c r="I1056">
        <v>4</v>
      </c>
      <c r="J1056">
        <v>1</v>
      </c>
      <c r="K1056" t="s">
        <v>8131</v>
      </c>
    </row>
    <row r="1057" spans="1:11" x14ac:dyDescent="0.25">
      <c r="A1057" t="s">
        <v>3727</v>
      </c>
      <c r="B1057" t="s">
        <v>3728</v>
      </c>
      <c r="C1057" t="s">
        <v>3729</v>
      </c>
      <c r="D1057" t="s">
        <v>3730</v>
      </c>
      <c r="E1057" t="s">
        <v>14</v>
      </c>
      <c r="F1057" t="s">
        <v>15</v>
      </c>
      <c r="G1057">
        <v>15216</v>
      </c>
      <c r="H1057" t="s">
        <v>16</v>
      </c>
      <c r="I1057">
        <v>77</v>
      </c>
      <c r="J1057">
        <v>1</v>
      </c>
      <c r="K1057" t="s">
        <v>8131</v>
      </c>
    </row>
    <row r="1058" spans="1:11" x14ac:dyDescent="0.25">
      <c r="A1058" t="e">
        <f>-kmPZ1i8fJBCAlVcTWqAeA</f>
        <v>#NAME?</v>
      </c>
      <c r="B1058" t="s">
        <v>3731</v>
      </c>
      <c r="C1058" t="s">
        <v>3732</v>
      </c>
      <c r="D1058" t="s">
        <v>3733</v>
      </c>
      <c r="E1058" t="s">
        <v>14</v>
      </c>
      <c r="F1058" t="s">
        <v>15</v>
      </c>
      <c r="G1058">
        <v>15209</v>
      </c>
      <c r="H1058" t="s">
        <v>16</v>
      </c>
      <c r="I1058">
        <v>42</v>
      </c>
      <c r="J1058">
        <v>1</v>
      </c>
      <c r="K1058" t="s">
        <v>8131</v>
      </c>
    </row>
    <row r="1059" spans="1:11" x14ac:dyDescent="0.25">
      <c r="A1059" t="s">
        <v>3734</v>
      </c>
      <c r="B1059" t="s">
        <v>3735</v>
      </c>
      <c r="C1059" t="s">
        <v>913</v>
      </c>
      <c r="D1059" t="s">
        <v>3736</v>
      </c>
      <c r="E1059" t="s">
        <v>14</v>
      </c>
      <c r="F1059" t="s">
        <v>15</v>
      </c>
      <c r="G1059">
        <v>15237</v>
      </c>
      <c r="H1059" t="s">
        <v>43</v>
      </c>
      <c r="I1059">
        <v>19</v>
      </c>
      <c r="J1059">
        <v>1</v>
      </c>
      <c r="K1059" t="s">
        <v>8122</v>
      </c>
    </row>
    <row r="1060" spans="1:11" x14ac:dyDescent="0.25">
      <c r="A1060" t="s">
        <v>3737</v>
      </c>
      <c r="B1060" t="s">
        <v>3738</v>
      </c>
      <c r="C1060" t="s">
        <v>3739</v>
      </c>
      <c r="D1060" t="s">
        <v>3740</v>
      </c>
      <c r="E1060" t="s">
        <v>14</v>
      </c>
      <c r="F1060" t="s">
        <v>15</v>
      </c>
      <c r="G1060">
        <v>15205</v>
      </c>
      <c r="H1060" t="s">
        <v>34</v>
      </c>
      <c r="I1060">
        <v>29</v>
      </c>
      <c r="J1060">
        <v>1</v>
      </c>
      <c r="K1060" t="s">
        <v>8122</v>
      </c>
    </row>
    <row r="1061" spans="1:11" x14ac:dyDescent="0.25">
      <c r="A1061" t="s">
        <v>3741</v>
      </c>
      <c r="B1061" t="s">
        <v>282</v>
      </c>
      <c r="C1061" t="s">
        <v>3742</v>
      </c>
      <c r="D1061" t="s">
        <v>2321</v>
      </c>
      <c r="E1061" t="s">
        <v>14</v>
      </c>
      <c r="F1061" t="s">
        <v>15</v>
      </c>
      <c r="G1061">
        <v>15227</v>
      </c>
      <c r="H1061" t="s">
        <v>92</v>
      </c>
      <c r="I1061">
        <v>4</v>
      </c>
      <c r="J1061">
        <v>0</v>
      </c>
      <c r="K1061" t="s">
        <v>8124</v>
      </c>
    </row>
    <row r="1062" spans="1:11" x14ac:dyDescent="0.25">
      <c r="A1062" t="s">
        <v>3743</v>
      </c>
      <c r="B1062" t="s">
        <v>3744</v>
      </c>
      <c r="C1062" t="s">
        <v>2580</v>
      </c>
      <c r="D1062" t="s">
        <v>3745</v>
      </c>
      <c r="E1062" t="s">
        <v>14</v>
      </c>
      <c r="F1062" t="s">
        <v>15</v>
      </c>
      <c r="G1062">
        <v>15213</v>
      </c>
      <c r="H1062" t="s">
        <v>48</v>
      </c>
      <c r="I1062">
        <v>70</v>
      </c>
      <c r="J1062">
        <v>1</v>
      </c>
      <c r="K1062" t="s">
        <v>8131</v>
      </c>
    </row>
    <row r="1063" spans="1:11" x14ac:dyDescent="0.25">
      <c r="A1063" t="s">
        <v>3746</v>
      </c>
      <c r="B1063" t="s">
        <v>2210</v>
      </c>
      <c r="C1063" t="s">
        <v>3747</v>
      </c>
      <c r="D1063" t="s">
        <v>3748</v>
      </c>
      <c r="E1063" t="s">
        <v>14</v>
      </c>
      <c r="F1063" t="s">
        <v>15</v>
      </c>
      <c r="G1063">
        <v>15219</v>
      </c>
      <c r="H1063" t="s">
        <v>21</v>
      </c>
      <c r="I1063">
        <v>4</v>
      </c>
      <c r="J1063">
        <v>0</v>
      </c>
      <c r="K1063" t="s">
        <v>8131</v>
      </c>
    </row>
    <row r="1064" spans="1:11" x14ac:dyDescent="0.25">
      <c r="A1064" t="s">
        <v>3749</v>
      </c>
      <c r="B1064" t="s">
        <v>3750</v>
      </c>
      <c r="C1064" t="s">
        <v>3751</v>
      </c>
      <c r="D1064" t="s">
        <v>3720</v>
      </c>
      <c r="E1064" t="s">
        <v>14</v>
      </c>
      <c r="F1064" t="s">
        <v>15</v>
      </c>
      <c r="G1064">
        <v>15222</v>
      </c>
      <c r="H1064" t="s">
        <v>16</v>
      </c>
      <c r="I1064">
        <v>365</v>
      </c>
      <c r="J1064">
        <v>1</v>
      </c>
      <c r="K1064" t="s">
        <v>8131</v>
      </c>
    </row>
    <row r="1065" spans="1:11" x14ac:dyDescent="0.25">
      <c r="A1065" t="s">
        <v>3752</v>
      </c>
      <c r="B1065" t="s">
        <v>967</v>
      </c>
      <c r="C1065" t="s">
        <v>3753</v>
      </c>
      <c r="D1065" t="s">
        <v>3754</v>
      </c>
      <c r="E1065" t="s">
        <v>14</v>
      </c>
      <c r="F1065" t="s">
        <v>15</v>
      </c>
      <c r="G1065">
        <v>15104</v>
      </c>
      <c r="H1065" t="s">
        <v>16</v>
      </c>
      <c r="I1065">
        <v>15</v>
      </c>
      <c r="J1065">
        <v>1</v>
      </c>
      <c r="K1065" t="s">
        <v>8131</v>
      </c>
    </row>
    <row r="1066" spans="1:11" x14ac:dyDescent="0.25">
      <c r="A1066" t="s">
        <v>3755</v>
      </c>
      <c r="B1066" t="s">
        <v>3756</v>
      </c>
      <c r="C1066" t="s">
        <v>228</v>
      </c>
      <c r="D1066" t="s">
        <v>3757</v>
      </c>
      <c r="E1066" t="s">
        <v>14</v>
      </c>
      <c r="F1066" t="s">
        <v>15</v>
      </c>
      <c r="G1066">
        <v>15237</v>
      </c>
      <c r="H1066" t="s">
        <v>113</v>
      </c>
      <c r="I1066">
        <v>13</v>
      </c>
      <c r="J1066">
        <v>1</v>
      </c>
      <c r="K1066" t="s">
        <v>8131</v>
      </c>
    </row>
    <row r="1067" spans="1:11" x14ac:dyDescent="0.25">
      <c r="A1067" t="s">
        <v>3758</v>
      </c>
      <c r="B1067" t="s">
        <v>2952</v>
      </c>
      <c r="C1067" t="s">
        <v>32</v>
      </c>
      <c r="D1067" t="s">
        <v>818</v>
      </c>
      <c r="E1067" t="s">
        <v>14</v>
      </c>
      <c r="F1067" t="s">
        <v>15</v>
      </c>
      <c r="G1067">
        <v>15234</v>
      </c>
      <c r="H1067" t="s">
        <v>157</v>
      </c>
      <c r="I1067">
        <v>3</v>
      </c>
      <c r="J1067">
        <v>1</v>
      </c>
      <c r="K1067" t="s">
        <v>8131</v>
      </c>
    </row>
    <row r="1068" spans="1:11" x14ac:dyDescent="0.25">
      <c r="A1068" t="s">
        <v>3759</v>
      </c>
      <c r="B1068" t="s">
        <v>3760</v>
      </c>
      <c r="C1068" t="s">
        <v>3761</v>
      </c>
      <c r="D1068" t="s">
        <v>3762</v>
      </c>
      <c r="E1068" t="s">
        <v>14</v>
      </c>
      <c r="F1068" t="s">
        <v>15</v>
      </c>
      <c r="G1068">
        <v>15217</v>
      </c>
      <c r="H1068" t="s">
        <v>48</v>
      </c>
      <c r="I1068">
        <v>182</v>
      </c>
      <c r="J1068">
        <v>1</v>
      </c>
      <c r="K1068" t="s">
        <v>8131</v>
      </c>
    </row>
    <row r="1069" spans="1:11" x14ac:dyDescent="0.25">
      <c r="A1069" t="s">
        <v>3763</v>
      </c>
      <c r="B1069" t="s">
        <v>3764</v>
      </c>
      <c r="C1069" t="s">
        <v>3765</v>
      </c>
      <c r="D1069" t="s">
        <v>3766</v>
      </c>
      <c r="E1069" t="s">
        <v>14</v>
      </c>
      <c r="F1069" t="s">
        <v>15</v>
      </c>
      <c r="G1069">
        <v>15126</v>
      </c>
      <c r="H1069" t="s">
        <v>16</v>
      </c>
      <c r="I1069">
        <v>5</v>
      </c>
      <c r="J1069">
        <v>0</v>
      </c>
      <c r="K1069" t="s">
        <v>8131</v>
      </c>
    </row>
    <row r="1070" spans="1:11" x14ac:dyDescent="0.25">
      <c r="A1070" t="s">
        <v>3767</v>
      </c>
      <c r="B1070" t="s">
        <v>3768</v>
      </c>
      <c r="C1070" t="s">
        <v>3769</v>
      </c>
      <c r="D1070" t="s">
        <v>3770</v>
      </c>
      <c r="E1070" t="s">
        <v>14</v>
      </c>
      <c r="F1070" t="s">
        <v>15</v>
      </c>
      <c r="G1070">
        <v>15232</v>
      </c>
      <c r="H1070" t="s">
        <v>21</v>
      </c>
      <c r="I1070">
        <v>13</v>
      </c>
      <c r="J1070">
        <v>0</v>
      </c>
      <c r="K1070" t="s">
        <v>8131</v>
      </c>
    </row>
    <row r="1071" spans="1:11" x14ac:dyDescent="0.25">
      <c r="A1071" t="s">
        <v>3771</v>
      </c>
      <c r="B1071" t="s">
        <v>3772</v>
      </c>
      <c r="C1071" t="s">
        <v>3773</v>
      </c>
      <c r="D1071" t="s">
        <v>3774</v>
      </c>
      <c r="E1071" t="s">
        <v>14</v>
      </c>
      <c r="F1071" t="s">
        <v>15</v>
      </c>
      <c r="G1071">
        <v>15206</v>
      </c>
      <c r="H1071" t="s">
        <v>16</v>
      </c>
      <c r="I1071">
        <v>381</v>
      </c>
      <c r="J1071">
        <v>1</v>
      </c>
      <c r="K1071" t="s">
        <v>8123</v>
      </c>
    </row>
    <row r="1072" spans="1:11" x14ac:dyDescent="0.25">
      <c r="A1072" t="s">
        <v>3775</v>
      </c>
      <c r="B1072" t="s">
        <v>3776</v>
      </c>
      <c r="C1072" t="s">
        <v>3777</v>
      </c>
      <c r="D1072" t="s">
        <v>3778</v>
      </c>
      <c r="E1072" t="s">
        <v>14</v>
      </c>
      <c r="F1072" t="s">
        <v>15</v>
      </c>
      <c r="G1072">
        <v>15208</v>
      </c>
      <c r="H1072" t="s">
        <v>21</v>
      </c>
      <c r="I1072">
        <v>108</v>
      </c>
      <c r="J1072">
        <v>1</v>
      </c>
      <c r="K1072" t="s">
        <v>8131</v>
      </c>
    </row>
    <row r="1073" spans="1:11" x14ac:dyDescent="0.25">
      <c r="A1073" t="s">
        <v>3779</v>
      </c>
      <c r="B1073" t="s">
        <v>377</v>
      </c>
      <c r="C1073" t="s">
        <v>3780</v>
      </c>
      <c r="D1073" t="s">
        <v>3781</v>
      </c>
      <c r="E1073" t="s">
        <v>14</v>
      </c>
      <c r="F1073" t="s">
        <v>15</v>
      </c>
      <c r="G1073">
        <v>15237</v>
      </c>
      <c r="H1073" t="s">
        <v>48</v>
      </c>
      <c r="I1073">
        <v>111</v>
      </c>
      <c r="J1073">
        <v>1</v>
      </c>
      <c r="K1073" t="s">
        <v>8124</v>
      </c>
    </row>
    <row r="1074" spans="1:11" x14ac:dyDescent="0.25">
      <c r="A1074" t="s">
        <v>3782</v>
      </c>
      <c r="B1074" t="s">
        <v>3783</v>
      </c>
      <c r="C1074" t="s">
        <v>3784</v>
      </c>
      <c r="D1074" t="s">
        <v>3785</v>
      </c>
      <c r="E1074" t="s">
        <v>14</v>
      </c>
      <c r="F1074" t="s">
        <v>15</v>
      </c>
      <c r="G1074">
        <v>15201</v>
      </c>
      <c r="H1074" t="s">
        <v>16</v>
      </c>
      <c r="I1074">
        <v>200</v>
      </c>
      <c r="J1074">
        <v>1</v>
      </c>
      <c r="K1074" t="s">
        <v>8132</v>
      </c>
    </row>
    <row r="1075" spans="1:11" x14ac:dyDescent="0.25">
      <c r="A1075" t="s">
        <v>3786</v>
      </c>
      <c r="B1075" t="s">
        <v>3787</v>
      </c>
      <c r="C1075" t="s">
        <v>3788</v>
      </c>
      <c r="D1075" t="s">
        <v>3789</v>
      </c>
      <c r="E1075" t="s">
        <v>14</v>
      </c>
      <c r="F1075" t="s">
        <v>15</v>
      </c>
      <c r="G1075">
        <v>15206</v>
      </c>
      <c r="H1075" t="s">
        <v>16</v>
      </c>
      <c r="I1075">
        <v>120</v>
      </c>
      <c r="J1075">
        <v>0</v>
      </c>
      <c r="K1075" t="s">
        <v>8128</v>
      </c>
    </row>
    <row r="1076" spans="1:11" x14ac:dyDescent="0.25">
      <c r="A1076" t="s">
        <v>3790</v>
      </c>
      <c r="B1076" t="s">
        <v>3791</v>
      </c>
      <c r="C1076" t="s">
        <v>3792</v>
      </c>
      <c r="D1076" t="s">
        <v>3793</v>
      </c>
      <c r="E1076" t="s">
        <v>14</v>
      </c>
      <c r="F1076" t="s">
        <v>15</v>
      </c>
      <c r="G1076">
        <v>15212</v>
      </c>
      <c r="H1076" t="s">
        <v>43</v>
      </c>
      <c r="I1076">
        <v>10</v>
      </c>
      <c r="J1076">
        <v>1</v>
      </c>
      <c r="K1076" t="s">
        <v>8131</v>
      </c>
    </row>
    <row r="1077" spans="1:11" x14ac:dyDescent="0.25">
      <c r="A1077" t="s">
        <v>3794</v>
      </c>
      <c r="B1077" t="s">
        <v>2149</v>
      </c>
      <c r="C1077" t="s">
        <v>3795</v>
      </c>
      <c r="D1077" t="s">
        <v>2684</v>
      </c>
      <c r="E1077" t="s">
        <v>14</v>
      </c>
      <c r="F1077" t="s">
        <v>15</v>
      </c>
      <c r="G1077">
        <v>15203</v>
      </c>
      <c r="H1077" t="s">
        <v>16</v>
      </c>
      <c r="I1077">
        <v>29</v>
      </c>
      <c r="J1077">
        <v>0</v>
      </c>
      <c r="K1077" t="s">
        <v>8125</v>
      </c>
    </row>
    <row r="1078" spans="1:11" x14ac:dyDescent="0.25">
      <c r="A1078" t="s">
        <v>3796</v>
      </c>
      <c r="B1078" t="s">
        <v>3797</v>
      </c>
      <c r="C1078" t="s">
        <v>3798</v>
      </c>
      <c r="D1078" t="s">
        <v>3799</v>
      </c>
      <c r="E1078" t="s">
        <v>14</v>
      </c>
      <c r="F1078" t="s">
        <v>15</v>
      </c>
      <c r="G1078">
        <v>15237</v>
      </c>
      <c r="H1078" t="s">
        <v>21</v>
      </c>
      <c r="I1078">
        <v>18</v>
      </c>
      <c r="J1078">
        <v>1</v>
      </c>
      <c r="K1078" t="s">
        <v>8131</v>
      </c>
    </row>
    <row r="1079" spans="1:11" x14ac:dyDescent="0.25">
      <c r="A1079" t="s">
        <v>3800</v>
      </c>
      <c r="B1079" t="s">
        <v>3801</v>
      </c>
      <c r="C1079" t="s">
        <v>3802</v>
      </c>
      <c r="D1079" t="s">
        <v>3803</v>
      </c>
      <c r="E1079" t="s">
        <v>14</v>
      </c>
      <c r="F1079" t="s">
        <v>15</v>
      </c>
      <c r="G1079">
        <v>15212</v>
      </c>
      <c r="H1079" t="s">
        <v>16</v>
      </c>
      <c r="I1079">
        <v>231</v>
      </c>
      <c r="J1079">
        <v>1</v>
      </c>
      <c r="K1079" t="s">
        <v>8131</v>
      </c>
    </row>
    <row r="1080" spans="1:11" x14ac:dyDescent="0.25">
      <c r="A1080" t="s">
        <v>3804</v>
      </c>
      <c r="B1080" t="s">
        <v>3805</v>
      </c>
      <c r="C1080" t="s">
        <v>3806</v>
      </c>
      <c r="D1080" t="s">
        <v>3807</v>
      </c>
      <c r="E1080" t="s">
        <v>14</v>
      </c>
      <c r="F1080" t="s">
        <v>15</v>
      </c>
      <c r="G1080">
        <v>15222</v>
      </c>
      <c r="H1080" t="s">
        <v>21</v>
      </c>
      <c r="I1080">
        <v>655</v>
      </c>
      <c r="J1080">
        <v>1</v>
      </c>
      <c r="K1080" t="s">
        <v>8122</v>
      </c>
    </row>
    <row r="1081" spans="1:11" x14ac:dyDescent="0.25">
      <c r="A1081" t="s">
        <v>3808</v>
      </c>
      <c r="B1081" t="s">
        <v>3809</v>
      </c>
      <c r="C1081" t="s">
        <v>1919</v>
      </c>
      <c r="D1081" t="s">
        <v>3810</v>
      </c>
      <c r="E1081" t="s">
        <v>14</v>
      </c>
      <c r="F1081" t="s">
        <v>15</v>
      </c>
      <c r="G1081">
        <v>15217</v>
      </c>
      <c r="H1081" t="s">
        <v>48</v>
      </c>
      <c r="I1081">
        <v>288</v>
      </c>
      <c r="J1081">
        <v>1</v>
      </c>
      <c r="K1081" t="s">
        <v>8120</v>
      </c>
    </row>
    <row r="1082" spans="1:11" x14ac:dyDescent="0.25">
      <c r="A1082" t="s">
        <v>3811</v>
      </c>
      <c r="B1082" t="s">
        <v>3812</v>
      </c>
      <c r="C1082" t="s">
        <v>3813</v>
      </c>
      <c r="D1082" t="s">
        <v>2062</v>
      </c>
      <c r="E1082" t="s">
        <v>14</v>
      </c>
      <c r="F1082" t="s">
        <v>15</v>
      </c>
      <c r="G1082">
        <v>15201</v>
      </c>
      <c r="H1082" t="s">
        <v>43</v>
      </c>
      <c r="I1082">
        <v>23</v>
      </c>
      <c r="J1082">
        <v>1</v>
      </c>
      <c r="K1082" t="s">
        <v>8131</v>
      </c>
    </row>
    <row r="1083" spans="1:11" x14ac:dyDescent="0.25">
      <c r="A1083" t="s">
        <v>3814</v>
      </c>
      <c r="B1083" t="s">
        <v>3815</v>
      </c>
      <c r="C1083" t="s">
        <v>3816</v>
      </c>
      <c r="D1083" t="s">
        <v>3817</v>
      </c>
      <c r="E1083" t="s">
        <v>14</v>
      </c>
      <c r="F1083" t="s">
        <v>15</v>
      </c>
      <c r="G1083">
        <v>15239</v>
      </c>
      <c r="H1083" t="s">
        <v>48</v>
      </c>
      <c r="I1083">
        <v>11</v>
      </c>
      <c r="J1083">
        <v>1</v>
      </c>
      <c r="K1083" t="s">
        <v>8131</v>
      </c>
    </row>
    <row r="1084" spans="1:11" x14ac:dyDescent="0.25">
      <c r="A1084" t="s">
        <v>3818</v>
      </c>
      <c r="B1084" t="s">
        <v>3819</v>
      </c>
      <c r="C1084" t="s">
        <v>3820</v>
      </c>
      <c r="D1084" t="s">
        <v>3821</v>
      </c>
      <c r="E1084" t="s">
        <v>14</v>
      </c>
      <c r="F1084" t="s">
        <v>15</v>
      </c>
      <c r="G1084">
        <v>15239</v>
      </c>
      <c r="H1084" t="s">
        <v>48</v>
      </c>
      <c r="I1084">
        <v>6</v>
      </c>
      <c r="J1084">
        <v>0</v>
      </c>
      <c r="K1084" t="s">
        <v>8120</v>
      </c>
    </row>
    <row r="1085" spans="1:11" x14ac:dyDescent="0.25">
      <c r="A1085" t="s">
        <v>3822</v>
      </c>
      <c r="B1085" t="s">
        <v>3823</v>
      </c>
      <c r="C1085" t="s">
        <v>3824</v>
      </c>
      <c r="D1085" t="s">
        <v>3825</v>
      </c>
      <c r="E1085" t="s">
        <v>14</v>
      </c>
      <c r="F1085" t="s">
        <v>15</v>
      </c>
      <c r="G1085">
        <v>15212</v>
      </c>
      <c r="H1085" t="s">
        <v>21</v>
      </c>
      <c r="I1085">
        <v>12</v>
      </c>
      <c r="J1085">
        <v>1</v>
      </c>
      <c r="K1085" t="s">
        <v>8132</v>
      </c>
    </row>
    <row r="1086" spans="1:11" x14ac:dyDescent="0.25">
      <c r="A1086" t="s">
        <v>3826</v>
      </c>
      <c r="B1086" t="s">
        <v>3827</v>
      </c>
      <c r="C1086" t="s">
        <v>3828</v>
      </c>
      <c r="D1086" t="s">
        <v>530</v>
      </c>
      <c r="E1086" t="s">
        <v>14</v>
      </c>
      <c r="F1086" t="s">
        <v>15</v>
      </c>
      <c r="G1086">
        <v>15211</v>
      </c>
      <c r="H1086" t="s">
        <v>21</v>
      </c>
      <c r="I1086">
        <v>492</v>
      </c>
      <c r="J1086">
        <v>1</v>
      </c>
      <c r="K1086" t="s">
        <v>8131</v>
      </c>
    </row>
    <row r="1087" spans="1:11" x14ac:dyDescent="0.25">
      <c r="A1087" t="s">
        <v>3829</v>
      </c>
      <c r="B1087" t="s">
        <v>3830</v>
      </c>
      <c r="C1087" t="s">
        <v>3831</v>
      </c>
      <c r="D1087" t="s">
        <v>3832</v>
      </c>
      <c r="E1087" t="s">
        <v>14</v>
      </c>
      <c r="F1087" t="s">
        <v>15</v>
      </c>
      <c r="G1087">
        <v>15205</v>
      </c>
      <c r="H1087" t="s">
        <v>113</v>
      </c>
      <c r="I1087">
        <v>97</v>
      </c>
      <c r="J1087">
        <v>1</v>
      </c>
      <c r="K1087" t="s">
        <v>8131</v>
      </c>
    </row>
    <row r="1088" spans="1:11" x14ac:dyDescent="0.25">
      <c r="A1088" t="s">
        <v>3833</v>
      </c>
      <c r="B1088" t="s">
        <v>239</v>
      </c>
      <c r="C1088" t="s">
        <v>3834</v>
      </c>
      <c r="D1088" t="s">
        <v>803</v>
      </c>
      <c r="E1088" t="s">
        <v>14</v>
      </c>
      <c r="F1088" t="s">
        <v>15</v>
      </c>
      <c r="G1088">
        <v>15289</v>
      </c>
      <c r="H1088" t="s">
        <v>34</v>
      </c>
      <c r="I1088">
        <v>14</v>
      </c>
      <c r="J1088">
        <v>0</v>
      </c>
      <c r="K1088" t="s">
        <v>8122</v>
      </c>
    </row>
    <row r="1089" spans="1:11" x14ac:dyDescent="0.25">
      <c r="A1089" t="s">
        <v>3835</v>
      </c>
      <c r="B1089" t="s">
        <v>3836</v>
      </c>
      <c r="C1089" t="s">
        <v>3837</v>
      </c>
      <c r="D1089" t="s">
        <v>979</v>
      </c>
      <c r="E1089" t="s">
        <v>14</v>
      </c>
      <c r="F1089" t="s">
        <v>15</v>
      </c>
      <c r="G1089">
        <v>15222</v>
      </c>
      <c r="H1089" t="s">
        <v>16</v>
      </c>
      <c r="I1089">
        <v>58</v>
      </c>
      <c r="J1089">
        <v>0</v>
      </c>
      <c r="K1089" t="s">
        <v>8131</v>
      </c>
    </row>
    <row r="1090" spans="1:11" x14ac:dyDescent="0.25">
      <c r="A1090" t="s">
        <v>3838</v>
      </c>
      <c r="B1090" t="s">
        <v>119</v>
      </c>
      <c r="C1090" t="s">
        <v>3839</v>
      </c>
      <c r="D1090" t="s">
        <v>3840</v>
      </c>
      <c r="E1090" t="s">
        <v>14</v>
      </c>
      <c r="F1090" t="s">
        <v>15</v>
      </c>
      <c r="G1090">
        <v>15219</v>
      </c>
      <c r="H1090" t="s">
        <v>34</v>
      </c>
      <c r="I1090">
        <v>91</v>
      </c>
      <c r="J1090">
        <v>1</v>
      </c>
      <c r="K1090" t="s">
        <v>8131</v>
      </c>
    </row>
    <row r="1091" spans="1:11" x14ac:dyDescent="0.25">
      <c r="A1091" t="s">
        <v>3841</v>
      </c>
      <c r="B1091" t="s">
        <v>3842</v>
      </c>
      <c r="C1091" t="s">
        <v>3843</v>
      </c>
      <c r="D1091" t="s">
        <v>1898</v>
      </c>
      <c r="E1091" t="s">
        <v>14</v>
      </c>
      <c r="F1091" t="s">
        <v>15</v>
      </c>
      <c r="G1091">
        <v>15206</v>
      </c>
      <c r="H1091" t="s">
        <v>92</v>
      </c>
      <c r="I1091">
        <v>7</v>
      </c>
      <c r="J1091">
        <v>1</v>
      </c>
      <c r="K1091" t="s">
        <v>8122</v>
      </c>
    </row>
    <row r="1092" spans="1:11" x14ac:dyDescent="0.25">
      <c r="A1092" t="s">
        <v>3844</v>
      </c>
      <c r="B1092" t="s">
        <v>3845</v>
      </c>
      <c r="C1092" t="s">
        <v>147</v>
      </c>
      <c r="D1092" t="s">
        <v>3846</v>
      </c>
      <c r="E1092" t="s">
        <v>14</v>
      </c>
      <c r="F1092" t="s">
        <v>15</v>
      </c>
      <c r="G1092">
        <v>15212</v>
      </c>
      <c r="H1092" t="s">
        <v>34</v>
      </c>
      <c r="I1092">
        <v>5</v>
      </c>
      <c r="J1092">
        <v>1</v>
      </c>
      <c r="K1092" t="s">
        <v>8131</v>
      </c>
    </row>
    <row r="1093" spans="1:11" x14ac:dyDescent="0.25">
      <c r="A1093" t="s">
        <v>3847</v>
      </c>
      <c r="B1093" t="s">
        <v>3848</v>
      </c>
      <c r="C1093" t="s">
        <v>3849</v>
      </c>
      <c r="D1093" t="s">
        <v>541</v>
      </c>
      <c r="E1093" t="s">
        <v>14</v>
      </c>
      <c r="F1093" t="s">
        <v>15</v>
      </c>
      <c r="G1093">
        <v>15216</v>
      </c>
      <c r="H1093" t="s">
        <v>21</v>
      </c>
      <c r="I1093">
        <v>12</v>
      </c>
      <c r="J1093">
        <v>0</v>
      </c>
      <c r="K1093" t="s">
        <v>8131</v>
      </c>
    </row>
    <row r="1094" spans="1:11" x14ac:dyDescent="0.25">
      <c r="A1094" t="s">
        <v>3850</v>
      </c>
      <c r="B1094" t="s">
        <v>3851</v>
      </c>
      <c r="C1094" t="s">
        <v>3852</v>
      </c>
      <c r="D1094" t="s">
        <v>3853</v>
      </c>
      <c r="E1094" t="s">
        <v>14</v>
      </c>
      <c r="F1094" t="s">
        <v>15</v>
      </c>
      <c r="G1094">
        <v>15222</v>
      </c>
      <c r="H1094" t="s">
        <v>16</v>
      </c>
      <c r="I1094">
        <v>75</v>
      </c>
      <c r="J1094">
        <v>1</v>
      </c>
      <c r="K1094" t="s">
        <v>8127</v>
      </c>
    </row>
    <row r="1095" spans="1:11" x14ac:dyDescent="0.25">
      <c r="A1095" t="s">
        <v>3854</v>
      </c>
      <c r="B1095" t="s">
        <v>3855</v>
      </c>
      <c r="C1095" t="s">
        <v>3856</v>
      </c>
      <c r="D1095" t="s">
        <v>3857</v>
      </c>
      <c r="E1095" t="s">
        <v>14</v>
      </c>
      <c r="F1095" t="s">
        <v>15</v>
      </c>
      <c r="G1095">
        <v>15217</v>
      </c>
      <c r="H1095" t="s">
        <v>16</v>
      </c>
      <c r="I1095">
        <v>4</v>
      </c>
      <c r="J1095">
        <v>1</v>
      </c>
      <c r="K1095" t="s">
        <v>8121</v>
      </c>
    </row>
    <row r="1096" spans="1:11" x14ac:dyDescent="0.25">
      <c r="A1096" t="s">
        <v>3858</v>
      </c>
      <c r="B1096" t="s">
        <v>3859</v>
      </c>
      <c r="C1096" t="s">
        <v>856</v>
      </c>
      <c r="D1096" t="s">
        <v>3860</v>
      </c>
      <c r="E1096" t="s">
        <v>14</v>
      </c>
      <c r="F1096" t="s">
        <v>15</v>
      </c>
      <c r="G1096">
        <v>15238</v>
      </c>
      <c r="H1096" t="s">
        <v>34</v>
      </c>
      <c r="I1096">
        <v>38</v>
      </c>
      <c r="J1096">
        <v>1</v>
      </c>
      <c r="K1096" t="s">
        <v>8120</v>
      </c>
    </row>
    <row r="1097" spans="1:11" x14ac:dyDescent="0.25">
      <c r="A1097" t="s">
        <v>3861</v>
      </c>
      <c r="B1097" t="s">
        <v>3862</v>
      </c>
      <c r="C1097" t="s">
        <v>3863</v>
      </c>
      <c r="D1097" t="s">
        <v>2591</v>
      </c>
      <c r="E1097" t="s">
        <v>14</v>
      </c>
      <c r="F1097" t="s">
        <v>15</v>
      </c>
      <c r="G1097">
        <v>15219</v>
      </c>
      <c r="H1097" t="s">
        <v>48</v>
      </c>
      <c r="I1097">
        <v>7</v>
      </c>
      <c r="J1097">
        <v>1</v>
      </c>
      <c r="K1097" t="s">
        <v>8131</v>
      </c>
    </row>
    <row r="1098" spans="1:11" x14ac:dyDescent="0.25">
      <c r="A1098" t="s">
        <v>3864</v>
      </c>
      <c r="B1098" t="s">
        <v>3485</v>
      </c>
      <c r="C1098" t="s">
        <v>3865</v>
      </c>
      <c r="D1098" t="s">
        <v>3866</v>
      </c>
      <c r="E1098" t="s">
        <v>14</v>
      </c>
      <c r="F1098" t="s">
        <v>15</v>
      </c>
      <c r="G1098">
        <v>15218</v>
      </c>
      <c r="H1098" t="s">
        <v>157</v>
      </c>
      <c r="I1098">
        <v>11</v>
      </c>
      <c r="J1098">
        <v>0</v>
      </c>
      <c r="K1098" t="s">
        <v>8131</v>
      </c>
    </row>
    <row r="1099" spans="1:11" x14ac:dyDescent="0.25">
      <c r="A1099" t="s">
        <v>3867</v>
      </c>
      <c r="B1099" t="s">
        <v>578</v>
      </c>
      <c r="C1099" t="s">
        <v>3868</v>
      </c>
      <c r="D1099" t="s">
        <v>2728</v>
      </c>
      <c r="E1099" t="s">
        <v>14</v>
      </c>
      <c r="F1099" t="s">
        <v>15</v>
      </c>
      <c r="G1099">
        <v>15206</v>
      </c>
      <c r="H1099" t="s">
        <v>16</v>
      </c>
      <c r="I1099">
        <v>36</v>
      </c>
      <c r="J1099">
        <v>0</v>
      </c>
      <c r="K1099" t="s">
        <v>8131</v>
      </c>
    </row>
    <row r="1100" spans="1:11" x14ac:dyDescent="0.25">
      <c r="A1100" t="s">
        <v>3869</v>
      </c>
      <c r="B1100" t="s">
        <v>3870</v>
      </c>
      <c r="C1100" t="s">
        <v>3871</v>
      </c>
      <c r="D1100" t="s">
        <v>198</v>
      </c>
      <c r="E1100" t="s">
        <v>14</v>
      </c>
      <c r="F1100" t="s">
        <v>15</v>
      </c>
      <c r="G1100">
        <v>15222</v>
      </c>
      <c r="H1100" t="s">
        <v>16</v>
      </c>
      <c r="I1100">
        <v>8</v>
      </c>
      <c r="J1100">
        <v>1</v>
      </c>
      <c r="K1100" t="s">
        <v>8131</v>
      </c>
    </row>
    <row r="1101" spans="1:11" x14ac:dyDescent="0.25">
      <c r="A1101" t="s">
        <v>3872</v>
      </c>
      <c r="B1101" t="s">
        <v>3873</v>
      </c>
      <c r="C1101" t="s">
        <v>3874</v>
      </c>
      <c r="D1101" t="s">
        <v>3463</v>
      </c>
      <c r="E1101" t="s">
        <v>14</v>
      </c>
      <c r="F1101" t="s">
        <v>15</v>
      </c>
      <c r="G1101">
        <v>15232</v>
      </c>
      <c r="H1101" t="s">
        <v>16</v>
      </c>
      <c r="I1101">
        <v>62</v>
      </c>
      <c r="J1101">
        <v>1</v>
      </c>
      <c r="K1101" t="s">
        <v>8117</v>
      </c>
    </row>
    <row r="1102" spans="1:11" x14ac:dyDescent="0.25">
      <c r="A1102" t="s">
        <v>3875</v>
      </c>
      <c r="B1102" t="s">
        <v>3876</v>
      </c>
      <c r="C1102" t="s">
        <v>3877</v>
      </c>
      <c r="D1102" t="s">
        <v>3878</v>
      </c>
      <c r="E1102" t="s">
        <v>14</v>
      </c>
      <c r="F1102" t="s">
        <v>15</v>
      </c>
      <c r="G1102">
        <v>15232</v>
      </c>
      <c r="H1102" t="s">
        <v>43</v>
      </c>
      <c r="I1102">
        <v>51</v>
      </c>
      <c r="J1102">
        <v>0</v>
      </c>
      <c r="K1102" t="s">
        <v>8132</v>
      </c>
    </row>
    <row r="1103" spans="1:11" x14ac:dyDescent="0.25">
      <c r="A1103" t="s">
        <v>3879</v>
      </c>
      <c r="B1103" t="s">
        <v>3880</v>
      </c>
      <c r="C1103" t="s">
        <v>3881</v>
      </c>
      <c r="D1103" t="s">
        <v>3882</v>
      </c>
      <c r="E1103" t="s">
        <v>14</v>
      </c>
      <c r="F1103" t="s">
        <v>15</v>
      </c>
      <c r="G1103">
        <v>15216</v>
      </c>
      <c r="H1103" t="s">
        <v>43</v>
      </c>
      <c r="I1103">
        <v>42</v>
      </c>
      <c r="J1103">
        <v>1</v>
      </c>
      <c r="K1103" t="s">
        <v>8122</v>
      </c>
    </row>
    <row r="1104" spans="1:11" x14ac:dyDescent="0.25">
      <c r="A1104" t="s">
        <v>3883</v>
      </c>
      <c r="B1104" t="s">
        <v>36</v>
      </c>
      <c r="C1104" t="s">
        <v>3884</v>
      </c>
      <c r="D1104" t="s">
        <v>3885</v>
      </c>
      <c r="E1104" t="s">
        <v>14</v>
      </c>
      <c r="F1104" t="s">
        <v>15</v>
      </c>
      <c r="G1104">
        <v>15201</v>
      </c>
      <c r="H1104" t="s">
        <v>16</v>
      </c>
      <c r="I1104">
        <v>19</v>
      </c>
      <c r="J1104">
        <v>1</v>
      </c>
      <c r="K1104" t="s">
        <v>8131</v>
      </c>
    </row>
    <row r="1105" spans="1:11" x14ac:dyDescent="0.25">
      <c r="A1105" t="s">
        <v>3886</v>
      </c>
      <c r="B1105" t="s">
        <v>3887</v>
      </c>
      <c r="C1105" t="s">
        <v>3888</v>
      </c>
      <c r="D1105" t="s">
        <v>3889</v>
      </c>
      <c r="E1105" t="s">
        <v>14</v>
      </c>
      <c r="F1105" t="s">
        <v>15</v>
      </c>
      <c r="G1105">
        <v>15237</v>
      </c>
      <c r="H1105" t="s">
        <v>16</v>
      </c>
      <c r="I1105">
        <v>84</v>
      </c>
      <c r="J1105">
        <v>1</v>
      </c>
      <c r="K1105" t="s">
        <v>8124</v>
      </c>
    </row>
    <row r="1106" spans="1:11" x14ac:dyDescent="0.25">
      <c r="A1106" t="s">
        <v>3890</v>
      </c>
      <c r="B1106" t="s">
        <v>3891</v>
      </c>
      <c r="C1106" t="s">
        <v>3892</v>
      </c>
      <c r="D1106" t="s">
        <v>3893</v>
      </c>
      <c r="E1106" t="s">
        <v>14</v>
      </c>
      <c r="F1106" t="s">
        <v>15</v>
      </c>
      <c r="G1106">
        <v>15219</v>
      </c>
      <c r="H1106" t="s">
        <v>43</v>
      </c>
      <c r="I1106">
        <v>83</v>
      </c>
      <c r="J1106">
        <v>1</v>
      </c>
      <c r="K1106" t="s">
        <v>8131</v>
      </c>
    </row>
    <row r="1107" spans="1:11" x14ac:dyDescent="0.25">
      <c r="A1107" t="s">
        <v>3894</v>
      </c>
      <c r="B1107" t="s">
        <v>3895</v>
      </c>
      <c r="C1107" t="s">
        <v>3896</v>
      </c>
      <c r="D1107" t="s">
        <v>3897</v>
      </c>
      <c r="E1107" t="s">
        <v>14</v>
      </c>
      <c r="F1107" t="s">
        <v>15</v>
      </c>
      <c r="G1107">
        <v>15201</v>
      </c>
      <c r="H1107" t="s">
        <v>48</v>
      </c>
      <c r="I1107">
        <v>82</v>
      </c>
      <c r="J1107">
        <v>1</v>
      </c>
      <c r="K1107" t="s">
        <v>8131</v>
      </c>
    </row>
    <row r="1108" spans="1:11" x14ac:dyDescent="0.25">
      <c r="A1108" t="s">
        <v>3898</v>
      </c>
      <c r="B1108" t="s">
        <v>65</v>
      </c>
      <c r="C1108" t="s">
        <v>3899</v>
      </c>
      <c r="D1108" t="s">
        <v>2715</v>
      </c>
      <c r="E1108" t="s">
        <v>14</v>
      </c>
      <c r="F1108" t="s">
        <v>15</v>
      </c>
      <c r="G1108">
        <v>15203</v>
      </c>
      <c r="H1108" t="s">
        <v>21</v>
      </c>
      <c r="I1108">
        <v>6</v>
      </c>
      <c r="J1108">
        <v>0</v>
      </c>
      <c r="K1108" t="s">
        <v>8131</v>
      </c>
    </row>
    <row r="1109" spans="1:11" x14ac:dyDescent="0.25">
      <c r="A1109" t="s">
        <v>3900</v>
      </c>
      <c r="B1109" t="s">
        <v>3901</v>
      </c>
      <c r="C1109" t="s">
        <v>3902</v>
      </c>
      <c r="D1109" t="s">
        <v>3903</v>
      </c>
      <c r="E1109" t="s">
        <v>14</v>
      </c>
      <c r="F1109" t="s">
        <v>15</v>
      </c>
      <c r="G1109">
        <v>15210</v>
      </c>
      <c r="H1109" t="s">
        <v>113</v>
      </c>
      <c r="I1109">
        <v>4</v>
      </c>
      <c r="J1109">
        <v>0</v>
      </c>
      <c r="K1109" t="s">
        <v>8131</v>
      </c>
    </row>
    <row r="1110" spans="1:11" x14ac:dyDescent="0.25">
      <c r="A1110" t="s">
        <v>3904</v>
      </c>
      <c r="B1110" t="s">
        <v>298</v>
      </c>
      <c r="C1110" t="s">
        <v>2013</v>
      </c>
      <c r="D1110" t="s">
        <v>3905</v>
      </c>
      <c r="E1110" t="s">
        <v>14</v>
      </c>
      <c r="F1110" t="s">
        <v>15</v>
      </c>
      <c r="G1110">
        <v>15224</v>
      </c>
      <c r="H1110" t="s">
        <v>43</v>
      </c>
      <c r="I1110">
        <v>7</v>
      </c>
      <c r="J1110">
        <v>1</v>
      </c>
      <c r="K1110" t="s">
        <v>8131</v>
      </c>
    </row>
    <row r="1111" spans="1:11" x14ac:dyDescent="0.25">
      <c r="A1111" t="s">
        <v>3906</v>
      </c>
      <c r="B1111" t="s">
        <v>3126</v>
      </c>
      <c r="C1111" t="s">
        <v>3907</v>
      </c>
      <c r="D1111" t="s">
        <v>3908</v>
      </c>
      <c r="E1111" t="s">
        <v>14</v>
      </c>
      <c r="F1111" t="s">
        <v>15</v>
      </c>
      <c r="G1111">
        <v>15234</v>
      </c>
      <c r="H1111" t="s">
        <v>48</v>
      </c>
      <c r="I1111">
        <v>16</v>
      </c>
      <c r="J1111">
        <v>1</v>
      </c>
      <c r="K1111" t="s">
        <v>8131</v>
      </c>
    </row>
    <row r="1112" spans="1:11" x14ac:dyDescent="0.25">
      <c r="A1112" t="s">
        <v>3909</v>
      </c>
      <c r="B1112" t="s">
        <v>3910</v>
      </c>
      <c r="C1112" t="s">
        <v>3911</v>
      </c>
      <c r="D1112" t="s">
        <v>3912</v>
      </c>
      <c r="E1112" t="s">
        <v>14</v>
      </c>
      <c r="F1112" t="s">
        <v>15</v>
      </c>
      <c r="G1112">
        <v>15205</v>
      </c>
      <c r="H1112" t="s">
        <v>34</v>
      </c>
      <c r="I1112">
        <v>12</v>
      </c>
      <c r="J1112">
        <v>1</v>
      </c>
      <c r="K1112" t="s">
        <v>8131</v>
      </c>
    </row>
    <row r="1113" spans="1:11" x14ac:dyDescent="0.25">
      <c r="A1113" t="e">
        <f>-FcuxZqsQ0FO35GEXExwjw</f>
        <v>#NAME?</v>
      </c>
      <c r="B1113" t="s">
        <v>3913</v>
      </c>
      <c r="C1113" t="s">
        <v>3914</v>
      </c>
      <c r="D1113" t="s">
        <v>3915</v>
      </c>
      <c r="E1113" t="s">
        <v>14</v>
      </c>
      <c r="F1113" t="s">
        <v>15</v>
      </c>
      <c r="G1113">
        <v>15218</v>
      </c>
      <c r="H1113" t="s">
        <v>48</v>
      </c>
      <c r="I1113">
        <v>33</v>
      </c>
      <c r="J1113">
        <v>1</v>
      </c>
      <c r="K1113" t="s">
        <v>8131</v>
      </c>
    </row>
    <row r="1114" spans="1:11" x14ac:dyDescent="0.25">
      <c r="A1114" t="s">
        <v>3916</v>
      </c>
      <c r="B1114" t="s">
        <v>94</v>
      </c>
      <c r="C1114" t="s">
        <v>3917</v>
      </c>
      <c r="D1114" t="s">
        <v>3918</v>
      </c>
      <c r="E1114" t="s">
        <v>14</v>
      </c>
      <c r="F1114" t="s">
        <v>15</v>
      </c>
      <c r="G1114">
        <v>15228</v>
      </c>
      <c r="H1114" t="s">
        <v>16</v>
      </c>
      <c r="I1114">
        <v>51</v>
      </c>
      <c r="J1114">
        <v>1</v>
      </c>
      <c r="K1114" t="s">
        <v>8131</v>
      </c>
    </row>
    <row r="1115" spans="1:11" x14ac:dyDescent="0.25">
      <c r="A1115" t="s">
        <v>3919</v>
      </c>
      <c r="B1115" t="s">
        <v>119</v>
      </c>
      <c r="C1115" t="s">
        <v>3920</v>
      </c>
      <c r="D1115" t="s">
        <v>3921</v>
      </c>
      <c r="E1115" t="s">
        <v>14</v>
      </c>
      <c r="F1115" t="s">
        <v>15</v>
      </c>
      <c r="G1115">
        <v>15222</v>
      </c>
      <c r="H1115" t="s">
        <v>16</v>
      </c>
      <c r="I1115">
        <v>639</v>
      </c>
      <c r="J1115">
        <v>1</v>
      </c>
      <c r="K1115" t="s">
        <v>8131</v>
      </c>
    </row>
    <row r="1116" spans="1:11" x14ac:dyDescent="0.25">
      <c r="A1116" t="s">
        <v>3922</v>
      </c>
      <c r="B1116" t="s">
        <v>65</v>
      </c>
      <c r="C1116" t="s">
        <v>3923</v>
      </c>
      <c r="D1116" t="s">
        <v>3924</v>
      </c>
      <c r="E1116" t="s">
        <v>14</v>
      </c>
      <c r="F1116" t="s">
        <v>15</v>
      </c>
      <c r="G1116">
        <v>15226</v>
      </c>
      <c r="H1116" t="s">
        <v>21</v>
      </c>
      <c r="I1116">
        <v>3</v>
      </c>
      <c r="J1116">
        <v>0</v>
      </c>
      <c r="K1116" t="s">
        <v>8131</v>
      </c>
    </row>
    <row r="1117" spans="1:11" x14ac:dyDescent="0.25">
      <c r="A1117" t="s">
        <v>3925</v>
      </c>
      <c r="B1117" t="s">
        <v>3926</v>
      </c>
      <c r="C1117" t="s">
        <v>3927</v>
      </c>
      <c r="D1117" t="s">
        <v>3928</v>
      </c>
      <c r="E1117" t="s">
        <v>14</v>
      </c>
      <c r="F1117" t="s">
        <v>15</v>
      </c>
      <c r="G1117">
        <v>15213</v>
      </c>
      <c r="H1117" t="s">
        <v>34</v>
      </c>
      <c r="I1117">
        <v>18</v>
      </c>
      <c r="J1117">
        <v>1</v>
      </c>
      <c r="K1117" t="s">
        <v>8128</v>
      </c>
    </row>
    <row r="1118" spans="1:11" x14ac:dyDescent="0.25">
      <c r="A1118" t="s">
        <v>3929</v>
      </c>
      <c r="B1118" t="s">
        <v>377</v>
      </c>
      <c r="C1118" t="s">
        <v>3930</v>
      </c>
      <c r="D1118" t="s">
        <v>3931</v>
      </c>
      <c r="E1118" t="s">
        <v>14</v>
      </c>
      <c r="F1118" t="s">
        <v>15</v>
      </c>
      <c r="G1118">
        <v>15203</v>
      </c>
      <c r="H1118" t="s">
        <v>34</v>
      </c>
      <c r="I1118">
        <v>7</v>
      </c>
      <c r="J1118">
        <v>1</v>
      </c>
      <c r="K1118" t="s">
        <v>8124</v>
      </c>
    </row>
    <row r="1119" spans="1:11" x14ac:dyDescent="0.25">
      <c r="A1119" t="s">
        <v>3932</v>
      </c>
      <c r="B1119" t="s">
        <v>3933</v>
      </c>
      <c r="C1119" t="s">
        <v>3934</v>
      </c>
      <c r="E1119" t="s">
        <v>14</v>
      </c>
      <c r="F1119" t="s">
        <v>15</v>
      </c>
      <c r="G1119">
        <v>15201</v>
      </c>
      <c r="H1119" t="s">
        <v>92</v>
      </c>
      <c r="I1119">
        <v>36</v>
      </c>
      <c r="J1119">
        <v>1</v>
      </c>
      <c r="K1119" t="s">
        <v>8131</v>
      </c>
    </row>
    <row r="1120" spans="1:11" x14ac:dyDescent="0.25">
      <c r="A1120" t="s">
        <v>3935</v>
      </c>
      <c r="B1120" t="s">
        <v>3936</v>
      </c>
      <c r="C1120" t="s">
        <v>3937</v>
      </c>
      <c r="D1120" t="s">
        <v>257</v>
      </c>
      <c r="E1120" t="s">
        <v>14</v>
      </c>
      <c r="F1120" t="s">
        <v>15</v>
      </c>
      <c r="G1120">
        <v>15213</v>
      </c>
      <c r="H1120" t="s">
        <v>48</v>
      </c>
      <c r="I1120">
        <v>21</v>
      </c>
      <c r="J1120">
        <v>1</v>
      </c>
      <c r="K1120" t="s">
        <v>8133</v>
      </c>
    </row>
    <row r="1121" spans="1:11" x14ac:dyDescent="0.25">
      <c r="A1121" t="s">
        <v>3938</v>
      </c>
      <c r="B1121" t="s">
        <v>3939</v>
      </c>
      <c r="C1121" t="s">
        <v>46</v>
      </c>
      <c r="D1121" t="s">
        <v>3940</v>
      </c>
      <c r="E1121" t="s">
        <v>14</v>
      </c>
      <c r="F1121" t="s">
        <v>15</v>
      </c>
      <c r="G1121">
        <v>15203</v>
      </c>
      <c r="H1121" t="s">
        <v>48</v>
      </c>
      <c r="I1121">
        <v>76</v>
      </c>
      <c r="J1121">
        <v>1</v>
      </c>
      <c r="K1121" t="s">
        <v>8131</v>
      </c>
    </row>
    <row r="1122" spans="1:11" x14ac:dyDescent="0.25">
      <c r="A1122" t="s">
        <v>3941</v>
      </c>
      <c r="B1122" t="s">
        <v>2145</v>
      </c>
      <c r="C1122" t="s">
        <v>3942</v>
      </c>
      <c r="D1122" t="s">
        <v>3943</v>
      </c>
      <c r="E1122" t="s">
        <v>14</v>
      </c>
      <c r="F1122" t="s">
        <v>15</v>
      </c>
      <c r="G1122">
        <v>15206</v>
      </c>
      <c r="H1122" t="s">
        <v>34</v>
      </c>
      <c r="I1122">
        <v>7</v>
      </c>
      <c r="J1122">
        <v>0</v>
      </c>
      <c r="K1122" t="s">
        <v>8120</v>
      </c>
    </row>
    <row r="1123" spans="1:11" x14ac:dyDescent="0.25">
      <c r="A1123" t="s">
        <v>3944</v>
      </c>
      <c r="B1123" t="s">
        <v>3945</v>
      </c>
      <c r="C1123" t="s">
        <v>3946</v>
      </c>
      <c r="D1123" t="s">
        <v>3947</v>
      </c>
      <c r="E1123" t="s">
        <v>14</v>
      </c>
      <c r="F1123" t="s">
        <v>15</v>
      </c>
      <c r="G1123">
        <v>15231</v>
      </c>
      <c r="H1123" t="s">
        <v>34</v>
      </c>
      <c r="I1123">
        <v>30</v>
      </c>
      <c r="J1123">
        <v>1</v>
      </c>
      <c r="K1123" t="s">
        <v>8131</v>
      </c>
    </row>
    <row r="1124" spans="1:11" x14ac:dyDescent="0.25">
      <c r="A1124" t="s">
        <v>3948</v>
      </c>
      <c r="B1124" t="s">
        <v>3949</v>
      </c>
      <c r="C1124" t="s">
        <v>3950</v>
      </c>
      <c r="D1124" t="s">
        <v>3951</v>
      </c>
      <c r="E1124" t="s">
        <v>14</v>
      </c>
      <c r="F1124" t="s">
        <v>15</v>
      </c>
      <c r="G1124">
        <v>15215</v>
      </c>
      <c r="H1124" t="s">
        <v>113</v>
      </c>
      <c r="I1124">
        <v>36</v>
      </c>
      <c r="J1124">
        <v>1</v>
      </c>
      <c r="K1124" t="s">
        <v>8131</v>
      </c>
    </row>
    <row r="1125" spans="1:11" x14ac:dyDescent="0.25">
      <c r="A1125" t="s">
        <v>3952</v>
      </c>
      <c r="B1125" t="s">
        <v>3953</v>
      </c>
      <c r="C1125" t="s">
        <v>3954</v>
      </c>
      <c r="D1125" t="s">
        <v>3955</v>
      </c>
      <c r="E1125" t="s">
        <v>14</v>
      </c>
      <c r="F1125" t="s">
        <v>15</v>
      </c>
      <c r="G1125">
        <v>15218</v>
      </c>
      <c r="H1125" t="s">
        <v>34</v>
      </c>
      <c r="I1125">
        <v>3</v>
      </c>
      <c r="J1125">
        <v>1</v>
      </c>
      <c r="K1125" t="s">
        <v>8131</v>
      </c>
    </row>
    <row r="1126" spans="1:11" x14ac:dyDescent="0.25">
      <c r="A1126" t="s">
        <v>3956</v>
      </c>
      <c r="B1126" t="s">
        <v>3957</v>
      </c>
      <c r="C1126" t="s">
        <v>3958</v>
      </c>
      <c r="D1126" t="s">
        <v>3959</v>
      </c>
      <c r="E1126" t="s">
        <v>14</v>
      </c>
      <c r="F1126" t="s">
        <v>15</v>
      </c>
      <c r="G1126">
        <v>15238</v>
      </c>
      <c r="H1126" t="s">
        <v>157</v>
      </c>
      <c r="I1126">
        <v>4</v>
      </c>
      <c r="J1126">
        <v>0</v>
      </c>
      <c r="K1126" t="s">
        <v>8131</v>
      </c>
    </row>
    <row r="1127" spans="1:11" x14ac:dyDescent="0.25">
      <c r="A1127" t="s">
        <v>3960</v>
      </c>
      <c r="B1127" t="s">
        <v>3961</v>
      </c>
      <c r="C1127" t="s">
        <v>3962</v>
      </c>
      <c r="D1127" t="s">
        <v>1779</v>
      </c>
      <c r="E1127" t="s">
        <v>14</v>
      </c>
      <c r="F1127" t="s">
        <v>15</v>
      </c>
      <c r="G1127">
        <v>15222</v>
      </c>
      <c r="H1127" t="s">
        <v>34</v>
      </c>
      <c r="I1127">
        <v>73</v>
      </c>
      <c r="J1127">
        <v>1</v>
      </c>
      <c r="K1127" t="s">
        <v>8131</v>
      </c>
    </row>
    <row r="1128" spans="1:11" x14ac:dyDescent="0.25">
      <c r="A1128" t="s">
        <v>3963</v>
      </c>
      <c r="B1128" t="s">
        <v>3964</v>
      </c>
      <c r="C1128" t="s">
        <v>3965</v>
      </c>
      <c r="D1128" t="s">
        <v>3966</v>
      </c>
      <c r="E1128" t="s">
        <v>14</v>
      </c>
      <c r="F1128" t="s">
        <v>15</v>
      </c>
      <c r="G1128">
        <v>15206</v>
      </c>
      <c r="H1128" t="s">
        <v>92</v>
      </c>
      <c r="I1128">
        <v>7</v>
      </c>
      <c r="J1128">
        <v>1</v>
      </c>
      <c r="K1128" t="s">
        <v>8125</v>
      </c>
    </row>
    <row r="1129" spans="1:11" x14ac:dyDescent="0.25">
      <c r="A1129" t="s">
        <v>3967</v>
      </c>
      <c r="B1129" t="s">
        <v>3968</v>
      </c>
      <c r="C1129" t="s">
        <v>3969</v>
      </c>
      <c r="D1129" t="s">
        <v>3175</v>
      </c>
      <c r="E1129" t="s">
        <v>14</v>
      </c>
      <c r="F1129" t="s">
        <v>15</v>
      </c>
      <c r="G1129">
        <v>15226</v>
      </c>
      <c r="H1129" t="s">
        <v>48</v>
      </c>
      <c r="I1129">
        <v>27</v>
      </c>
      <c r="J1129">
        <v>0</v>
      </c>
      <c r="K1129" t="s">
        <v>8131</v>
      </c>
    </row>
    <row r="1130" spans="1:11" x14ac:dyDescent="0.25">
      <c r="A1130" t="s">
        <v>3970</v>
      </c>
      <c r="B1130" t="s">
        <v>3971</v>
      </c>
      <c r="C1130" t="s">
        <v>3972</v>
      </c>
      <c r="D1130" t="s">
        <v>3973</v>
      </c>
      <c r="E1130" t="s">
        <v>14</v>
      </c>
      <c r="F1130" t="s">
        <v>15</v>
      </c>
      <c r="G1130">
        <v>15222</v>
      </c>
      <c r="H1130" t="s">
        <v>34</v>
      </c>
      <c r="I1130">
        <v>90</v>
      </c>
      <c r="J1130">
        <v>1</v>
      </c>
      <c r="K1130" t="s">
        <v>8120</v>
      </c>
    </row>
    <row r="1131" spans="1:11" x14ac:dyDescent="0.25">
      <c r="A1131" t="e">
        <f>-DUQQsE2QvFIuqO5EiChQA</f>
        <v>#NAME?</v>
      </c>
      <c r="B1131" t="s">
        <v>3974</v>
      </c>
      <c r="C1131" t="s">
        <v>3975</v>
      </c>
      <c r="D1131" t="s">
        <v>3976</v>
      </c>
      <c r="E1131" t="s">
        <v>14</v>
      </c>
      <c r="F1131" t="s">
        <v>15</v>
      </c>
      <c r="G1131">
        <v>15228</v>
      </c>
      <c r="H1131" t="s">
        <v>21</v>
      </c>
      <c r="I1131">
        <v>13</v>
      </c>
      <c r="J1131">
        <v>1</v>
      </c>
      <c r="K1131" t="s">
        <v>8131</v>
      </c>
    </row>
    <row r="1132" spans="1:11" x14ac:dyDescent="0.25">
      <c r="A1132" t="s">
        <v>3977</v>
      </c>
      <c r="B1132" t="s">
        <v>3978</v>
      </c>
      <c r="C1132" t="s">
        <v>3979</v>
      </c>
      <c r="D1132" t="s">
        <v>3980</v>
      </c>
      <c r="E1132" t="s">
        <v>14</v>
      </c>
      <c r="F1132" t="s">
        <v>15</v>
      </c>
      <c r="G1132">
        <v>15213</v>
      </c>
      <c r="H1132" t="s">
        <v>34</v>
      </c>
      <c r="I1132">
        <v>5</v>
      </c>
      <c r="J1132">
        <v>1</v>
      </c>
      <c r="K1132" t="s">
        <v>8131</v>
      </c>
    </row>
    <row r="1133" spans="1:11" x14ac:dyDescent="0.25">
      <c r="A1133" t="s">
        <v>3981</v>
      </c>
      <c r="B1133" t="s">
        <v>319</v>
      </c>
      <c r="C1133" t="s">
        <v>3982</v>
      </c>
      <c r="D1133" t="s">
        <v>3983</v>
      </c>
      <c r="E1133" t="s">
        <v>14</v>
      </c>
      <c r="F1133" t="s">
        <v>15</v>
      </c>
      <c r="G1133">
        <v>15220</v>
      </c>
      <c r="H1133" t="s">
        <v>48</v>
      </c>
      <c r="I1133">
        <v>51</v>
      </c>
      <c r="J1133">
        <v>1</v>
      </c>
      <c r="K1133" t="s">
        <v>8120</v>
      </c>
    </row>
    <row r="1134" spans="1:11" x14ac:dyDescent="0.25">
      <c r="A1134" t="s">
        <v>3984</v>
      </c>
      <c r="B1134" t="s">
        <v>3985</v>
      </c>
      <c r="C1134" t="s">
        <v>3986</v>
      </c>
      <c r="D1134" t="s">
        <v>3987</v>
      </c>
      <c r="E1134" t="s">
        <v>14</v>
      </c>
      <c r="F1134" t="s">
        <v>15</v>
      </c>
      <c r="G1134">
        <v>15220</v>
      </c>
      <c r="H1134" t="s">
        <v>48</v>
      </c>
      <c r="I1134">
        <v>24</v>
      </c>
      <c r="J1134">
        <v>1</v>
      </c>
      <c r="K1134" t="s">
        <v>8120</v>
      </c>
    </row>
    <row r="1135" spans="1:11" x14ac:dyDescent="0.25">
      <c r="A1135" t="s">
        <v>3988</v>
      </c>
      <c r="B1135" t="s">
        <v>3989</v>
      </c>
      <c r="C1135" t="s">
        <v>3990</v>
      </c>
      <c r="D1135" t="s">
        <v>3991</v>
      </c>
      <c r="E1135" t="s">
        <v>14</v>
      </c>
      <c r="F1135" t="s">
        <v>15</v>
      </c>
      <c r="G1135">
        <v>15222</v>
      </c>
      <c r="H1135" t="s">
        <v>16</v>
      </c>
      <c r="I1135">
        <v>88</v>
      </c>
      <c r="J1135">
        <v>1</v>
      </c>
      <c r="K1135" t="s">
        <v>8131</v>
      </c>
    </row>
    <row r="1136" spans="1:11" x14ac:dyDescent="0.25">
      <c r="A1136" t="s">
        <v>3992</v>
      </c>
      <c r="B1136" t="s">
        <v>2145</v>
      </c>
      <c r="C1136" t="s">
        <v>3993</v>
      </c>
      <c r="D1136" t="s">
        <v>3994</v>
      </c>
      <c r="E1136" t="s">
        <v>14</v>
      </c>
      <c r="F1136" t="s">
        <v>15</v>
      </c>
      <c r="G1136">
        <v>15101</v>
      </c>
      <c r="H1136" t="s">
        <v>48</v>
      </c>
      <c r="I1136">
        <v>33</v>
      </c>
      <c r="J1136">
        <v>1</v>
      </c>
      <c r="K1136" t="s">
        <v>8120</v>
      </c>
    </row>
    <row r="1137" spans="1:11" x14ac:dyDescent="0.25">
      <c r="A1137" t="s">
        <v>3995</v>
      </c>
      <c r="B1137" t="s">
        <v>3996</v>
      </c>
      <c r="C1137" t="s">
        <v>3997</v>
      </c>
      <c r="D1137" t="s">
        <v>3998</v>
      </c>
      <c r="E1137" t="s">
        <v>14</v>
      </c>
      <c r="F1137" t="s">
        <v>15</v>
      </c>
      <c r="G1137">
        <v>15232</v>
      </c>
      <c r="H1137" t="s">
        <v>21</v>
      </c>
      <c r="I1137">
        <v>45</v>
      </c>
      <c r="J1137">
        <v>1</v>
      </c>
      <c r="K1137" t="s">
        <v>8131</v>
      </c>
    </row>
    <row r="1138" spans="1:11" x14ac:dyDescent="0.25">
      <c r="A1138" t="s">
        <v>3999</v>
      </c>
      <c r="B1138" t="s">
        <v>4000</v>
      </c>
      <c r="C1138" t="s">
        <v>4001</v>
      </c>
      <c r="D1138" t="s">
        <v>3604</v>
      </c>
      <c r="E1138" t="s">
        <v>14</v>
      </c>
      <c r="F1138" t="s">
        <v>15</v>
      </c>
      <c r="G1138">
        <v>15222</v>
      </c>
      <c r="H1138" t="s">
        <v>21</v>
      </c>
      <c r="I1138">
        <v>22</v>
      </c>
      <c r="J1138">
        <v>1</v>
      </c>
      <c r="K1138" t="s">
        <v>8131</v>
      </c>
    </row>
    <row r="1139" spans="1:11" x14ac:dyDescent="0.25">
      <c r="A1139" t="s">
        <v>4002</v>
      </c>
      <c r="B1139" t="s">
        <v>4003</v>
      </c>
      <c r="C1139" t="s">
        <v>4004</v>
      </c>
      <c r="D1139" t="s">
        <v>4005</v>
      </c>
      <c r="E1139" t="s">
        <v>14</v>
      </c>
      <c r="F1139" t="s">
        <v>15</v>
      </c>
      <c r="G1139">
        <v>15222</v>
      </c>
      <c r="H1139" t="s">
        <v>48</v>
      </c>
      <c r="I1139">
        <v>143</v>
      </c>
      <c r="J1139">
        <v>1</v>
      </c>
      <c r="K1139" t="s">
        <v>8131</v>
      </c>
    </row>
    <row r="1140" spans="1:11" x14ac:dyDescent="0.25">
      <c r="A1140" t="s">
        <v>4006</v>
      </c>
      <c r="B1140" t="s">
        <v>4007</v>
      </c>
      <c r="C1140" t="s">
        <v>4008</v>
      </c>
      <c r="D1140" t="s">
        <v>4009</v>
      </c>
      <c r="E1140" t="s">
        <v>14</v>
      </c>
      <c r="F1140" t="s">
        <v>15</v>
      </c>
      <c r="G1140">
        <v>15203</v>
      </c>
      <c r="H1140" t="s">
        <v>34</v>
      </c>
      <c r="I1140">
        <v>145</v>
      </c>
      <c r="J1140">
        <v>1</v>
      </c>
      <c r="K1140" t="s">
        <v>8132</v>
      </c>
    </row>
    <row r="1141" spans="1:11" x14ac:dyDescent="0.25">
      <c r="A1141" t="e">
        <f>-Is6Ney1wmsJAjvDdkaaaQ</f>
        <v>#NAME?</v>
      </c>
      <c r="B1141" t="s">
        <v>377</v>
      </c>
      <c r="C1141" t="s">
        <v>4010</v>
      </c>
      <c r="D1141" t="s">
        <v>800</v>
      </c>
      <c r="E1141" t="s">
        <v>14</v>
      </c>
      <c r="F1141" t="s">
        <v>15</v>
      </c>
      <c r="G1141">
        <v>15221</v>
      </c>
      <c r="H1141" t="s">
        <v>34</v>
      </c>
      <c r="I1141">
        <v>4</v>
      </c>
      <c r="J1141">
        <v>0</v>
      </c>
      <c r="K1141" t="s">
        <v>8124</v>
      </c>
    </row>
    <row r="1142" spans="1:11" x14ac:dyDescent="0.25">
      <c r="A1142" t="s">
        <v>4011</v>
      </c>
      <c r="B1142" t="s">
        <v>1881</v>
      </c>
      <c r="C1142" t="s">
        <v>3283</v>
      </c>
      <c r="D1142" t="s">
        <v>4012</v>
      </c>
      <c r="E1142" t="s">
        <v>14</v>
      </c>
      <c r="F1142" t="s">
        <v>15</v>
      </c>
      <c r="G1142">
        <v>15241</v>
      </c>
      <c r="H1142" t="s">
        <v>34</v>
      </c>
      <c r="I1142">
        <v>48</v>
      </c>
      <c r="J1142">
        <v>1</v>
      </c>
      <c r="K1142" t="s">
        <v>8131</v>
      </c>
    </row>
    <row r="1143" spans="1:11" x14ac:dyDescent="0.25">
      <c r="A1143" t="s">
        <v>4013</v>
      </c>
      <c r="B1143" t="s">
        <v>4014</v>
      </c>
      <c r="C1143" t="s">
        <v>4015</v>
      </c>
      <c r="D1143" t="s">
        <v>4016</v>
      </c>
      <c r="E1143" t="s">
        <v>14</v>
      </c>
      <c r="F1143" t="s">
        <v>15</v>
      </c>
      <c r="G1143">
        <v>15222</v>
      </c>
      <c r="H1143" t="s">
        <v>16</v>
      </c>
      <c r="I1143">
        <v>511</v>
      </c>
      <c r="J1143">
        <v>1</v>
      </c>
      <c r="K1143" t="s">
        <v>8131</v>
      </c>
    </row>
    <row r="1144" spans="1:11" x14ac:dyDescent="0.25">
      <c r="A1144" t="s">
        <v>4017</v>
      </c>
      <c r="B1144" t="s">
        <v>3498</v>
      </c>
      <c r="C1144" t="s">
        <v>4018</v>
      </c>
      <c r="D1144" t="s">
        <v>4019</v>
      </c>
      <c r="E1144" t="s">
        <v>14</v>
      </c>
      <c r="F1144" t="s">
        <v>15</v>
      </c>
      <c r="G1144">
        <v>15212</v>
      </c>
      <c r="H1144" t="s">
        <v>92</v>
      </c>
      <c r="I1144">
        <v>29</v>
      </c>
      <c r="J1144">
        <v>1</v>
      </c>
      <c r="K1144" t="s">
        <v>8131</v>
      </c>
    </row>
    <row r="1145" spans="1:11" x14ac:dyDescent="0.25">
      <c r="A1145" t="s">
        <v>4020</v>
      </c>
      <c r="B1145" t="s">
        <v>1187</v>
      </c>
      <c r="C1145" t="s">
        <v>4021</v>
      </c>
      <c r="D1145" t="s">
        <v>4022</v>
      </c>
      <c r="E1145" t="s">
        <v>14</v>
      </c>
      <c r="F1145" t="s">
        <v>15</v>
      </c>
      <c r="G1145">
        <v>15222</v>
      </c>
      <c r="H1145" t="s">
        <v>43</v>
      </c>
      <c r="I1145">
        <v>29</v>
      </c>
      <c r="J1145">
        <v>0</v>
      </c>
      <c r="K1145" t="s">
        <v>8131</v>
      </c>
    </row>
    <row r="1146" spans="1:11" x14ac:dyDescent="0.25">
      <c r="A1146" t="s">
        <v>4023</v>
      </c>
      <c r="B1146" t="s">
        <v>4024</v>
      </c>
      <c r="C1146" t="s">
        <v>1708</v>
      </c>
      <c r="D1146" t="s">
        <v>4025</v>
      </c>
      <c r="E1146" t="s">
        <v>14</v>
      </c>
      <c r="F1146" t="s">
        <v>15</v>
      </c>
      <c r="G1146">
        <v>15221</v>
      </c>
      <c r="H1146" t="s">
        <v>113</v>
      </c>
      <c r="I1146">
        <v>4</v>
      </c>
      <c r="J1146">
        <v>1</v>
      </c>
      <c r="K1146" t="s">
        <v>8131</v>
      </c>
    </row>
    <row r="1147" spans="1:11" x14ac:dyDescent="0.25">
      <c r="A1147" t="s">
        <v>4026</v>
      </c>
      <c r="B1147" t="s">
        <v>4027</v>
      </c>
      <c r="C1147" t="s">
        <v>4028</v>
      </c>
      <c r="D1147" t="s">
        <v>4029</v>
      </c>
      <c r="E1147" t="s">
        <v>14</v>
      </c>
      <c r="F1147" t="s">
        <v>15</v>
      </c>
      <c r="G1147">
        <v>15232</v>
      </c>
      <c r="H1147" t="s">
        <v>16</v>
      </c>
      <c r="I1147">
        <v>76</v>
      </c>
      <c r="J1147">
        <v>1</v>
      </c>
      <c r="K1147" t="s">
        <v>8131</v>
      </c>
    </row>
    <row r="1148" spans="1:11" x14ac:dyDescent="0.25">
      <c r="A1148" t="s">
        <v>4030</v>
      </c>
      <c r="B1148" t="s">
        <v>2897</v>
      </c>
      <c r="C1148" t="s">
        <v>4031</v>
      </c>
      <c r="D1148" t="s">
        <v>2899</v>
      </c>
      <c r="E1148" t="s">
        <v>14</v>
      </c>
      <c r="F1148" t="s">
        <v>15</v>
      </c>
      <c r="G1148">
        <v>15216</v>
      </c>
      <c r="H1148" t="s">
        <v>34</v>
      </c>
      <c r="I1148">
        <v>41</v>
      </c>
      <c r="J1148">
        <v>0</v>
      </c>
      <c r="K1148" t="s">
        <v>8119</v>
      </c>
    </row>
    <row r="1149" spans="1:11" x14ac:dyDescent="0.25">
      <c r="A1149" t="s">
        <v>4032</v>
      </c>
      <c r="B1149" t="s">
        <v>2549</v>
      </c>
      <c r="C1149" t="s">
        <v>340</v>
      </c>
      <c r="D1149" t="s">
        <v>4033</v>
      </c>
      <c r="E1149" t="s">
        <v>14</v>
      </c>
      <c r="F1149" t="s">
        <v>15</v>
      </c>
      <c r="G1149">
        <v>15220</v>
      </c>
      <c r="H1149" t="s">
        <v>21</v>
      </c>
      <c r="I1149">
        <v>8</v>
      </c>
      <c r="J1149">
        <v>1</v>
      </c>
      <c r="K1149" t="s">
        <v>8131</v>
      </c>
    </row>
    <row r="1150" spans="1:11" x14ac:dyDescent="0.25">
      <c r="A1150" t="s">
        <v>4034</v>
      </c>
      <c r="B1150" t="s">
        <v>215</v>
      </c>
      <c r="C1150" t="s">
        <v>4035</v>
      </c>
      <c r="D1150" t="s">
        <v>4036</v>
      </c>
      <c r="E1150" t="s">
        <v>14</v>
      </c>
      <c r="F1150" t="s">
        <v>15</v>
      </c>
      <c r="G1150">
        <v>15227</v>
      </c>
      <c r="H1150" t="s">
        <v>113</v>
      </c>
      <c r="I1150">
        <v>9</v>
      </c>
      <c r="J1150">
        <v>0</v>
      </c>
      <c r="K1150" t="s">
        <v>8131</v>
      </c>
    </row>
    <row r="1151" spans="1:11" x14ac:dyDescent="0.25">
      <c r="A1151" t="s">
        <v>4037</v>
      </c>
      <c r="B1151" t="s">
        <v>2090</v>
      </c>
      <c r="C1151" t="s">
        <v>32</v>
      </c>
      <c r="D1151" t="s">
        <v>4038</v>
      </c>
      <c r="E1151" t="s">
        <v>14</v>
      </c>
      <c r="F1151" t="s">
        <v>15</v>
      </c>
      <c r="G1151">
        <v>15222</v>
      </c>
      <c r="H1151" t="s">
        <v>34</v>
      </c>
      <c r="I1151">
        <v>5</v>
      </c>
      <c r="J1151">
        <v>1</v>
      </c>
      <c r="K1151" t="s">
        <v>8131</v>
      </c>
    </row>
    <row r="1152" spans="1:11" x14ac:dyDescent="0.25">
      <c r="A1152" t="s">
        <v>4039</v>
      </c>
      <c r="B1152" t="s">
        <v>65</v>
      </c>
      <c r="C1152" t="s">
        <v>4040</v>
      </c>
      <c r="D1152" t="s">
        <v>4041</v>
      </c>
      <c r="E1152" t="s">
        <v>14</v>
      </c>
      <c r="F1152" t="s">
        <v>15</v>
      </c>
      <c r="G1152">
        <v>15227</v>
      </c>
      <c r="H1152" t="s">
        <v>34</v>
      </c>
      <c r="I1152">
        <v>17</v>
      </c>
      <c r="J1152">
        <v>1</v>
      </c>
      <c r="K1152" t="s">
        <v>8131</v>
      </c>
    </row>
    <row r="1153" spans="1:11" x14ac:dyDescent="0.25">
      <c r="A1153" t="s">
        <v>4042</v>
      </c>
      <c r="B1153" t="s">
        <v>4043</v>
      </c>
      <c r="C1153" t="s">
        <v>1150</v>
      </c>
      <c r="D1153" t="s">
        <v>4044</v>
      </c>
      <c r="E1153" t="s">
        <v>14</v>
      </c>
      <c r="F1153" t="s">
        <v>15</v>
      </c>
      <c r="G1153">
        <v>15202</v>
      </c>
      <c r="H1153" t="s">
        <v>48</v>
      </c>
      <c r="I1153">
        <v>23</v>
      </c>
      <c r="J1153">
        <v>1</v>
      </c>
      <c r="K1153" t="s">
        <v>8131</v>
      </c>
    </row>
    <row r="1154" spans="1:11" x14ac:dyDescent="0.25">
      <c r="A1154" t="s">
        <v>4045</v>
      </c>
      <c r="B1154" t="s">
        <v>36</v>
      </c>
      <c r="C1154" t="s">
        <v>4046</v>
      </c>
      <c r="D1154" t="s">
        <v>3391</v>
      </c>
      <c r="E1154" t="s">
        <v>14</v>
      </c>
      <c r="F1154" t="s">
        <v>15</v>
      </c>
      <c r="G1154">
        <v>15229</v>
      </c>
      <c r="H1154" t="s">
        <v>43</v>
      </c>
      <c r="I1154">
        <v>3</v>
      </c>
      <c r="J1154">
        <v>0</v>
      </c>
      <c r="K1154" t="s">
        <v>8131</v>
      </c>
    </row>
    <row r="1155" spans="1:11" x14ac:dyDescent="0.25">
      <c r="A1155" t="s">
        <v>4047</v>
      </c>
      <c r="B1155" t="s">
        <v>4048</v>
      </c>
      <c r="C1155" t="s">
        <v>4049</v>
      </c>
      <c r="D1155" t="s">
        <v>4050</v>
      </c>
      <c r="E1155" t="s">
        <v>14</v>
      </c>
      <c r="F1155" t="s">
        <v>15</v>
      </c>
      <c r="G1155">
        <v>15222</v>
      </c>
      <c r="H1155" t="s">
        <v>43</v>
      </c>
      <c r="I1155">
        <v>119</v>
      </c>
      <c r="J1155">
        <v>1</v>
      </c>
      <c r="K1155" t="s">
        <v>8131</v>
      </c>
    </row>
    <row r="1156" spans="1:11" x14ac:dyDescent="0.25">
      <c r="A1156" t="s">
        <v>4051</v>
      </c>
      <c r="B1156" t="s">
        <v>4052</v>
      </c>
      <c r="C1156" t="s">
        <v>4053</v>
      </c>
      <c r="D1156" t="s">
        <v>4054</v>
      </c>
      <c r="E1156" t="s">
        <v>14</v>
      </c>
      <c r="F1156" t="s">
        <v>15</v>
      </c>
      <c r="G1156">
        <v>15219</v>
      </c>
      <c r="H1156" t="s">
        <v>34</v>
      </c>
      <c r="I1156">
        <v>4</v>
      </c>
      <c r="J1156">
        <v>1</v>
      </c>
      <c r="K1156" t="s">
        <v>8131</v>
      </c>
    </row>
    <row r="1157" spans="1:11" x14ac:dyDescent="0.25">
      <c r="A1157" t="s">
        <v>4055</v>
      </c>
      <c r="B1157" t="s">
        <v>36</v>
      </c>
      <c r="C1157" t="s">
        <v>4056</v>
      </c>
      <c r="D1157" t="s">
        <v>2974</v>
      </c>
      <c r="E1157" t="s">
        <v>14</v>
      </c>
      <c r="F1157" t="s">
        <v>15</v>
      </c>
      <c r="G1157">
        <v>15236</v>
      </c>
      <c r="H1157" t="s">
        <v>16</v>
      </c>
      <c r="I1157">
        <v>4</v>
      </c>
      <c r="J1157">
        <v>0</v>
      </c>
      <c r="K1157" t="s">
        <v>8131</v>
      </c>
    </row>
    <row r="1158" spans="1:11" x14ac:dyDescent="0.25">
      <c r="A1158" t="s">
        <v>4057</v>
      </c>
      <c r="B1158" t="s">
        <v>586</v>
      </c>
      <c r="C1158" t="s">
        <v>4058</v>
      </c>
      <c r="D1158" t="s">
        <v>839</v>
      </c>
      <c r="E1158" t="s">
        <v>14</v>
      </c>
      <c r="F1158" t="s">
        <v>15</v>
      </c>
      <c r="G1158">
        <v>15213</v>
      </c>
      <c r="H1158" t="s">
        <v>34</v>
      </c>
      <c r="I1158">
        <v>74</v>
      </c>
      <c r="J1158">
        <v>0</v>
      </c>
      <c r="K1158" t="s">
        <v>8120</v>
      </c>
    </row>
    <row r="1159" spans="1:11" x14ac:dyDescent="0.25">
      <c r="A1159" t="s">
        <v>4059</v>
      </c>
      <c r="B1159" t="s">
        <v>4060</v>
      </c>
      <c r="C1159" t="s">
        <v>4061</v>
      </c>
      <c r="D1159" t="s">
        <v>4062</v>
      </c>
      <c r="E1159" t="s">
        <v>14</v>
      </c>
      <c r="F1159" t="s">
        <v>15</v>
      </c>
      <c r="G1159">
        <v>15232</v>
      </c>
      <c r="H1159" t="s">
        <v>16</v>
      </c>
      <c r="I1159">
        <v>5</v>
      </c>
      <c r="J1159">
        <v>0</v>
      </c>
      <c r="K1159" t="s">
        <v>8131</v>
      </c>
    </row>
    <row r="1160" spans="1:11" x14ac:dyDescent="0.25">
      <c r="A1160" t="s">
        <v>4063</v>
      </c>
      <c r="B1160" t="s">
        <v>4064</v>
      </c>
      <c r="C1160" t="s">
        <v>4065</v>
      </c>
      <c r="D1160" t="s">
        <v>4066</v>
      </c>
      <c r="E1160" t="s">
        <v>14</v>
      </c>
      <c r="F1160" t="s">
        <v>15</v>
      </c>
      <c r="G1160">
        <v>15213</v>
      </c>
      <c r="H1160" t="s">
        <v>16</v>
      </c>
      <c r="I1160">
        <v>131</v>
      </c>
      <c r="J1160">
        <v>1</v>
      </c>
      <c r="K1160" t="s">
        <v>8129</v>
      </c>
    </row>
    <row r="1161" spans="1:11" x14ac:dyDescent="0.25">
      <c r="A1161" t="s">
        <v>4067</v>
      </c>
      <c r="B1161" t="s">
        <v>4068</v>
      </c>
      <c r="C1161" t="s">
        <v>4069</v>
      </c>
      <c r="D1161" t="s">
        <v>4070</v>
      </c>
      <c r="E1161" t="s">
        <v>14</v>
      </c>
      <c r="F1161" t="s">
        <v>15</v>
      </c>
      <c r="G1161">
        <v>15207</v>
      </c>
      <c r="H1161" t="s">
        <v>16</v>
      </c>
      <c r="I1161">
        <v>4</v>
      </c>
      <c r="J1161">
        <v>0</v>
      </c>
      <c r="K1161" t="s">
        <v>8131</v>
      </c>
    </row>
    <row r="1162" spans="1:11" x14ac:dyDescent="0.25">
      <c r="A1162" t="s">
        <v>4071</v>
      </c>
      <c r="B1162" t="s">
        <v>331</v>
      </c>
      <c r="C1162" t="s">
        <v>4072</v>
      </c>
      <c r="D1162" t="s">
        <v>4073</v>
      </c>
      <c r="E1162" t="s">
        <v>14</v>
      </c>
      <c r="F1162" t="s">
        <v>15</v>
      </c>
      <c r="G1162">
        <v>15222</v>
      </c>
      <c r="H1162" t="s">
        <v>34</v>
      </c>
      <c r="I1162">
        <v>11</v>
      </c>
      <c r="J1162">
        <v>0</v>
      </c>
      <c r="K1162" t="s">
        <v>8123</v>
      </c>
    </row>
    <row r="1163" spans="1:11" x14ac:dyDescent="0.25">
      <c r="A1163" t="s">
        <v>4074</v>
      </c>
      <c r="B1163" t="s">
        <v>4075</v>
      </c>
      <c r="C1163" t="s">
        <v>4076</v>
      </c>
      <c r="D1163" t="s">
        <v>4077</v>
      </c>
      <c r="E1163" t="s">
        <v>14</v>
      </c>
      <c r="F1163" t="s">
        <v>15</v>
      </c>
      <c r="G1163">
        <v>15205</v>
      </c>
      <c r="H1163" t="s">
        <v>16</v>
      </c>
      <c r="I1163">
        <v>109</v>
      </c>
      <c r="J1163">
        <v>1</v>
      </c>
      <c r="K1163" t="s">
        <v>8120</v>
      </c>
    </row>
    <row r="1164" spans="1:11" x14ac:dyDescent="0.25">
      <c r="A1164" t="s">
        <v>4078</v>
      </c>
      <c r="B1164" t="s">
        <v>4079</v>
      </c>
      <c r="C1164" t="s">
        <v>4080</v>
      </c>
      <c r="D1164" t="s">
        <v>4081</v>
      </c>
      <c r="E1164" t="s">
        <v>14</v>
      </c>
      <c r="F1164" t="s">
        <v>15</v>
      </c>
      <c r="G1164">
        <v>15217</v>
      </c>
      <c r="H1164" t="s">
        <v>21</v>
      </c>
      <c r="I1164">
        <v>53</v>
      </c>
      <c r="J1164">
        <v>1</v>
      </c>
      <c r="K1164" t="s">
        <v>8117</v>
      </c>
    </row>
    <row r="1165" spans="1:11" x14ac:dyDescent="0.25">
      <c r="A1165" t="s">
        <v>4082</v>
      </c>
      <c r="B1165" t="s">
        <v>4083</v>
      </c>
      <c r="C1165" t="s">
        <v>4084</v>
      </c>
      <c r="D1165" t="s">
        <v>4085</v>
      </c>
      <c r="E1165" t="s">
        <v>14</v>
      </c>
      <c r="F1165" t="s">
        <v>15</v>
      </c>
      <c r="G1165">
        <v>15227</v>
      </c>
      <c r="H1165" t="s">
        <v>21</v>
      </c>
      <c r="I1165">
        <v>13</v>
      </c>
      <c r="J1165">
        <v>1</v>
      </c>
      <c r="K1165" t="s">
        <v>8131</v>
      </c>
    </row>
    <row r="1166" spans="1:11" x14ac:dyDescent="0.25">
      <c r="A1166" t="s">
        <v>4086</v>
      </c>
      <c r="B1166" t="s">
        <v>586</v>
      </c>
      <c r="C1166" t="s">
        <v>4087</v>
      </c>
      <c r="D1166" t="s">
        <v>276</v>
      </c>
      <c r="E1166" t="s">
        <v>14</v>
      </c>
      <c r="F1166" t="s">
        <v>15</v>
      </c>
      <c r="G1166">
        <v>15226</v>
      </c>
      <c r="H1166" t="s">
        <v>16</v>
      </c>
      <c r="I1166">
        <v>12</v>
      </c>
      <c r="J1166">
        <v>0</v>
      </c>
      <c r="K1166" t="s">
        <v>8120</v>
      </c>
    </row>
    <row r="1167" spans="1:11" x14ac:dyDescent="0.25">
      <c r="A1167" t="s">
        <v>4088</v>
      </c>
      <c r="B1167" t="s">
        <v>4089</v>
      </c>
      <c r="C1167" t="s">
        <v>4090</v>
      </c>
      <c r="D1167" t="s">
        <v>4091</v>
      </c>
      <c r="E1167" t="s">
        <v>14</v>
      </c>
      <c r="F1167" t="s">
        <v>15</v>
      </c>
      <c r="G1167">
        <v>15219</v>
      </c>
      <c r="H1167" t="s">
        <v>48</v>
      </c>
      <c r="I1167">
        <v>14</v>
      </c>
      <c r="J1167">
        <v>1</v>
      </c>
      <c r="K1167" t="s">
        <v>8131</v>
      </c>
    </row>
    <row r="1168" spans="1:11" x14ac:dyDescent="0.25">
      <c r="A1168" t="s">
        <v>4092</v>
      </c>
      <c r="B1168" t="s">
        <v>4093</v>
      </c>
      <c r="C1168" t="s">
        <v>2783</v>
      </c>
      <c r="D1168" t="s">
        <v>4094</v>
      </c>
      <c r="E1168" t="s">
        <v>14</v>
      </c>
      <c r="F1168" t="s">
        <v>15</v>
      </c>
      <c r="G1168">
        <v>15222</v>
      </c>
      <c r="H1168" t="s">
        <v>48</v>
      </c>
      <c r="I1168">
        <v>14</v>
      </c>
      <c r="J1168">
        <v>1</v>
      </c>
      <c r="K1168" t="s">
        <v>8131</v>
      </c>
    </row>
    <row r="1169" spans="1:11" x14ac:dyDescent="0.25">
      <c r="A1169" t="s">
        <v>4095</v>
      </c>
      <c r="B1169" t="s">
        <v>773</v>
      </c>
      <c r="C1169" t="s">
        <v>4096</v>
      </c>
      <c r="D1169" t="s">
        <v>4097</v>
      </c>
      <c r="E1169" t="s">
        <v>14</v>
      </c>
      <c r="F1169" t="s">
        <v>15</v>
      </c>
      <c r="G1169">
        <v>15237</v>
      </c>
      <c r="H1169" t="s">
        <v>43</v>
      </c>
      <c r="I1169">
        <v>3</v>
      </c>
      <c r="J1169">
        <v>0</v>
      </c>
      <c r="K1169" t="s">
        <v>8131</v>
      </c>
    </row>
    <row r="1170" spans="1:11" x14ac:dyDescent="0.25">
      <c r="A1170" t="s">
        <v>4098</v>
      </c>
      <c r="B1170" t="s">
        <v>4099</v>
      </c>
      <c r="C1170" t="s">
        <v>4100</v>
      </c>
      <c r="D1170" t="s">
        <v>4101</v>
      </c>
      <c r="E1170" t="s">
        <v>14</v>
      </c>
      <c r="F1170" t="s">
        <v>15</v>
      </c>
      <c r="G1170">
        <v>15236</v>
      </c>
      <c r="H1170" t="s">
        <v>48</v>
      </c>
      <c r="I1170">
        <v>12</v>
      </c>
      <c r="J1170">
        <v>0</v>
      </c>
      <c r="K1170" t="s">
        <v>8131</v>
      </c>
    </row>
    <row r="1171" spans="1:11" x14ac:dyDescent="0.25">
      <c r="A1171" t="s">
        <v>4102</v>
      </c>
      <c r="B1171" t="s">
        <v>4103</v>
      </c>
      <c r="C1171" t="s">
        <v>4104</v>
      </c>
      <c r="D1171" t="s">
        <v>492</v>
      </c>
      <c r="E1171" t="s">
        <v>14</v>
      </c>
      <c r="F1171" t="s">
        <v>15</v>
      </c>
      <c r="G1171">
        <v>15235</v>
      </c>
      <c r="H1171" t="s">
        <v>1028</v>
      </c>
      <c r="I1171">
        <v>5</v>
      </c>
      <c r="J1171">
        <v>0</v>
      </c>
      <c r="K1171" t="s">
        <v>8131</v>
      </c>
    </row>
    <row r="1172" spans="1:11" x14ac:dyDescent="0.25">
      <c r="A1172" t="s">
        <v>4105</v>
      </c>
      <c r="B1172" t="s">
        <v>4106</v>
      </c>
      <c r="C1172" t="s">
        <v>4107</v>
      </c>
      <c r="D1172" t="s">
        <v>545</v>
      </c>
      <c r="E1172" t="s">
        <v>14</v>
      </c>
      <c r="F1172" t="s">
        <v>15</v>
      </c>
      <c r="G1172">
        <v>15220</v>
      </c>
      <c r="H1172" t="s">
        <v>16</v>
      </c>
      <c r="I1172">
        <v>45</v>
      </c>
      <c r="J1172">
        <v>1</v>
      </c>
      <c r="K1172" t="s">
        <v>8120</v>
      </c>
    </row>
    <row r="1173" spans="1:11" x14ac:dyDescent="0.25">
      <c r="A1173" t="s">
        <v>4108</v>
      </c>
      <c r="B1173" t="s">
        <v>4109</v>
      </c>
      <c r="C1173" t="s">
        <v>4110</v>
      </c>
      <c r="D1173" t="s">
        <v>4111</v>
      </c>
      <c r="E1173" t="s">
        <v>14</v>
      </c>
      <c r="F1173" t="s">
        <v>15</v>
      </c>
      <c r="G1173">
        <v>15212</v>
      </c>
      <c r="H1173" t="s">
        <v>21</v>
      </c>
      <c r="I1173">
        <v>57</v>
      </c>
      <c r="J1173">
        <v>1</v>
      </c>
      <c r="K1173" t="s">
        <v>8131</v>
      </c>
    </row>
    <row r="1174" spans="1:11" x14ac:dyDescent="0.25">
      <c r="A1174" t="s">
        <v>4112</v>
      </c>
      <c r="B1174" t="s">
        <v>4113</v>
      </c>
      <c r="C1174" t="s">
        <v>4114</v>
      </c>
      <c r="D1174" t="s">
        <v>4115</v>
      </c>
      <c r="E1174" t="s">
        <v>14</v>
      </c>
      <c r="F1174" t="s">
        <v>15</v>
      </c>
      <c r="G1174">
        <v>15203</v>
      </c>
      <c r="H1174" t="s">
        <v>34</v>
      </c>
      <c r="I1174">
        <v>81</v>
      </c>
      <c r="J1174">
        <v>1</v>
      </c>
      <c r="K1174" t="s">
        <v>8131</v>
      </c>
    </row>
    <row r="1175" spans="1:11" x14ac:dyDescent="0.25">
      <c r="A1175" t="s">
        <v>4116</v>
      </c>
      <c r="B1175" t="s">
        <v>98</v>
      </c>
      <c r="C1175" t="s">
        <v>4117</v>
      </c>
      <c r="D1175" t="s">
        <v>4118</v>
      </c>
      <c r="E1175" t="s">
        <v>14</v>
      </c>
      <c r="F1175" t="s">
        <v>15</v>
      </c>
      <c r="G1175">
        <v>15222</v>
      </c>
      <c r="H1175" t="s">
        <v>1028</v>
      </c>
      <c r="I1175">
        <v>3</v>
      </c>
      <c r="J1175">
        <v>1</v>
      </c>
      <c r="K1175" t="s">
        <v>8131</v>
      </c>
    </row>
    <row r="1176" spans="1:11" x14ac:dyDescent="0.25">
      <c r="A1176" t="s">
        <v>4119</v>
      </c>
      <c r="B1176" t="s">
        <v>4120</v>
      </c>
      <c r="C1176" t="s">
        <v>3343</v>
      </c>
      <c r="D1176" t="s">
        <v>4121</v>
      </c>
      <c r="E1176" t="s">
        <v>14</v>
      </c>
      <c r="F1176" t="s">
        <v>15</v>
      </c>
      <c r="G1176">
        <v>15237</v>
      </c>
      <c r="H1176" t="s">
        <v>34</v>
      </c>
      <c r="I1176">
        <v>28</v>
      </c>
      <c r="J1176">
        <v>1</v>
      </c>
      <c r="K1176" t="s">
        <v>8131</v>
      </c>
    </row>
    <row r="1177" spans="1:11" x14ac:dyDescent="0.25">
      <c r="A1177" t="s">
        <v>4122</v>
      </c>
      <c r="B1177" t="s">
        <v>4123</v>
      </c>
      <c r="C1177" t="s">
        <v>632</v>
      </c>
      <c r="D1177" t="s">
        <v>4124</v>
      </c>
      <c r="E1177" t="s">
        <v>14</v>
      </c>
      <c r="F1177" t="s">
        <v>15</v>
      </c>
      <c r="G1177">
        <v>15213</v>
      </c>
      <c r="H1177" t="s">
        <v>16</v>
      </c>
      <c r="I1177">
        <v>36</v>
      </c>
      <c r="J1177">
        <v>1</v>
      </c>
      <c r="K1177" t="s">
        <v>8131</v>
      </c>
    </row>
    <row r="1178" spans="1:11" x14ac:dyDescent="0.25">
      <c r="A1178" t="s">
        <v>4125</v>
      </c>
      <c r="B1178" t="s">
        <v>4126</v>
      </c>
      <c r="C1178" t="s">
        <v>4127</v>
      </c>
      <c r="D1178" t="s">
        <v>2906</v>
      </c>
      <c r="E1178" t="s">
        <v>14</v>
      </c>
      <c r="F1178" t="s">
        <v>15</v>
      </c>
      <c r="G1178">
        <v>15228</v>
      </c>
      <c r="H1178" t="s">
        <v>92</v>
      </c>
      <c r="I1178">
        <v>36</v>
      </c>
      <c r="J1178">
        <v>0</v>
      </c>
      <c r="K1178" t="s">
        <v>8128</v>
      </c>
    </row>
    <row r="1179" spans="1:11" x14ac:dyDescent="0.25">
      <c r="A1179" t="s">
        <v>4128</v>
      </c>
      <c r="B1179" t="s">
        <v>4129</v>
      </c>
      <c r="C1179" t="s">
        <v>4130</v>
      </c>
      <c r="D1179" t="s">
        <v>186</v>
      </c>
      <c r="E1179" t="s">
        <v>14</v>
      </c>
      <c r="F1179" t="s">
        <v>15</v>
      </c>
      <c r="G1179">
        <v>15201</v>
      </c>
      <c r="H1179" t="s">
        <v>21</v>
      </c>
      <c r="I1179">
        <v>23</v>
      </c>
      <c r="J1179">
        <v>1</v>
      </c>
      <c r="K1179" t="s">
        <v>8120</v>
      </c>
    </row>
    <row r="1180" spans="1:11" x14ac:dyDescent="0.25">
      <c r="A1180" t="s">
        <v>4131</v>
      </c>
      <c r="B1180" t="s">
        <v>1416</v>
      </c>
      <c r="C1180" t="s">
        <v>32</v>
      </c>
      <c r="D1180" t="s">
        <v>4132</v>
      </c>
      <c r="E1180" t="s">
        <v>14</v>
      </c>
      <c r="F1180" t="s">
        <v>15</v>
      </c>
      <c r="G1180">
        <v>15218</v>
      </c>
      <c r="H1180" t="s">
        <v>113</v>
      </c>
      <c r="I1180">
        <v>3</v>
      </c>
      <c r="J1180">
        <v>1</v>
      </c>
      <c r="K1180" t="s">
        <v>8131</v>
      </c>
    </row>
    <row r="1181" spans="1:11" x14ac:dyDescent="0.25">
      <c r="A1181" t="s">
        <v>4133</v>
      </c>
      <c r="B1181" t="s">
        <v>4134</v>
      </c>
      <c r="C1181" t="s">
        <v>4135</v>
      </c>
      <c r="D1181" t="s">
        <v>4136</v>
      </c>
      <c r="E1181" t="s">
        <v>14</v>
      </c>
      <c r="F1181" t="s">
        <v>15</v>
      </c>
      <c r="G1181">
        <v>15213</v>
      </c>
      <c r="H1181" t="s">
        <v>43</v>
      </c>
      <c r="I1181">
        <v>5</v>
      </c>
      <c r="J1181">
        <v>1</v>
      </c>
      <c r="K1181" t="s">
        <v>8133</v>
      </c>
    </row>
    <row r="1182" spans="1:11" x14ac:dyDescent="0.25">
      <c r="A1182" t="s">
        <v>4137</v>
      </c>
      <c r="B1182" t="s">
        <v>4138</v>
      </c>
      <c r="C1182" t="s">
        <v>4139</v>
      </c>
      <c r="D1182" t="s">
        <v>4140</v>
      </c>
      <c r="E1182" t="s">
        <v>14</v>
      </c>
      <c r="F1182" t="s">
        <v>15</v>
      </c>
      <c r="G1182">
        <v>15206</v>
      </c>
      <c r="H1182" t="s">
        <v>34</v>
      </c>
      <c r="I1182">
        <v>30</v>
      </c>
      <c r="J1182">
        <v>1</v>
      </c>
      <c r="K1182" t="s">
        <v>8131</v>
      </c>
    </row>
    <row r="1183" spans="1:11" x14ac:dyDescent="0.25">
      <c r="A1183" t="s">
        <v>4141</v>
      </c>
      <c r="B1183" t="s">
        <v>3489</v>
      </c>
      <c r="C1183" t="s">
        <v>4142</v>
      </c>
      <c r="D1183" t="s">
        <v>3067</v>
      </c>
      <c r="E1183" t="s">
        <v>14</v>
      </c>
      <c r="F1183" t="s">
        <v>15</v>
      </c>
      <c r="G1183">
        <v>15217</v>
      </c>
      <c r="H1183" t="s">
        <v>16</v>
      </c>
      <c r="I1183">
        <v>171</v>
      </c>
      <c r="J1183">
        <v>1</v>
      </c>
      <c r="K1183" t="s">
        <v>8131</v>
      </c>
    </row>
    <row r="1184" spans="1:11" x14ac:dyDescent="0.25">
      <c r="A1184" t="s">
        <v>4143</v>
      </c>
      <c r="B1184" t="s">
        <v>1338</v>
      </c>
      <c r="C1184" t="s">
        <v>4144</v>
      </c>
      <c r="D1184" t="s">
        <v>4145</v>
      </c>
      <c r="E1184" t="s">
        <v>14</v>
      </c>
      <c r="F1184" t="s">
        <v>15</v>
      </c>
      <c r="G1184">
        <v>15216</v>
      </c>
      <c r="H1184" t="s">
        <v>113</v>
      </c>
      <c r="I1184">
        <v>8</v>
      </c>
      <c r="J1184">
        <v>0</v>
      </c>
      <c r="K1184" t="s">
        <v>8120</v>
      </c>
    </row>
    <row r="1185" spans="1:11" x14ac:dyDescent="0.25">
      <c r="A1185" t="s">
        <v>4146</v>
      </c>
      <c r="B1185" t="s">
        <v>4147</v>
      </c>
      <c r="C1185" t="s">
        <v>460</v>
      </c>
      <c r="D1185" t="s">
        <v>4148</v>
      </c>
      <c r="E1185" t="s">
        <v>14</v>
      </c>
      <c r="F1185" t="s">
        <v>15</v>
      </c>
      <c r="G1185">
        <v>15224</v>
      </c>
      <c r="H1185" t="s">
        <v>48</v>
      </c>
      <c r="I1185">
        <v>22</v>
      </c>
      <c r="J1185">
        <v>1</v>
      </c>
      <c r="K1185" t="s">
        <v>8131</v>
      </c>
    </row>
    <row r="1186" spans="1:11" x14ac:dyDescent="0.25">
      <c r="A1186" t="s">
        <v>4149</v>
      </c>
      <c r="B1186" t="s">
        <v>2353</v>
      </c>
      <c r="C1186" t="s">
        <v>4150</v>
      </c>
      <c r="D1186" t="s">
        <v>4151</v>
      </c>
      <c r="E1186" t="s">
        <v>14</v>
      </c>
      <c r="F1186" t="s">
        <v>15</v>
      </c>
      <c r="G1186">
        <v>15227</v>
      </c>
      <c r="H1186" t="s">
        <v>16</v>
      </c>
      <c r="I1186">
        <v>29</v>
      </c>
      <c r="J1186">
        <v>1</v>
      </c>
      <c r="K1186" t="s">
        <v>8131</v>
      </c>
    </row>
    <row r="1187" spans="1:11" x14ac:dyDescent="0.25">
      <c r="A1187" t="s">
        <v>4152</v>
      </c>
      <c r="B1187" t="s">
        <v>4153</v>
      </c>
      <c r="C1187" t="s">
        <v>4154</v>
      </c>
      <c r="D1187" t="s">
        <v>2403</v>
      </c>
      <c r="E1187" t="s">
        <v>14</v>
      </c>
      <c r="F1187" t="s">
        <v>15</v>
      </c>
      <c r="G1187">
        <v>15226</v>
      </c>
      <c r="H1187" t="s">
        <v>21</v>
      </c>
      <c r="I1187">
        <v>69</v>
      </c>
      <c r="J1187">
        <v>1</v>
      </c>
      <c r="K1187" t="s">
        <v>8131</v>
      </c>
    </row>
    <row r="1188" spans="1:11" x14ac:dyDescent="0.25">
      <c r="A1188" t="s">
        <v>4155</v>
      </c>
      <c r="B1188" t="s">
        <v>4156</v>
      </c>
      <c r="C1188" t="s">
        <v>4157</v>
      </c>
      <c r="D1188" t="s">
        <v>4158</v>
      </c>
      <c r="E1188" t="s">
        <v>14</v>
      </c>
      <c r="F1188" t="s">
        <v>15</v>
      </c>
      <c r="G1188">
        <v>15237</v>
      </c>
      <c r="H1188" t="s">
        <v>43</v>
      </c>
      <c r="I1188">
        <v>49</v>
      </c>
      <c r="J1188">
        <v>1</v>
      </c>
      <c r="K1188" t="s">
        <v>8122</v>
      </c>
    </row>
    <row r="1189" spans="1:11" x14ac:dyDescent="0.25">
      <c r="A1189" t="e">
        <f>-JjKeyuY8h2gbV1FcpiYcQ</f>
        <v>#NAME?</v>
      </c>
      <c r="B1189" t="s">
        <v>4159</v>
      </c>
      <c r="C1189" t="s">
        <v>4160</v>
      </c>
      <c r="D1189" t="s">
        <v>2123</v>
      </c>
      <c r="E1189" t="s">
        <v>14</v>
      </c>
      <c r="F1189" t="s">
        <v>15</v>
      </c>
      <c r="G1189">
        <v>15232</v>
      </c>
      <c r="H1189" t="s">
        <v>34</v>
      </c>
      <c r="I1189">
        <v>12</v>
      </c>
      <c r="J1189">
        <v>0</v>
      </c>
      <c r="K1189" t="s">
        <v>8131</v>
      </c>
    </row>
    <row r="1190" spans="1:11" x14ac:dyDescent="0.25">
      <c r="A1190" t="s">
        <v>4161</v>
      </c>
      <c r="B1190" t="s">
        <v>4162</v>
      </c>
      <c r="C1190" t="s">
        <v>4163</v>
      </c>
      <c r="D1190" t="s">
        <v>4164</v>
      </c>
      <c r="E1190" t="s">
        <v>14</v>
      </c>
      <c r="F1190" t="s">
        <v>15</v>
      </c>
      <c r="G1190">
        <v>15237</v>
      </c>
      <c r="H1190" t="s">
        <v>43</v>
      </c>
      <c r="I1190">
        <v>34</v>
      </c>
      <c r="J1190">
        <v>0</v>
      </c>
      <c r="K1190" t="s">
        <v>8131</v>
      </c>
    </row>
    <row r="1191" spans="1:11" x14ac:dyDescent="0.25">
      <c r="A1191" t="s">
        <v>4165</v>
      </c>
      <c r="B1191" t="s">
        <v>4166</v>
      </c>
      <c r="C1191" t="s">
        <v>4167</v>
      </c>
      <c r="D1191" t="s">
        <v>4168</v>
      </c>
      <c r="E1191" t="s">
        <v>14</v>
      </c>
      <c r="F1191" t="s">
        <v>15</v>
      </c>
      <c r="G1191">
        <v>15222</v>
      </c>
      <c r="H1191" t="s">
        <v>48</v>
      </c>
      <c r="I1191">
        <v>220</v>
      </c>
      <c r="J1191">
        <v>1</v>
      </c>
      <c r="K1191" t="s">
        <v>8120</v>
      </c>
    </row>
    <row r="1192" spans="1:11" x14ac:dyDescent="0.25">
      <c r="A1192" t="s">
        <v>4169</v>
      </c>
      <c r="B1192" t="s">
        <v>4170</v>
      </c>
      <c r="C1192" t="s">
        <v>4171</v>
      </c>
      <c r="D1192" t="s">
        <v>4172</v>
      </c>
      <c r="E1192" t="s">
        <v>14</v>
      </c>
      <c r="F1192" t="s">
        <v>15</v>
      </c>
      <c r="G1192">
        <v>15224</v>
      </c>
      <c r="H1192" t="s">
        <v>16</v>
      </c>
      <c r="I1192">
        <v>14</v>
      </c>
      <c r="J1192">
        <v>0</v>
      </c>
      <c r="K1192" t="s">
        <v>8131</v>
      </c>
    </row>
    <row r="1193" spans="1:11" x14ac:dyDescent="0.25">
      <c r="A1193" t="s">
        <v>4173</v>
      </c>
      <c r="B1193" t="s">
        <v>945</v>
      </c>
      <c r="C1193" t="s">
        <v>2013</v>
      </c>
      <c r="D1193" t="s">
        <v>4174</v>
      </c>
      <c r="E1193" t="s">
        <v>14</v>
      </c>
      <c r="F1193" t="s">
        <v>15</v>
      </c>
      <c r="G1193">
        <v>15202</v>
      </c>
      <c r="H1193" t="s">
        <v>34</v>
      </c>
      <c r="I1193">
        <v>11</v>
      </c>
      <c r="J1193">
        <v>1</v>
      </c>
      <c r="K1193" t="s">
        <v>8131</v>
      </c>
    </row>
    <row r="1194" spans="1:11" x14ac:dyDescent="0.25">
      <c r="A1194" t="s">
        <v>4175</v>
      </c>
      <c r="B1194" t="s">
        <v>2897</v>
      </c>
      <c r="C1194" t="s">
        <v>4176</v>
      </c>
      <c r="D1194" t="s">
        <v>4177</v>
      </c>
      <c r="E1194" t="s">
        <v>14</v>
      </c>
      <c r="F1194" t="s">
        <v>15</v>
      </c>
      <c r="G1194">
        <v>15222</v>
      </c>
      <c r="H1194" t="s">
        <v>48</v>
      </c>
      <c r="I1194">
        <v>45</v>
      </c>
      <c r="J1194">
        <v>1</v>
      </c>
      <c r="K1194" t="s">
        <v>8119</v>
      </c>
    </row>
    <row r="1195" spans="1:11" x14ac:dyDescent="0.25">
      <c r="A1195" t="s">
        <v>4178</v>
      </c>
      <c r="B1195" t="s">
        <v>4179</v>
      </c>
      <c r="C1195" t="s">
        <v>4180</v>
      </c>
      <c r="D1195" t="s">
        <v>4181</v>
      </c>
      <c r="E1195" t="s">
        <v>14</v>
      </c>
      <c r="F1195" t="s">
        <v>15</v>
      </c>
      <c r="G1195">
        <v>15206</v>
      </c>
      <c r="H1195" t="s">
        <v>48</v>
      </c>
      <c r="I1195">
        <v>94</v>
      </c>
      <c r="J1195">
        <v>1</v>
      </c>
      <c r="K1195" t="s">
        <v>8120</v>
      </c>
    </row>
    <row r="1196" spans="1:11" x14ac:dyDescent="0.25">
      <c r="A1196" t="s">
        <v>4182</v>
      </c>
      <c r="B1196" t="s">
        <v>447</v>
      </c>
      <c r="C1196" t="s">
        <v>4183</v>
      </c>
      <c r="D1196" t="s">
        <v>1991</v>
      </c>
      <c r="E1196" t="s">
        <v>14</v>
      </c>
      <c r="F1196" t="s">
        <v>15</v>
      </c>
      <c r="G1196">
        <v>15213</v>
      </c>
      <c r="H1196" t="s">
        <v>34</v>
      </c>
      <c r="I1196">
        <v>29</v>
      </c>
      <c r="J1196">
        <v>0</v>
      </c>
      <c r="K1196" t="s">
        <v>8122</v>
      </c>
    </row>
    <row r="1197" spans="1:11" x14ac:dyDescent="0.25">
      <c r="A1197" t="s">
        <v>4184</v>
      </c>
      <c r="B1197" t="s">
        <v>4185</v>
      </c>
      <c r="C1197" t="s">
        <v>4186</v>
      </c>
      <c r="D1197" t="s">
        <v>4187</v>
      </c>
      <c r="E1197" t="s">
        <v>14</v>
      </c>
      <c r="F1197" t="s">
        <v>15</v>
      </c>
      <c r="G1197">
        <v>15237</v>
      </c>
      <c r="H1197" t="s">
        <v>48</v>
      </c>
      <c r="I1197">
        <v>45</v>
      </c>
      <c r="J1197">
        <v>1</v>
      </c>
      <c r="K1197" t="s">
        <v>8131</v>
      </c>
    </row>
    <row r="1198" spans="1:11" x14ac:dyDescent="0.25">
      <c r="A1198" t="s">
        <v>4188</v>
      </c>
      <c r="B1198" t="s">
        <v>2118</v>
      </c>
      <c r="C1198" t="s">
        <v>913</v>
      </c>
      <c r="D1198" t="s">
        <v>4189</v>
      </c>
      <c r="E1198" t="s">
        <v>14</v>
      </c>
      <c r="F1198" t="s">
        <v>15</v>
      </c>
      <c r="G1198">
        <v>15229</v>
      </c>
      <c r="H1198" t="s">
        <v>43</v>
      </c>
      <c r="I1198">
        <v>6</v>
      </c>
      <c r="J1198">
        <v>1</v>
      </c>
      <c r="K1198" t="s">
        <v>8122</v>
      </c>
    </row>
    <row r="1199" spans="1:11" x14ac:dyDescent="0.25">
      <c r="A1199" t="s">
        <v>4190</v>
      </c>
      <c r="B1199" t="s">
        <v>720</v>
      </c>
      <c r="C1199" t="s">
        <v>4191</v>
      </c>
      <c r="D1199" t="s">
        <v>722</v>
      </c>
      <c r="E1199" t="s">
        <v>14</v>
      </c>
      <c r="F1199" t="s">
        <v>15</v>
      </c>
      <c r="G1199">
        <v>15218</v>
      </c>
      <c r="H1199" t="s">
        <v>16</v>
      </c>
      <c r="I1199">
        <v>48</v>
      </c>
      <c r="J1199">
        <v>0</v>
      </c>
      <c r="K1199" t="s">
        <v>8131</v>
      </c>
    </row>
    <row r="1200" spans="1:11" x14ac:dyDescent="0.25">
      <c r="A1200" t="s">
        <v>4192</v>
      </c>
      <c r="B1200" t="s">
        <v>1416</v>
      </c>
      <c r="C1200" t="s">
        <v>32</v>
      </c>
      <c r="D1200" t="s">
        <v>4193</v>
      </c>
      <c r="E1200" t="s">
        <v>14</v>
      </c>
      <c r="F1200" t="s">
        <v>15</v>
      </c>
      <c r="G1200">
        <v>15213</v>
      </c>
      <c r="H1200" t="s">
        <v>113</v>
      </c>
      <c r="I1200">
        <v>9</v>
      </c>
      <c r="J1200">
        <v>1</v>
      </c>
      <c r="K1200" t="s">
        <v>8131</v>
      </c>
    </row>
    <row r="1201" spans="1:11" x14ac:dyDescent="0.25">
      <c r="A1201" t="s">
        <v>4194</v>
      </c>
      <c r="B1201" t="s">
        <v>4195</v>
      </c>
      <c r="C1201" t="s">
        <v>4196</v>
      </c>
      <c r="D1201" t="s">
        <v>1499</v>
      </c>
      <c r="E1201" t="s">
        <v>14</v>
      </c>
      <c r="F1201" t="s">
        <v>15</v>
      </c>
      <c r="G1201">
        <v>15210</v>
      </c>
      <c r="H1201" t="s">
        <v>21</v>
      </c>
      <c r="I1201">
        <v>37</v>
      </c>
      <c r="J1201">
        <v>1</v>
      </c>
      <c r="K1201" t="s">
        <v>8118</v>
      </c>
    </row>
    <row r="1202" spans="1:11" x14ac:dyDescent="0.25">
      <c r="A1202" t="s">
        <v>4197</v>
      </c>
      <c r="B1202" t="s">
        <v>4198</v>
      </c>
      <c r="C1202" t="s">
        <v>4199</v>
      </c>
      <c r="D1202" t="s">
        <v>4200</v>
      </c>
      <c r="E1202" t="s">
        <v>14</v>
      </c>
      <c r="F1202" t="s">
        <v>15</v>
      </c>
      <c r="G1202">
        <v>15211</v>
      </c>
      <c r="H1202" t="s">
        <v>16</v>
      </c>
      <c r="I1202">
        <v>157</v>
      </c>
      <c r="J1202">
        <v>1</v>
      </c>
      <c r="K1202" t="s">
        <v>8131</v>
      </c>
    </row>
    <row r="1203" spans="1:11" x14ac:dyDescent="0.25">
      <c r="A1203" t="s">
        <v>4201</v>
      </c>
      <c r="B1203" t="s">
        <v>377</v>
      </c>
      <c r="C1203" t="s">
        <v>4202</v>
      </c>
      <c r="D1203" t="s">
        <v>4203</v>
      </c>
      <c r="E1203" t="s">
        <v>14</v>
      </c>
      <c r="F1203" t="s">
        <v>15</v>
      </c>
      <c r="G1203">
        <v>15206</v>
      </c>
      <c r="H1203" t="s">
        <v>34</v>
      </c>
      <c r="I1203">
        <v>11</v>
      </c>
      <c r="J1203">
        <v>0</v>
      </c>
      <c r="K1203" t="s">
        <v>8124</v>
      </c>
    </row>
    <row r="1204" spans="1:11" x14ac:dyDescent="0.25">
      <c r="A1204" t="s">
        <v>4204</v>
      </c>
      <c r="B1204" t="s">
        <v>4205</v>
      </c>
      <c r="C1204" t="s">
        <v>4206</v>
      </c>
      <c r="D1204" t="s">
        <v>2942</v>
      </c>
      <c r="E1204" t="s">
        <v>14</v>
      </c>
      <c r="F1204" t="s">
        <v>15</v>
      </c>
      <c r="G1204">
        <v>15236</v>
      </c>
      <c r="H1204" t="s">
        <v>113</v>
      </c>
      <c r="I1204">
        <v>16</v>
      </c>
      <c r="J1204">
        <v>0</v>
      </c>
      <c r="K1204" t="s">
        <v>8131</v>
      </c>
    </row>
    <row r="1205" spans="1:11" x14ac:dyDescent="0.25">
      <c r="A1205" t="e">
        <f>-SYMuJ9jfIMkXUMYl_RFfw</f>
        <v>#NAME?</v>
      </c>
      <c r="B1205" t="s">
        <v>4207</v>
      </c>
      <c r="C1205" t="s">
        <v>4208</v>
      </c>
      <c r="D1205" t="s">
        <v>875</v>
      </c>
      <c r="E1205" t="s">
        <v>14</v>
      </c>
      <c r="F1205" t="s">
        <v>15</v>
      </c>
      <c r="G1205">
        <v>15237</v>
      </c>
      <c r="H1205" t="s">
        <v>16</v>
      </c>
      <c r="I1205">
        <v>59</v>
      </c>
      <c r="J1205">
        <v>1</v>
      </c>
      <c r="K1205" t="s">
        <v>8131</v>
      </c>
    </row>
    <row r="1206" spans="1:11" x14ac:dyDescent="0.25">
      <c r="A1206" t="s">
        <v>4209</v>
      </c>
      <c r="B1206" t="s">
        <v>4210</v>
      </c>
      <c r="C1206" t="s">
        <v>4211</v>
      </c>
      <c r="D1206" t="s">
        <v>1386</v>
      </c>
      <c r="E1206" t="s">
        <v>14</v>
      </c>
      <c r="F1206" t="s">
        <v>15</v>
      </c>
      <c r="G1206">
        <v>15201</v>
      </c>
      <c r="H1206" t="s">
        <v>43</v>
      </c>
      <c r="I1206">
        <v>11</v>
      </c>
      <c r="J1206">
        <v>0</v>
      </c>
      <c r="K1206" t="s">
        <v>8131</v>
      </c>
    </row>
    <row r="1207" spans="1:11" x14ac:dyDescent="0.25">
      <c r="A1207" t="s">
        <v>4212</v>
      </c>
      <c r="B1207" t="s">
        <v>4213</v>
      </c>
      <c r="C1207" t="s">
        <v>4214</v>
      </c>
      <c r="D1207" t="s">
        <v>4215</v>
      </c>
      <c r="E1207" t="s">
        <v>14</v>
      </c>
      <c r="F1207" t="s">
        <v>15</v>
      </c>
      <c r="G1207">
        <v>15207</v>
      </c>
      <c r="H1207" t="s">
        <v>21</v>
      </c>
      <c r="I1207">
        <v>21</v>
      </c>
      <c r="J1207">
        <v>1</v>
      </c>
      <c r="K1207" t="s">
        <v>8131</v>
      </c>
    </row>
    <row r="1208" spans="1:11" x14ac:dyDescent="0.25">
      <c r="A1208" t="s">
        <v>4216</v>
      </c>
      <c r="B1208" t="s">
        <v>4217</v>
      </c>
      <c r="C1208" t="s">
        <v>4218</v>
      </c>
      <c r="D1208" t="s">
        <v>654</v>
      </c>
      <c r="E1208" t="s">
        <v>14</v>
      </c>
      <c r="F1208" t="s">
        <v>15</v>
      </c>
      <c r="G1208">
        <v>15227</v>
      </c>
      <c r="H1208" t="s">
        <v>92</v>
      </c>
      <c r="I1208">
        <v>4</v>
      </c>
      <c r="J1208">
        <v>0</v>
      </c>
      <c r="K1208" t="s">
        <v>8121</v>
      </c>
    </row>
    <row r="1209" spans="1:11" x14ac:dyDescent="0.25">
      <c r="A1209" t="s">
        <v>4219</v>
      </c>
      <c r="B1209" t="s">
        <v>4220</v>
      </c>
      <c r="C1209" t="s">
        <v>4221</v>
      </c>
      <c r="D1209" t="s">
        <v>4222</v>
      </c>
      <c r="E1209" t="s">
        <v>14</v>
      </c>
      <c r="F1209" t="s">
        <v>15</v>
      </c>
      <c r="G1209">
        <v>15237</v>
      </c>
      <c r="H1209" t="s">
        <v>16</v>
      </c>
      <c r="I1209">
        <v>93</v>
      </c>
      <c r="J1209">
        <v>1</v>
      </c>
      <c r="K1209" t="s">
        <v>8133</v>
      </c>
    </row>
    <row r="1210" spans="1:11" x14ac:dyDescent="0.25">
      <c r="A1210" t="s">
        <v>4223</v>
      </c>
      <c r="B1210" t="s">
        <v>4224</v>
      </c>
      <c r="C1210" t="s">
        <v>4225</v>
      </c>
      <c r="D1210" t="s">
        <v>602</v>
      </c>
      <c r="E1210" t="s">
        <v>14</v>
      </c>
      <c r="F1210" t="s">
        <v>15</v>
      </c>
      <c r="G1210">
        <v>15232</v>
      </c>
      <c r="H1210" t="s">
        <v>43</v>
      </c>
      <c r="I1210">
        <v>14</v>
      </c>
      <c r="J1210">
        <v>0</v>
      </c>
      <c r="K1210" t="s">
        <v>8131</v>
      </c>
    </row>
    <row r="1211" spans="1:11" x14ac:dyDescent="0.25">
      <c r="A1211" t="s">
        <v>4226</v>
      </c>
      <c r="B1211" t="s">
        <v>65</v>
      </c>
      <c r="C1211" t="s">
        <v>4227</v>
      </c>
      <c r="D1211" t="s">
        <v>4228</v>
      </c>
      <c r="E1211" t="s">
        <v>14</v>
      </c>
      <c r="F1211" t="s">
        <v>15</v>
      </c>
      <c r="G1211">
        <v>15235</v>
      </c>
      <c r="H1211" t="s">
        <v>21</v>
      </c>
      <c r="I1211">
        <v>3</v>
      </c>
      <c r="J1211">
        <v>0</v>
      </c>
      <c r="K1211" t="s">
        <v>8131</v>
      </c>
    </row>
    <row r="1212" spans="1:11" x14ac:dyDescent="0.25">
      <c r="A1212" t="e">
        <f>-N94ldMGlQw_SHdfm2pi_A</f>
        <v>#NAME?</v>
      </c>
      <c r="B1212" t="s">
        <v>335</v>
      </c>
      <c r="C1212" t="s">
        <v>4229</v>
      </c>
      <c r="D1212" t="s">
        <v>4230</v>
      </c>
      <c r="E1212" t="s">
        <v>14</v>
      </c>
      <c r="F1212" t="s">
        <v>15</v>
      </c>
      <c r="G1212">
        <v>15209</v>
      </c>
      <c r="H1212" t="s">
        <v>48</v>
      </c>
      <c r="I1212">
        <v>4</v>
      </c>
      <c r="J1212">
        <v>0</v>
      </c>
      <c r="K1212" t="s">
        <v>8131</v>
      </c>
    </row>
    <row r="1213" spans="1:11" x14ac:dyDescent="0.25">
      <c r="A1213" t="s">
        <v>4231</v>
      </c>
      <c r="B1213" t="s">
        <v>4232</v>
      </c>
      <c r="C1213" t="s">
        <v>4233</v>
      </c>
      <c r="D1213" t="s">
        <v>4234</v>
      </c>
      <c r="E1213" t="s">
        <v>14</v>
      </c>
      <c r="F1213" t="s">
        <v>15</v>
      </c>
      <c r="G1213">
        <v>15221</v>
      </c>
      <c r="H1213" t="s">
        <v>16</v>
      </c>
      <c r="I1213">
        <v>112</v>
      </c>
      <c r="J1213">
        <v>1</v>
      </c>
      <c r="K1213" t="s">
        <v>8131</v>
      </c>
    </row>
    <row r="1214" spans="1:11" x14ac:dyDescent="0.25">
      <c r="A1214" t="s">
        <v>4235</v>
      </c>
      <c r="B1214" t="s">
        <v>4236</v>
      </c>
      <c r="C1214" t="s">
        <v>4237</v>
      </c>
      <c r="D1214" t="s">
        <v>1755</v>
      </c>
      <c r="E1214" t="s">
        <v>14</v>
      </c>
      <c r="F1214" t="s">
        <v>15</v>
      </c>
      <c r="G1214">
        <v>15236</v>
      </c>
      <c r="H1214" t="s">
        <v>34</v>
      </c>
      <c r="I1214">
        <v>4</v>
      </c>
      <c r="J1214">
        <v>0</v>
      </c>
      <c r="K1214" t="s">
        <v>8131</v>
      </c>
    </row>
    <row r="1215" spans="1:11" x14ac:dyDescent="0.25">
      <c r="A1215" t="s">
        <v>4238</v>
      </c>
      <c r="B1215" t="s">
        <v>4239</v>
      </c>
      <c r="C1215" t="s">
        <v>4240</v>
      </c>
      <c r="D1215" t="s">
        <v>4241</v>
      </c>
      <c r="E1215" t="s">
        <v>14</v>
      </c>
      <c r="F1215" t="s">
        <v>15</v>
      </c>
      <c r="G1215">
        <v>15213</v>
      </c>
      <c r="H1215" t="s">
        <v>16</v>
      </c>
      <c r="I1215">
        <v>321</v>
      </c>
      <c r="J1215">
        <v>1</v>
      </c>
      <c r="K1215" t="s">
        <v>8133</v>
      </c>
    </row>
    <row r="1216" spans="1:11" x14ac:dyDescent="0.25">
      <c r="A1216" t="s">
        <v>4242</v>
      </c>
      <c r="B1216" t="s">
        <v>4243</v>
      </c>
      <c r="C1216" t="s">
        <v>4244</v>
      </c>
      <c r="D1216" t="s">
        <v>4245</v>
      </c>
      <c r="E1216" t="s">
        <v>14</v>
      </c>
      <c r="F1216" t="s">
        <v>15</v>
      </c>
      <c r="G1216">
        <v>15213</v>
      </c>
      <c r="H1216" t="s">
        <v>43</v>
      </c>
      <c r="I1216">
        <v>72</v>
      </c>
      <c r="J1216">
        <v>1</v>
      </c>
      <c r="K1216" t="s">
        <v>8124</v>
      </c>
    </row>
    <row r="1217" spans="1:11" x14ac:dyDescent="0.25">
      <c r="A1217" t="s">
        <v>4246</v>
      </c>
      <c r="B1217" t="s">
        <v>65</v>
      </c>
      <c r="C1217" t="s">
        <v>1974</v>
      </c>
      <c r="D1217" t="s">
        <v>4247</v>
      </c>
      <c r="E1217" t="s">
        <v>14</v>
      </c>
      <c r="F1217" t="s">
        <v>15</v>
      </c>
      <c r="G1217">
        <v>15210</v>
      </c>
      <c r="H1217" t="s">
        <v>34</v>
      </c>
      <c r="I1217">
        <v>12</v>
      </c>
      <c r="J1217">
        <v>1</v>
      </c>
      <c r="K1217" t="s">
        <v>8131</v>
      </c>
    </row>
    <row r="1218" spans="1:11" x14ac:dyDescent="0.25">
      <c r="A1218" t="s">
        <v>4248</v>
      </c>
      <c r="B1218" t="s">
        <v>4249</v>
      </c>
      <c r="C1218" t="s">
        <v>4250</v>
      </c>
      <c r="D1218" t="s">
        <v>4251</v>
      </c>
      <c r="E1218" t="s">
        <v>14</v>
      </c>
      <c r="F1218" t="s">
        <v>15</v>
      </c>
      <c r="G1218">
        <v>15201</v>
      </c>
      <c r="H1218" t="s">
        <v>16</v>
      </c>
      <c r="I1218">
        <v>81</v>
      </c>
      <c r="J1218">
        <v>0</v>
      </c>
      <c r="K1218" t="s">
        <v>8131</v>
      </c>
    </row>
    <row r="1219" spans="1:11" x14ac:dyDescent="0.25">
      <c r="A1219" t="s">
        <v>4252</v>
      </c>
      <c r="B1219" t="s">
        <v>4253</v>
      </c>
      <c r="C1219" t="s">
        <v>4254</v>
      </c>
      <c r="D1219" t="s">
        <v>1748</v>
      </c>
      <c r="E1219" t="s">
        <v>14</v>
      </c>
      <c r="F1219" t="s">
        <v>15</v>
      </c>
      <c r="G1219">
        <v>15222</v>
      </c>
      <c r="H1219" t="s">
        <v>21</v>
      </c>
      <c r="I1219">
        <v>79</v>
      </c>
      <c r="J1219">
        <v>1</v>
      </c>
      <c r="K1219" t="s">
        <v>8131</v>
      </c>
    </row>
    <row r="1220" spans="1:11" x14ac:dyDescent="0.25">
      <c r="A1220" t="s">
        <v>4255</v>
      </c>
      <c r="B1220" t="s">
        <v>36</v>
      </c>
      <c r="C1220" t="s">
        <v>4256</v>
      </c>
      <c r="D1220" t="s">
        <v>3449</v>
      </c>
      <c r="E1220" t="s">
        <v>14</v>
      </c>
      <c r="F1220" t="s">
        <v>15</v>
      </c>
      <c r="G1220">
        <v>15206</v>
      </c>
      <c r="H1220" t="s">
        <v>48</v>
      </c>
      <c r="I1220">
        <v>152</v>
      </c>
      <c r="J1220">
        <v>1</v>
      </c>
      <c r="K1220" t="s">
        <v>8131</v>
      </c>
    </row>
    <row r="1221" spans="1:11" x14ac:dyDescent="0.25">
      <c r="A1221" t="s">
        <v>4257</v>
      </c>
      <c r="B1221" t="s">
        <v>4258</v>
      </c>
      <c r="C1221" t="s">
        <v>4259</v>
      </c>
      <c r="D1221" t="s">
        <v>2917</v>
      </c>
      <c r="E1221" t="s">
        <v>14</v>
      </c>
      <c r="F1221" t="s">
        <v>15</v>
      </c>
      <c r="G1221">
        <v>15217</v>
      </c>
      <c r="H1221" t="s">
        <v>48</v>
      </c>
      <c r="I1221">
        <v>121</v>
      </c>
      <c r="J1221">
        <v>1</v>
      </c>
      <c r="K1221" t="s">
        <v>8124</v>
      </c>
    </row>
    <row r="1222" spans="1:11" x14ac:dyDescent="0.25">
      <c r="A1222" t="s">
        <v>4260</v>
      </c>
      <c r="B1222" t="s">
        <v>4261</v>
      </c>
      <c r="C1222" t="s">
        <v>4262</v>
      </c>
      <c r="D1222" t="s">
        <v>4022</v>
      </c>
      <c r="E1222" t="s">
        <v>14</v>
      </c>
      <c r="F1222" t="s">
        <v>15</v>
      </c>
      <c r="G1222">
        <v>15222</v>
      </c>
      <c r="H1222" t="s">
        <v>21</v>
      </c>
      <c r="I1222">
        <v>187</v>
      </c>
      <c r="J1222">
        <v>1</v>
      </c>
      <c r="K1222" t="s">
        <v>8121</v>
      </c>
    </row>
    <row r="1223" spans="1:11" x14ac:dyDescent="0.25">
      <c r="A1223" t="s">
        <v>4263</v>
      </c>
      <c r="B1223" t="s">
        <v>4264</v>
      </c>
      <c r="C1223" t="s">
        <v>2274</v>
      </c>
      <c r="D1223" t="s">
        <v>4265</v>
      </c>
      <c r="E1223" t="s">
        <v>14</v>
      </c>
      <c r="F1223" t="s">
        <v>15</v>
      </c>
      <c r="G1223">
        <v>15205</v>
      </c>
      <c r="H1223" t="s">
        <v>43</v>
      </c>
      <c r="I1223">
        <v>84</v>
      </c>
      <c r="J1223">
        <v>1</v>
      </c>
      <c r="K1223" t="s">
        <v>8120</v>
      </c>
    </row>
    <row r="1224" spans="1:11" x14ac:dyDescent="0.25">
      <c r="A1224" t="s">
        <v>4266</v>
      </c>
      <c r="B1224" t="s">
        <v>36</v>
      </c>
      <c r="C1224" t="s">
        <v>1551</v>
      </c>
      <c r="D1224" t="s">
        <v>4267</v>
      </c>
      <c r="E1224" t="s">
        <v>14</v>
      </c>
      <c r="F1224" t="s">
        <v>15</v>
      </c>
      <c r="G1224">
        <v>15210</v>
      </c>
      <c r="H1224" t="s">
        <v>34</v>
      </c>
      <c r="I1224">
        <v>5</v>
      </c>
      <c r="J1224">
        <v>1</v>
      </c>
      <c r="K1224" t="s">
        <v>8131</v>
      </c>
    </row>
    <row r="1225" spans="1:11" x14ac:dyDescent="0.25">
      <c r="A1225" t="s">
        <v>4268</v>
      </c>
      <c r="B1225" t="s">
        <v>36</v>
      </c>
      <c r="C1225" t="s">
        <v>4269</v>
      </c>
      <c r="D1225" t="s">
        <v>4270</v>
      </c>
      <c r="E1225" t="s">
        <v>14</v>
      </c>
      <c r="F1225" t="s">
        <v>15</v>
      </c>
      <c r="G1225">
        <v>15226</v>
      </c>
      <c r="H1225" t="s">
        <v>113</v>
      </c>
      <c r="I1225">
        <v>22</v>
      </c>
      <c r="J1225">
        <v>1</v>
      </c>
      <c r="K1225" t="s">
        <v>8131</v>
      </c>
    </row>
    <row r="1226" spans="1:11" x14ac:dyDescent="0.25">
      <c r="A1226" t="s">
        <v>4271</v>
      </c>
      <c r="B1226" t="s">
        <v>36</v>
      </c>
      <c r="C1226" t="s">
        <v>4272</v>
      </c>
      <c r="D1226" t="s">
        <v>4273</v>
      </c>
      <c r="E1226" t="s">
        <v>14</v>
      </c>
      <c r="F1226" t="s">
        <v>15</v>
      </c>
      <c r="G1226">
        <v>15201</v>
      </c>
      <c r="H1226" t="s">
        <v>34</v>
      </c>
      <c r="I1226">
        <v>53</v>
      </c>
      <c r="J1226">
        <v>1</v>
      </c>
      <c r="K1226" t="s">
        <v>8131</v>
      </c>
    </row>
    <row r="1227" spans="1:11" x14ac:dyDescent="0.25">
      <c r="A1227" t="s">
        <v>4274</v>
      </c>
      <c r="B1227" t="s">
        <v>4275</v>
      </c>
      <c r="C1227" t="s">
        <v>4276</v>
      </c>
      <c r="D1227" t="s">
        <v>4277</v>
      </c>
      <c r="E1227" t="s">
        <v>14</v>
      </c>
      <c r="F1227" t="s">
        <v>15</v>
      </c>
      <c r="G1227">
        <v>15222</v>
      </c>
      <c r="H1227" t="s">
        <v>21</v>
      </c>
      <c r="I1227">
        <v>6</v>
      </c>
      <c r="J1227">
        <v>0</v>
      </c>
      <c r="K1227" t="s">
        <v>8131</v>
      </c>
    </row>
    <row r="1228" spans="1:11" x14ac:dyDescent="0.25">
      <c r="A1228" t="s">
        <v>4278</v>
      </c>
      <c r="B1228" t="s">
        <v>4279</v>
      </c>
      <c r="C1228" t="s">
        <v>4280</v>
      </c>
      <c r="D1228" t="s">
        <v>4281</v>
      </c>
      <c r="E1228" t="s">
        <v>14</v>
      </c>
      <c r="F1228" t="s">
        <v>15</v>
      </c>
      <c r="G1228">
        <v>15237</v>
      </c>
      <c r="H1228" t="s">
        <v>48</v>
      </c>
      <c r="I1228">
        <v>149</v>
      </c>
      <c r="J1228">
        <v>1</v>
      </c>
      <c r="K1228" t="s">
        <v>8122</v>
      </c>
    </row>
    <row r="1229" spans="1:11" x14ac:dyDescent="0.25">
      <c r="A1229" t="s">
        <v>4282</v>
      </c>
      <c r="B1229" t="s">
        <v>4283</v>
      </c>
      <c r="C1229" t="s">
        <v>4284</v>
      </c>
      <c r="D1229" t="s">
        <v>4285</v>
      </c>
      <c r="E1229" t="s">
        <v>14</v>
      </c>
      <c r="F1229" t="s">
        <v>15</v>
      </c>
      <c r="G1229">
        <v>15224</v>
      </c>
      <c r="H1229" t="s">
        <v>48</v>
      </c>
      <c r="I1229">
        <v>32</v>
      </c>
      <c r="J1229">
        <v>1</v>
      </c>
      <c r="K1229" t="s">
        <v>8123</v>
      </c>
    </row>
    <row r="1230" spans="1:11" x14ac:dyDescent="0.25">
      <c r="A1230" t="s">
        <v>4286</v>
      </c>
      <c r="B1230" t="s">
        <v>4287</v>
      </c>
      <c r="C1230" t="s">
        <v>4288</v>
      </c>
      <c r="D1230" t="s">
        <v>4289</v>
      </c>
      <c r="E1230" t="s">
        <v>14</v>
      </c>
      <c r="F1230" t="s">
        <v>15</v>
      </c>
      <c r="G1230">
        <v>15222</v>
      </c>
      <c r="H1230" t="s">
        <v>16</v>
      </c>
      <c r="I1230">
        <v>264</v>
      </c>
      <c r="J1230">
        <v>1</v>
      </c>
      <c r="K1230" t="s">
        <v>8131</v>
      </c>
    </row>
    <row r="1231" spans="1:11" x14ac:dyDescent="0.25">
      <c r="A1231" t="s">
        <v>4290</v>
      </c>
      <c r="B1231" t="s">
        <v>3326</v>
      </c>
      <c r="C1231" t="s">
        <v>4291</v>
      </c>
      <c r="D1231" t="s">
        <v>4292</v>
      </c>
      <c r="E1231" t="s">
        <v>14</v>
      </c>
      <c r="F1231" t="s">
        <v>15</v>
      </c>
      <c r="G1231">
        <v>15222</v>
      </c>
      <c r="H1231" t="s">
        <v>34</v>
      </c>
      <c r="I1231">
        <v>477</v>
      </c>
      <c r="J1231">
        <v>1</v>
      </c>
      <c r="K1231" t="s">
        <v>8131</v>
      </c>
    </row>
    <row r="1232" spans="1:11" x14ac:dyDescent="0.25">
      <c r="A1232" t="s">
        <v>4293</v>
      </c>
      <c r="B1232" t="s">
        <v>1863</v>
      </c>
      <c r="C1232" t="s">
        <v>340</v>
      </c>
      <c r="D1232" t="s">
        <v>4294</v>
      </c>
      <c r="E1232" t="s">
        <v>14</v>
      </c>
      <c r="F1232" t="s">
        <v>15</v>
      </c>
      <c r="G1232">
        <v>15222</v>
      </c>
      <c r="H1232" t="s">
        <v>48</v>
      </c>
      <c r="I1232">
        <v>11</v>
      </c>
      <c r="J1232">
        <v>1</v>
      </c>
      <c r="K1232" t="s">
        <v>8131</v>
      </c>
    </row>
    <row r="1233" spans="1:11" x14ac:dyDescent="0.25">
      <c r="A1233" t="s">
        <v>4295</v>
      </c>
      <c r="B1233" t="s">
        <v>319</v>
      </c>
      <c r="C1233" t="s">
        <v>4296</v>
      </c>
      <c r="D1233" t="s">
        <v>1327</v>
      </c>
      <c r="E1233" t="s">
        <v>14</v>
      </c>
      <c r="F1233" t="s">
        <v>15</v>
      </c>
      <c r="G1233">
        <v>15222</v>
      </c>
      <c r="H1233" t="s">
        <v>48</v>
      </c>
      <c r="I1233">
        <v>35</v>
      </c>
      <c r="J1233">
        <v>1</v>
      </c>
      <c r="K1233" t="s">
        <v>8120</v>
      </c>
    </row>
    <row r="1234" spans="1:11" x14ac:dyDescent="0.25">
      <c r="A1234" t="s">
        <v>4297</v>
      </c>
      <c r="B1234" t="s">
        <v>4298</v>
      </c>
      <c r="C1234" t="s">
        <v>4299</v>
      </c>
      <c r="D1234" t="s">
        <v>4300</v>
      </c>
      <c r="E1234" t="s">
        <v>14</v>
      </c>
      <c r="F1234" t="s">
        <v>15</v>
      </c>
      <c r="G1234">
        <v>15226</v>
      </c>
      <c r="H1234" t="s">
        <v>34</v>
      </c>
      <c r="I1234">
        <v>26</v>
      </c>
      <c r="J1234">
        <v>1</v>
      </c>
      <c r="K1234" t="s">
        <v>8131</v>
      </c>
    </row>
    <row r="1235" spans="1:11" x14ac:dyDescent="0.25">
      <c r="A1235" t="s">
        <v>4301</v>
      </c>
      <c r="B1235" t="s">
        <v>4302</v>
      </c>
      <c r="C1235" t="s">
        <v>4303</v>
      </c>
      <c r="D1235" t="s">
        <v>4304</v>
      </c>
      <c r="E1235" t="s">
        <v>14</v>
      </c>
      <c r="F1235" t="s">
        <v>15</v>
      </c>
      <c r="G1235">
        <v>15213</v>
      </c>
      <c r="H1235" t="s">
        <v>48</v>
      </c>
      <c r="I1235">
        <v>119</v>
      </c>
      <c r="J1235">
        <v>1</v>
      </c>
      <c r="K1235" t="s">
        <v>8131</v>
      </c>
    </row>
    <row r="1236" spans="1:11" x14ac:dyDescent="0.25">
      <c r="A1236" t="s">
        <v>4305</v>
      </c>
      <c r="B1236" t="s">
        <v>377</v>
      </c>
      <c r="C1236" t="s">
        <v>4306</v>
      </c>
      <c r="D1236" t="s">
        <v>4307</v>
      </c>
      <c r="E1236" t="s">
        <v>14</v>
      </c>
      <c r="F1236" t="s">
        <v>15</v>
      </c>
      <c r="G1236">
        <v>15228</v>
      </c>
      <c r="H1236" t="s">
        <v>34</v>
      </c>
      <c r="I1236">
        <v>3</v>
      </c>
      <c r="J1236">
        <v>0</v>
      </c>
      <c r="K1236" t="s">
        <v>8124</v>
      </c>
    </row>
    <row r="1237" spans="1:11" x14ac:dyDescent="0.25">
      <c r="A1237" t="s">
        <v>4308</v>
      </c>
      <c r="B1237" t="s">
        <v>877</v>
      </c>
      <c r="C1237" t="s">
        <v>4309</v>
      </c>
      <c r="D1237" t="s">
        <v>4310</v>
      </c>
      <c r="E1237" t="s">
        <v>14</v>
      </c>
      <c r="F1237" t="s">
        <v>15</v>
      </c>
      <c r="G1237">
        <v>15203</v>
      </c>
      <c r="H1237" t="s">
        <v>48</v>
      </c>
      <c r="I1237">
        <v>3</v>
      </c>
      <c r="J1237">
        <v>0</v>
      </c>
      <c r="K1237" t="s">
        <v>8131</v>
      </c>
    </row>
    <row r="1238" spans="1:11" x14ac:dyDescent="0.25">
      <c r="A1238" t="s">
        <v>4311</v>
      </c>
      <c r="B1238" t="s">
        <v>4312</v>
      </c>
      <c r="C1238" t="s">
        <v>4313</v>
      </c>
      <c r="D1238" t="s">
        <v>4314</v>
      </c>
      <c r="E1238" t="s">
        <v>14</v>
      </c>
      <c r="F1238" t="s">
        <v>15</v>
      </c>
      <c r="G1238">
        <v>15211</v>
      </c>
      <c r="H1238" t="s">
        <v>16</v>
      </c>
      <c r="I1238">
        <v>121</v>
      </c>
      <c r="J1238">
        <v>1</v>
      </c>
      <c r="K1238" t="s">
        <v>8132</v>
      </c>
    </row>
    <row r="1239" spans="1:11" x14ac:dyDescent="0.25">
      <c r="A1239" t="s">
        <v>4315</v>
      </c>
      <c r="B1239" t="s">
        <v>4316</v>
      </c>
      <c r="C1239" t="s">
        <v>4317</v>
      </c>
      <c r="D1239" t="s">
        <v>4318</v>
      </c>
      <c r="E1239" t="s">
        <v>14</v>
      </c>
      <c r="F1239" t="s">
        <v>15</v>
      </c>
      <c r="G1239">
        <v>15238</v>
      </c>
      <c r="H1239" t="s">
        <v>48</v>
      </c>
      <c r="I1239">
        <v>78</v>
      </c>
      <c r="J1239">
        <v>1</v>
      </c>
      <c r="K1239" t="s">
        <v>8124</v>
      </c>
    </row>
    <row r="1240" spans="1:11" x14ac:dyDescent="0.25">
      <c r="A1240" t="s">
        <v>4319</v>
      </c>
      <c r="B1240" t="s">
        <v>4320</v>
      </c>
      <c r="C1240" t="s">
        <v>244</v>
      </c>
      <c r="D1240" t="s">
        <v>4321</v>
      </c>
      <c r="E1240" t="s">
        <v>14</v>
      </c>
      <c r="F1240" t="s">
        <v>15</v>
      </c>
      <c r="G1240">
        <v>15241</v>
      </c>
      <c r="H1240" t="s">
        <v>16</v>
      </c>
      <c r="I1240">
        <v>28</v>
      </c>
      <c r="J1240">
        <v>1</v>
      </c>
      <c r="K1240" t="s">
        <v>8131</v>
      </c>
    </row>
    <row r="1241" spans="1:11" x14ac:dyDescent="0.25">
      <c r="A1241" t="s">
        <v>4322</v>
      </c>
      <c r="B1241" t="s">
        <v>4323</v>
      </c>
      <c r="C1241" t="s">
        <v>4324</v>
      </c>
      <c r="D1241" t="s">
        <v>4325</v>
      </c>
      <c r="E1241" t="s">
        <v>14</v>
      </c>
      <c r="F1241" t="s">
        <v>15</v>
      </c>
      <c r="G1241">
        <v>15243</v>
      </c>
      <c r="H1241" t="s">
        <v>48</v>
      </c>
      <c r="I1241">
        <v>17</v>
      </c>
      <c r="J1241">
        <v>1</v>
      </c>
      <c r="K1241" t="s">
        <v>8131</v>
      </c>
    </row>
    <row r="1242" spans="1:11" x14ac:dyDescent="0.25">
      <c r="A1242" t="s">
        <v>4326</v>
      </c>
      <c r="B1242" t="s">
        <v>4327</v>
      </c>
      <c r="C1242" t="s">
        <v>4328</v>
      </c>
      <c r="D1242" t="s">
        <v>4329</v>
      </c>
      <c r="E1242" t="s">
        <v>14</v>
      </c>
      <c r="F1242" t="s">
        <v>15</v>
      </c>
      <c r="G1242">
        <v>15221</v>
      </c>
      <c r="H1242" t="s">
        <v>48</v>
      </c>
      <c r="I1242">
        <v>165</v>
      </c>
      <c r="J1242">
        <v>1</v>
      </c>
      <c r="K1242" t="s">
        <v>8120</v>
      </c>
    </row>
    <row r="1243" spans="1:11" x14ac:dyDescent="0.25">
      <c r="A1243" t="s">
        <v>4330</v>
      </c>
      <c r="B1243" t="s">
        <v>4331</v>
      </c>
      <c r="C1243" t="s">
        <v>4332</v>
      </c>
      <c r="D1243" t="s">
        <v>807</v>
      </c>
      <c r="E1243" t="s">
        <v>14</v>
      </c>
      <c r="F1243" t="s">
        <v>15</v>
      </c>
      <c r="G1243">
        <v>15232</v>
      </c>
      <c r="H1243" t="s">
        <v>48</v>
      </c>
      <c r="I1243">
        <v>30</v>
      </c>
      <c r="J1243">
        <v>0</v>
      </c>
      <c r="K1243" t="s">
        <v>8120</v>
      </c>
    </row>
    <row r="1244" spans="1:11" x14ac:dyDescent="0.25">
      <c r="A1244" t="s">
        <v>4333</v>
      </c>
      <c r="B1244" t="s">
        <v>4334</v>
      </c>
      <c r="C1244" t="s">
        <v>151</v>
      </c>
      <c r="D1244" t="s">
        <v>4335</v>
      </c>
      <c r="E1244" t="s">
        <v>14</v>
      </c>
      <c r="F1244" t="s">
        <v>15</v>
      </c>
      <c r="G1244">
        <v>15212</v>
      </c>
      <c r="H1244" t="s">
        <v>48</v>
      </c>
      <c r="I1244">
        <v>29</v>
      </c>
      <c r="J1244">
        <v>1</v>
      </c>
      <c r="K1244" t="s">
        <v>8131</v>
      </c>
    </row>
    <row r="1245" spans="1:11" x14ac:dyDescent="0.25">
      <c r="A1245" t="s">
        <v>4336</v>
      </c>
      <c r="B1245" t="s">
        <v>720</v>
      </c>
      <c r="C1245" t="s">
        <v>4337</v>
      </c>
      <c r="D1245" t="s">
        <v>4338</v>
      </c>
      <c r="E1245" t="s">
        <v>14</v>
      </c>
      <c r="F1245" t="s">
        <v>15</v>
      </c>
      <c r="G1245">
        <v>15217</v>
      </c>
      <c r="H1245" t="s">
        <v>16</v>
      </c>
      <c r="I1245">
        <v>131</v>
      </c>
      <c r="J1245">
        <v>1</v>
      </c>
      <c r="K1245" t="s">
        <v>8131</v>
      </c>
    </row>
    <row r="1246" spans="1:11" x14ac:dyDescent="0.25">
      <c r="A1246" t="s">
        <v>4339</v>
      </c>
      <c r="B1246" t="s">
        <v>239</v>
      </c>
      <c r="C1246" t="s">
        <v>4340</v>
      </c>
      <c r="D1246" t="s">
        <v>4341</v>
      </c>
      <c r="E1246" t="s">
        <v>14</v>
      </c>
      <c r="F1246" t="s">
        <v>15</v>
      </c>
      <c r="G1246">
        <v>15217</v>
      </c>
      <c r="H1246" t="s">
        <v>43</v>
      </c>
      <c r="I1246">
        <v>67</v>
      </c>
      <c r="J1246">
        <v>0</v>
      </c>
      <c r="K1246" t="s">
        <v>8122</v>
      </c>
    </row>
    <row r="1247" spans="1:11" x14ac:dyDescent="0.25">
      <c r="A1247" t="s">
        <v>4342</v>
      </c>
      <c r="B1247" t="s">
        <v>1267</v>
      </c>
      <c r="C1247" t="s">
        <v>4343</v>
      </c>
      <c r="D1247" t="s">
        <v>4344</v>
      </c>
      <c r="E1247" t="s">
        <v>14</v>
      </c>
      <c r="F1247" t="s">
        <v>15</v>
      </c>
      <c r="G1247">
        <v>15212</v>
      </c>
      <c r="H1247" t="s">
        <v>34</v>
      </c>
      <c r="I1247">
        <v>7</v>
      </c>
      <c r="J1247">
        <v>1</v>
      </c>
      <c r="K1247" t="s">
        <v>8131</v>
      </c>
    </row>
    <row r="1248" spans="1:11" x14ac:dyDescent="0.25">
      <c r="A1248" t="s">
        <v>4345</v>
      </c>
      <c r="B1248" t="s">
        <v>4346</v>
      </c>
      <c r="C1248" t="s">
        <v>4347</v>
      </c>
      <c r="D1248" t="s">
        <v>3821</v>
      </c>
      <c r="E1248" t="s">
        <v>14</v>
      </c>
      <c r="F1248" t="s">
        <v>15</v>
      </c>
      <c r="G1248">
        <v>15239</v>
      </c>
      <c r="H1248" t="s">
        <v>43</v>
      </c>
      <c r="I1248">
        <v>8</v>
      </c>
      <c r="J1248">
        <v>0</v>
      </c>
      <c r="K1248" t="s">
        <v>8120</v>
      </c>
    </row>
    <row r="1249" spans="1:11" x14ac:dyDescent="0.25">
      <c r="A1249" t="s">
        <v>4348</v>
      </c>
      <c r="B1249" t="s">
        <v>4349</v>
      </c>
      <c r="C1249" t="s">
        <v>4350</v>
      </c>
      <c r="D1249" t="s">
        <v>4351</v>
      </c>
      <c r="E1249" t="s">
        <v>14</v>
      </c>
      <c r="F1249" t="s">
        <v>15</v>
      </c>
      <c r="G1249">
        <v>15232</v>
      </c>
      <c r="H1249" t="s">
        <v>92</v>
      </c>
      <c r="I1249">
        <v>7</v>
      </c>
      <c r="J1249">
        <v>0</v>
      </c>
      <c r="K1249" t="s">
        <v>8124</v>
      </c>
    </row>
    <row r="1250" spans="1:11" x14ac:dyDescent="0.25">
      <c r="A1250" t="s">
        <v>4352</v>
      </c>
      <c r="B1250" t="s">
        <v>4353</v>
      </c>
      <c r="C1250" t="s">
        <v>4354</v>
      </c>
      <c r="D1250" t="s">
        <v>2229</v>
      </c>
      <c r="E1250" t="s">
        <v>14</v>
      </c>
      <c r="F1250" t="s">
        <v>15</v>
      </c>
      <c r="G1250">
        <v>15210</v>
      </c>
      <c r="H1250" t="s">
        <v>48</v>
      </c>
      <c r="I1250">
        <v>3</v>
      </c>
      <c r="J1250">
        <v>1</v>
      </c>
      <c r="K1250" t="s">
        <v>8131</v>
      </c>
    </row>
    <row r="1251" spans="1:11" x14ac:dyDescent="0.25">
      <c r="A1251" t="s">
        <v>4355</v>
      </c>
      <c r="B1251" t="s">
        <v>4356</v>
      </c>
      <c r="C1251" t="s">
        <v>4357</v>
      </c>
      <c r="D1251" t="s">
        <v>496</v>
      </c>
      <c r="E1251" t="s">
        <v>14</v>
      </c>
      <c r="F1251" t="s">
        <v>15</v>
      </c>
      <c r="G1251">
        <v>15222</v>
      </c>
      <c r="H1251" t="s">
        <v>43</v>
      </c>
      <c r="I1251">
        <v>20</v>
      </c>
      <c r="J1251">
        <v>1</v>
      </c>
      <c r="K1251" t="s">
        <v>8131</v>
      </c>
    </row>
    <row r="1252" spans="1:11" x14ac:dyDescent="0.25">
      <c r="A1252" t="s">
        <v>4358</v>
      </c>
      <c r="B1252" t="s">
        <v>4359</v>
      </c>
      <c r="C1252" t="s">
        <v>4360</v>
      </c>
      <c r="D1252" t="s">
        <v>4361</v>
      </c>
      <c r="E1252" t="s">
        <v>14</v>
      </c>
      <c r="F1252" t="s">
        <v>15</v>
      </c>
      <c r="G1252">
        <v>15237</v>
      </c>
      <c r="H1252" t="s">
        <v>16</v>
      </c>
      <c r="I1252">
        <v>93</v>
      </c>
      <c r="J1252">
        <v>1</v>
      </c>
      <c r="K1252" t="s">
        <v>8131</v>
      </c>
    </row>
    <row r="1253" spans="1:11" x14ac:dyDescent="0.25">
      <c r="A1253" t="s">
        <v>4362</v>
      </c>
      <c r="B1253" t="s">
        <v>309</v>
      </c>
      <c r="C1253" t="s">
        <v>1464</v>
      </c>
      <c r="D1253" t="s">
        <v>4363</v>
      </c>
      <c r="E1253" t="s">
        <v>14</v>
      </c>
      <c r="F1253" t="s">
        <v>15</v>
      </c>
      <c r="G1253">
        <v>15238</v>
      </c>
      <c r="H1253" t="s">
        <v>48</v>
      </c>
      <c r="I1253">
        <v>6</v>
      </c>
      <c r="J1253">
        <v>1</v>
      </c>
      <c r="K1253" t="s">
        <v>8131</v>
      </c>
    </row>
    <row r="1254" spans="1:11" x14ac:dyDescent="0.25">
      <c r="A1254" t="s">
        <v>4364</v>
      </c>
      <c r="B1254" t="s">
        <v>4365</v>
      </c>
      <c r="C1254" t="s">
        <v>4366</v>
      </c>
      <c r="D1254" t="s">
        <v>4367</v>
      </c>
      <c r="E1254" t="s">
        <v>14</v>
      </c>
      <c r="F1254" t="s">
        <v>15</v>
      </c>
      <c r="G1254">
        <v>15206</v>
      </c>
      <c r="H1254" t="s">
        <v>16</v>
      </c>
      <c r="I1254">
        <v>50</v>
      </c>
      <c r="J1254">
        <v>0</v>
      </c>
      <c r="K1254" t="s">
        <v>8131</v>
      </c>
    </row>
    <row r="1255" spans="1:11" x14ac:dyDescent="0.25">
      <c r="A1255" t="s">
        <v>4368</v>
      </c>
      <c r="B1255" t="s">
        <v>4369</v>
      </c>
      <c r="C1255" t="s">
        <v>3343</v>
      </c>
      <c r="D1255" t="s">
        <v>4370</v>
      </c>
      <c r="E1255" t="s">
        <v>14</v>
      </c>
      <c r="F1255" t="s">
        <v>15</v>
      </c>
      <c r="G1255">
        <v>15236</v>
      </c>
      <c r="H1255" t="s">
        <v>16</v>
      </c>
      <c r="I1255">
        <v>17</v>
      </c>
      <c r="J1255">
        <v>1</v>
      </c>
      <c r="K1255" t="s">
        <v>8131</v>
      </c>
    </row>
    <row r="1256" spans="1:11" x14ac:dyDescent="0.25">
      <c r="A1256" t="s">
        <v>4371</v>
      </c>
      <c r="B1256" t="s">
        <v>282</v>
      </c>
      <c r="C1256" t="s">
        <v>4372</v>
      </c>
      <c r="D1256" t="s">
        <v>4373</v>
      </c>
      <c r="E1256" t="s">
        <v>14</v>
      </c>
      <c r="F1256" t="s">
        <v>15</v>
      </c>
      <c r="G1256">
        <v>15224</v>
      </c>
      <c r="H1256" t="s">
        <v>16</v>
      </c>
      <c r="I1256">
        <v>39</v>
      </c>
      <c r="J1256">
        <v>1</v>
      </c>
      <c r="K1256" t="s">
        <v>8124</v>
      </c>
    </row>
    <row r="1257" spans="1:11" x14ac:dyDescent="0.25">
      <c r="A1257" t="s">
        <v>4374</v>
      </c>
      <c r="B1257" t="s">
        <v>4375</v>
      </c>
      <c r="C1257" t="s">
        <v>4376</v>
      </c>
      <c r="D1257" t="s">
        <v>2234</v>
      </c>
      <c r="E1257" t="s">
        <v>14</v>
      </c>
      <c r="F1257" t="s">
        <v>15</v>
      </c>
      <c r="G1257">
        <v>15222</v>
      </c>
      <c r="H1257" t="s">
        <v>48</v>
      </c>
      <c r="I1257">
        <v>465</v>
      </c>
      <c r="J1257">
        <v>1</v>
      </c>
      <c r="K1257" t="s">
        <v>8120</v>
      </c>
    </row>
    <row r="1258" spans="1:11" x14ac:dyDescent="0.25">
      <c r="A1258" t="s">
        <v>4377</v>
      </c>
      <c r="B1258" t="s">
        <v>4378</v>
      </c>
      <c r="C1258" t="s">
        <v>4379</v>
      </c>
      <c r="D1258" t="s">
        <v>179</v>
      </c>
      <c r="E1258" t="s">
        <v>14</v>
      </c>
      <c r="F1258" t="s">
        <v>15</v>
      </c>
      <c r="G1258">
        <v>15205</v>
      </c>
      <c r="H1258" t="s">
        <v>34</v>
      </c>
      <c r="I1258">
        <v>19</v>
      </c>
      <c r="J1258">
        <v>1</v>
      </c>
      <c r="K1258" t="s">
        <v>8131</v>
      </c>
    </row>
    <row r="1259" spans="1:11" x14ac:dyDescent="0.25">
      <c r="A1259" t="s">
        <v>4380</v>
      </c>
      <c r="B1259" t="s">
        <v>4381</v>
      </c>
      <c r="C1259" t="s">
        <v>4382</v>
      </c>
      <c r="D1259" t="s">
        <v>4383</v>
      </c>
      <c r="E1259" t="s">
        <v>14</v>
      </c>
      <c r="F1259" t="s">
        <v>15</v>
      </c>
      <c r="G1259">
        <v>15222</v>
      </c>
      <c r="H1259" t="s">
        <v>34</v>
      </c>
      <c r="I1259">
        <v>51</v>
      </c>
      <c r="J1259">
        <v>1</v>
      </c>
      <c r="K1259" t="s">
        <v>8120</v>
      </c>
    </row>
    <row r="1260" spans="1:11" x14ac:dyDescent="0.25">
      <c r="A1260" t="s">
        <v>4384</v>
      </c>
      <c r="B1260" t="s">
        <v>4385</v>
      </c>
      <c r="C1260" t="s">
        <v>4386</v>
      </c>
      <c r="D1260" t="s">
        <v>4387</v>
      </c>
      <c r="E1260" t="s">
        <v>14</v>
      </c>
      <c r="F1260" t="s">
        <v>15</v>
      </c>
      <c r="G1260">
        <v>15275</v>
      </c>
      <c r="H1260" t="s">
        <v>43</v>
      </c>
      <c r="I1260">
        <v>34</v>
      </c>
      <c r="J1260">
        <v>0</v>
      </c>
      <c r="K1260" t="s">
        <v>8122</v>
      </c>
    </row>
    <row r="1261" spans="1:11" x14ac:dyDescent="0.25">
      <c r="A1261" t="s">
        <v>4388</v>
      </c>
      <c r="B1261" t="s">
        <v>4389</v>
      </c>
      <c r="C1261" t="s">
        <v>4390</v>
      </c>
      <c r="D1261" t="s">
        <v>4391</v>
      </c>
      <c r="E1261" t="s">
        <v>14</v>
      </c>
      <c r="F1261" t="s">
        <v>15</v>
      </c>
      <c r="G1261">
        <v>15201</v>
      </c>
      <c r="H1261" t="s">
        <v>48</v>
      </c>
      <c r="I1261">
        <v>99</v>
      </c>
      <c r="J1261">
        <v>1</v>
      </c>
      <c r="K1261" t="s">
        <v>8131</v>
      </c>
    </row>
    <row r="1262" spans="1:11" x14ac:dyDescent="0.25">
      <c r="A1262" t="s">
        <v>4392</v>
      </c>
      <c r="B1262" t="s">
        <v>4393</v>
      </c>
      <c r="C1262" t="s">
        <v>4394</v>
      </c>
      <c r="D1262" t="s">
        <v>4395</v>
      </c>
      <c r="E1262" t="s">
        <v>14</v>
      </c>
      <c r="F1262" t="s">
        <v>15</v>
      </c>
      <c r="G1262">
        <v>15213</v>
      </c>
      <c r="H1262" t="s">
        <v>34</v>
      </c>
      <c r="I1262">
        <v>70</v>
      </c>
      <c r="J1262">
        <v>1</v>
      </c>
      <c r="K1262" t="s">
        <v>8124</v>
      </c>
    </row>
    <row r="1263" spans="1:11" x14ac:dyDescent="0.25">
      <c r="A1263" t="s">
        <v>4396</v>
      </c>
      <c r="B1263" t="s">
        <v>2755</v>
      </c>
      <c r="C1263" t="s">
        <v>228</v>
      </c>
      <c r="D1263" t="s">
        <v>4397</v>
      </c>
      <c r="E1263" t="s">
        <v>14</v>
      </c>
      <c r="F1263" t="s">
        <v>15</v>
      </c>
      <c r="G1263">
        <v>15201</v>
      </c>
      <c r="H1263" t="s">
        <v>43</v>
      </c>
      <c r="I1263">
        <v>24</v>
      </c>
      <c r="J1263">
        <v>1</v>
      </c>
      <c r="K1263" t="s">
        <v>8131</v>
      </c>
    </row>
    <row r="1264" spans="1:11" x14ac:dyDescent="0.25">
      <c r="A1264" t="s">
        <v>4398</v>
      </c>
      <c r="B1264" t="s">
        <v>4399</v>
      </c>
      <c r="C1264" t="s">
        <v>4400</v>
      </c>
      <c r="D1264" t="s">
        <v>4401</v>
      </c>
      <c r="E1264" t="s">
        <v>14</v>
      </c>
      <c r="F1264" t="s">
        <v>15</v>
      </c>
      <c r="G1264">
        <v>15241</v>
      </c>
      <c r="H1264" t="s">
        <v>16</v>
      </c>
      <c r="I1264">
        <v>59</v>
      </c>
      <c r="J1264">
        <v>1</v>
      </c>
      <c r="K1264" t="s">
        <v>8131</v>
      </c>
    </row>
    <row r="1265" spans="1:11" x14ac:dyDescent="0.25">
      <c r="A1265" t="s">
        <v>4402</v>
      </c>
      <c r="B1265" t="s">
        <v>4403</v>
      </c>
      <c r="C1265" t="s">
        <v>4404</v>
      </c>
      <c r="D1265" t="s">
        <v>4405</v>
      </c>
      <c r="E1265" t="s">
        <v>14</v>
      </c>
      <c r="F1265" t="s">
        <v>15</v>
      </c>
      <c r="G1265">
        <v>15205</v>
      </c>
      <c r="H1265" t="s">
        <v>43</v>
      </c>
      <c r="I1265">
        <v>11</v>
      </c>
      <c r="J1265">
        <v>0</v>
      </c>
      <c r="K1265" t="s">
        <v>8131</v>
      </c>
    </row>
    <row r="1266" spans="1:11" x14ac:dyDescent="0.25">
      <c r="A1266" t="s">
        <v>4406</v>
      </c>
      <c r="B1266" t="s">
        <v>377</v>
      </c>
      <c r="C1266" t="s">
        <v>4407</v>
      </c>
      <c r="D1266" t="s">
        <v>4408</v>
      </c>
      <c r="E1266" t="s">
        <v>14</v>
      </c>
      <c r="F1266" t="s">
        <v>15</v>
      </c>
      <c r="G1266">
        <v>15222</v>
      </c>
      <c r="H1266" t="s">
        <v>43</v>
      </c>
      <c r="I1266">
        <v>35</v>
      </c>
      <c r="J1266">
        <v>1</v>
      </c>
      <c r="K1266" t="s">
        <v>8124</v>
      </c>
    </row>
    <row r="1267" spans="1:11" x14ac:dyDescent="0.25">
      <c r="A1267" t="s">
        <v>4409</v>
      </c>
      <c r="B1267" t="s">
        <v>4410</v>
      </c>
      <c r="C1267" t="s">
        <v>4411</v>
      </c>
      <c r="D1267" t="s">
        <v>4412</v>
      </c>
      <c r="E1267" t="s">
        <v>14</v>
      </c>
      <c r="F1267" t="s">
        <v>15</v>
      </c>
      <c r="G1267">
        <v>15201</v>
      </c>
      <c r="H1267" t="s">
        <v>92</v>
      </c>
      <c r="I1267">
        <v>17</v>
      </c>
      <c r="J1267">
        <v>1</v>
      </c>
      <c r="K1267" t="s">
        <v>8131</v>
      </c>
    </row>
    <row r="1268" spans="1:11" x14ac:dyDescent="0.25">
      <c r="A1268" t="s">
        <v>4413</v>
      </c>
      <c r="B1268" t="s">
        <v>4414</v>
      </c>
      <c r="C1268" t="s">
        <v>4415</v>
      </c>
      <c r="D1268" t="s">
        <v>871</v>
      </c>
      <c r="E1268" t="s">
        <v>14</v>
      </c>
      <c r="F1268" t="s">
        <v>15</v>
      </c>
      <c r="G1268">
        <v>15206</v>
      </c>
      <c r="H1268" t="s">
        <v>21</v>
      </c>
      <c r="I1268">
        <v>7</v>
      </c>
      <c r="J1268">
        <v>1</v>
      </c>
      <c r="K1268" t="s">
        <v>8127</v>
      </c>
    </row>
    <row r="1269" spans="1:11" x14ac:dyDescent="0.25">
      <c r="A1269" t="s">
        <v>4416</v>
      </c>
      <c r="B1269" t="s">
        <v>2897</v>
      </c>
      <c r="C1269" t="s">
        <v>4417</v>
      </c>
      <c r="D1269" t="s">
        <v>3723</v>
      </c>
      <c r="E1269" t="s">
        <v>14</v>
      </c>
      <c r="F1269" t="s">
        <v>15</v>
      </c>
      <c r="G1269">
        <v>15222</v>
      </c>
      <c r="H1269" t="s">
        <v>34</v>
      </c>
      <c r="I1269">
        <v>32</v>
      </c>
      <c r="J1269">
        <v>1</v>
      </c>
      <c r="K1269" t="s">
        <v>8119</v>
      </c>
    </row>
    <row r="1270" spans="1:11" x14ac:dyDescent="0.25">
      <c r="A1270" t="s">
        <v>4418</v>
      </c>
      <c r="B1270" t="s">
        <v>4419</v>
      </c>
      <c r="C1270" t="s">
        <v>4420</v>
      </c>
      <c r="D1270" t="s">
        <v>4421</v>
      </c>
      <c r="E1270" t="s">
        <v>14</v>
      </c>
      <c r="F1270" t="s">
        <v>15</v>
      </c>
      <c r="G1270">
        <v>15222</v>
      </c>
      <c r="H1270" t="s">
        <v>16</v>
      </c>
      <c r="I1270">
        <v>94</v>
      </c>
      <c r="J1270">
        <v>1</v>
      </c>
      <c r="K1270" t="s">
        <v>8131</v>
      </c>
    </row>
    <row r="1271" spans="1:11" x14ac:dyDescent="0.25">
      <c r="A1271" t="s">
        <v>4422</v>
      </c>
      <c r="B1271" t="s">
        <v>4423</v>
      </c>
      <c r="C1271" t="s">
        <v>4424</v>
      </c>
      <c r="D1271" t="s">
        <v>4425</v>
      </c>
      <c r="E1271" t="s">
        <v>14</v>
      </c>
      <c r="F1271" t="s">
        <v>15</v>
      </c>
      <c r="G1271">
        <v>15216</v>
      </c>
      <c r="H1271" t="s">
        <v>48</v>
      </c>
      <c r="I1271">
        <v>190</v>
      </c>
      <c r="J1271">
        <v>1</v>
      </c>
      <c r="K1271" t="s">
        <v>8120</v>
      </c>
    </row>
    <row r="1272" spans="1:11" x14ac:dyDescent="0.25">
      <c r="A1272" t="s">
        <v>4426</v>
      </c>
      <c r="B1272" t="s">
        <v>65</v>
      </c>
      <c r="C1272" t="s">
        <v>208</v>
      </c>
      <c r="D1272" t="s">
        <v>4427</v>
      </c>
      <c r="E1272" t="s">
        <v>14</v>
      </c>
      <c r="F1272" t="s">
        <v>15</v>
      </c>
      <c r="G1272">
        <v>15217</v>
      </c>
      <c r="H1272" t="s">
        <v>113</v>
      </c>
      <c r="I1272">
        <v>12</v>
      </c>
      <c r="J1272">
        <v>1</v>
      </c>
      <c r="K1272" t="s">
        <v>8131</v>
      </c>
    </row>
    <row r="1273" spans="1:11" x14ac:dyDescent="0.25">
      <c r="A1273" t="s">
        <v>4428</v>
      </c>
      <c r="B1273" t="s">
        <v>36</v>
      </c>
      <c r="C1273" t="s">
        <v>4429</v>
      </c>
      <c r="D1273" t="s">
        <v>4430</v>
      </c>
      <c r="E1273" t="s">
        <v>14</v>
      </c>
      <c r="F1273" t="s">
        <v>15</v>
      </c>
      <c r="G1273">
        <v>15216</v>
      </c>
      <c r="H1273" t="s">
        <v>157</v>
      </c>
      <c r="I1273">
        <v>6</v>
      </c>
      <c r="J1273">
        <v>1</v>
      </c>
      <c r="K1273" t="s">
        <v>8131</v>
      </c>
    </row>
    <row r="1274" spans="1:11" x14ac:dyDescent="0.25">
      <c r="A1274" t="s">
        <v>4431</v>
      </c>
      <c r="B1274" t="s">
        <v>4432</v>
      </c>
      <c r="C1274" t="s">
        <v>4433</v>
      </c>
      <c r="D1274" t="s">
        <v>4434</v>
      </c>
      <c r="E1274" t="s">
        <v>14</v>
      </c>
      <c r="F1274" t="s">
        <v>15</v>
      </c>
      <c r="G1274">
        <v>15203</v>
      </c>
      <c r="H1274" t="s">
        <v>34</v>
      </c>
      <c r="I1274">
        <v>74</v>
      </c>
      <c r="J1274">
        <v>1</v>
      </c>
      <c r="K1274" t="s">
        <v>8120</v>
      </c>
    </row>
    <row r="1275" spans="1:11" x14ac:dyDescent="0.25">
      <c r="A1275" t="s">
        <v>4435</v>
      </c>
      <c r="B1275" t="s">
        <v>3384</v>
      </c>
      <c r="C1275" t="s">
        <v>4436</v>
      </c>
      <c r="D1275" t="s">
        <v>4437</v>
      </c>
      <c r="E1275" t="s">
        <v>14</v>
      </c>
      <c r="F1275" t="s">
        <v>15</v>
      </c>
      <c r="G1275">
        <v>15239</v>
      </c>
      <c r="H1275" t="s">
        <v>16</v>
      </c>
      <c r="I1275">
        <v>37</v>
      </c>
      <c r="J1275">
        <v>1</v>
      </c>
      <c r="K1275" t="s">
        <v>8117</v>
      </c>
    </row>
    <row r="1276" spans="1:11" x14ac:dyDescent="0.25">
      <c r="A1276" t="s">
        <v>4438</v>
      </c>
      <c r="B1276" t="s">
        <v>4439</v>
      </c>
      <c r="C1276" t="s">
        <v>4440</v>
      </c>
      <c r="D1276" t="s">
        <v>3348</v>
      </c>
      <c r="E1276" t="s">
        <v>14</v>
      </c>
      <c r="F1276" t="s">
        <v>15</v>
      </c>
      <c r="G1276">
        <v>15233</v>
      </c>
      <c r="H1276" t="s">
        <v>16</v>
      </c>
      <c r="I1276">
        <v>213</v>
      </c>
      <c r="J1276">
        <v>1</v>
      </c>
      <c r="K1276" t="s">
        <v>8131</v>
      </c>
    </row>
    <row r="1277" spans="1:11" x14ac:dyDescent="0.25">
      <c r="A1277" t="s">
        <v>4441</v>
      </c>
      <c r="B1277" t="s">
        <v>4442</v>
      </c>
      <c r="C1277" t="s">
        <v>366</v>
      </c>
      <c r="D1277" t="s">
        <v>4443</v>
      </c>
      <c r="E1277" t="s">
        <v>14</v>
      </c>
      <c r="F1277" t="s">
        <v>15</v>
      </c>
      <c r="G1277">
        <v>15220</v>
      </c>
      <c r="H1277" t="s">
        <v>43</v>
      </c>
      <c r="I1277">
        <v>26</v>
      </c>
      <c r="J1277">
        <v>1</v>
      </c>
      <c r="K1277" t="s">
        <v>8131</v>
      </c>
    </row>
    <row r="1278" spans="1:11" x14ac:dyDescent="0.25">
      <c r="A1278" t="s">
        <v>4444</v>
      </c>
      <c r="B1278" t="s">
        <v>586</v>
      </c>
      <c r="C1278" t="s">
        <v>4445</v>
      </c>
      <c r="D1278" t="s">
        <v>3091</v>
      </c>
      <c r="E1278" t="s">
        <v>14</v>
      </c>
      <c r="F1278" t="s">
        <v>15</v>
      </c>
      <c r="G1278">
        <v>15224</v>
      </c>
      <c r="H1278" t="s">
        <v>43</v>
      </c>
      <c r="I1278">
        <v>8</v>
      </c>
      <c r="J1278">
        <v>0</v>
      </c>
      <c r="K1278" t="s">
        <v>8120</v>
      </c>
    </row>
    <row r="1279" spans="1:11" x14ac:dyDescent="0.25">
      <c r="A1279" t="s">
        <v>4446</v>
      </c>
      <c r="B1279" t="s">
        <v>4447</v>
      </c>
      <c r="C1279" t="s">
        <v>4448</v>
      </c>
      <c r="D1279" t="s">
        <v>3280</v>
      </c>
      <c r="E1279" t="s">
        <v>14</v>
      </c>
      <c r="F1279" t="s">
        <v>15</v>
      </c>
      <c r="G1279">
        <v>15212</v>
      </c>
      <c r="H1279" t="s">
        <v>21</v>
      </c>
      <c r="I1279">
        <v>32</v>
      </c>
      <c r="J1279">
        <v>1</v>
      </c>
      <c r="K1279" t="s">
        <v>8131</v>
      </c>
    </row>
    <row r="1280" spans="1:11" x14ac:dyDescent="0.25">
      <c r="A1280" t="s">
        <v>4449</v>
      </c>
      <c r="B1280" t="s">
        <v>3498</v>
      </c>
      <c r="C1280" t="s">
        <v>4450</v>
      </c>
      <c r="D1280" t="s">
        <v>4451</v>
      </c>
      <c r="E1280" t="s">
        <v>14</v>
      </c>
      <c r="F1280" t="s">
        <v>15</v>
      </c>
      <c r="G1280">
        <v>15213</v>
      </c>
      <c r="H1280" t="s">
        <v>48</v>
      </c>
      <c r="I1280">
        <v>141</v>
      </c>
      <c r="J1280">
        <v>1</v>
      </c>
      <c r="K1280" t="s">
        <v>8131</v>
      </c>
    </row>
    <row r="1281" spans="1:11" x14ac:dyDescent="0.25">
      <c r="A1281" t="s">
        <v>4452</v>
      </c>
      <c r="B1281" t="s">
        <v>4453</v>
      </c>
      <c r="C1281" t="s">
        <v>4454</v>
      </c>
      <c r="D1281" t="s">
        <v>4455</v>
      </c>
      <c r="E1281" t="s">
        <v>14</v>
      </c>
      <c r="F1281" t="s">
        <v>15</v>
      </c>
      <c r="G1281">
        <v>15241</v>
      </c>
      <c r="H1281" t="s">
        <v>48</v>
      </c>
      <c r="I1281">
        <v>37</v>
      </c>
      <c r="J1281">
        <v>1</v>
      </c>
      <c r="K1281" t="s">
        <v>8131</v>
      </c>
    </row>
    <row r="1282" spans="1:11" x14ac:dyDescent="0.25">
      <c r="A1282" t="s">
        <v>4456</v>
      </c>
      <c r="B1282" t="s">
        <v>4457</v>
      </c>
      <c r="C1282" t="s">
        <v>4458</v>
      </c>
      <c r="D1282" t="s">
        <v>810</v>
      </c>
      <c r="E1282" t="s">
        <v>14</v>
      </c>
      <c r="F1282" t="s">
        <v>15</v>
      </c>
      <c r="G1282">
        <v>15222</v>
      </c>
      <c r="H1282" t="s">
        <v>113</v>
      </c>
      <c r="I1282">
        <v>85</v>
      </c>
      <c r="J1282">
        <v>1</v>
      </c>
      <c r="K1282" t="s">
        <v>8120</v>
      </c>
    </row>
    <row r="1283" spans="1:11" x14ac:dyDescent="0.25">
      <c r="A1283" t="s">
        <v>4459</v>
      </c>
      <c r="B1283" t="s">
        <v>4460</v>
      </c>
      <c r="C1283" t="s">
        <v>4461</v>
      </c>
      <c r="D1283" t="s">
        <v>4462</v>
      </c>
      <c r="E1283" t="s">
        <v>14</v>
      </c>
      <c r="F1283" t="s">
        <v>15</v>
      </c>
      <c r="G1283">
        <v>15215</v>
      </c>
      <c r="H1283" t="s">
        <v>21</v>
      </c>
      <c r="I1283">
        <v>5</v>
      </c>
      <c r="J1283">
        <v>0</v>
      </c>
      <c r="K1283" t="s">
        <v>8131</v>
      </c>
    </row>
    <row r="1284" spans="1:11" x14ac:dyDescent="0.25">
      <c r="A1284" t="s">
        <v>4463</v>
      </c>
      <c r="B1284" t="s">
        <v>4464</v>
      </c>
      <c r="C1284" t="s">
        <v>4465</v>
      </c>
      <c r="D1284" t="s">
        <v>4466</v>
      </c>
      <c r="E1284" t="s">
        <v>14</v>
      </c>
      <c r="F1284" t="s">
        <v>15</v>
      </c>
      <c r="G1284">
        <v>15205</v>
      </c>
      <c r="H1284" t="s">
        <v>48</v>
      </c>
      <c r="I1284">
        <v>204</v>
      </c>
      <c r="J1284">
        <v>1</v>
      </c>
      <c r="K1284" t="s">
        <v>8131</v>
      </c>
    </row>
    <row r="1285" spans="1:11" x14ac:dyDescent="0.25">
      <c r="A1285" t="s">
        <v>4467</v>
      </c>
      <c r="B1285" t="s">
        <v>4468</v>
      </c>
      <c r="C1285" t="s">
        <v>4469</v>
      </c>
      <c r="D1285" t="s">
        <v>4470</v>
      </c>
      <c r="E1285" t="s">
        <v>14</v>
      </c>
      <c r="F1285" t="s">
        <v>15</v>
      </c>
      <c r="G1285">
        <v>15224</v>
      </c>
      <c r="H1285" t="s">
        <v>21</v>
      </c>
      <c r="I1285">
        <v>103</v>
      </c>
      <c r="J1285">
        <v>1</v>
      </c>
      <c r="K1285" t="s">
        <v>8126</v>
      </c>
    </row>
    <row r="1286" spans="1:11" x14ac:dyDescent="0.25">
      <c r="A1286" t="s">
        <v>4471</v>
      </c>
      <c r="B1286" t="s">
        <v>36</v>
      </c>
      <c r="C1286" t="s">
        <v>1762</v>
      </c>
      <c r="D1286" t="s">
        <v>4472</v>
      </c>
      <c r="E1286" t="s">
        <v>14</v>
      </c>
      <c r="F1286" t="s">
        <v>15</v>
      </c>
      <c r="G1286">
        <v>15241</v>
      </c>
      <c r="H1286" t="s">
        <v>48</v>
      </c>
      <c r="I1286">
        <v>18</v>
      </c>
      <c r="J1286">
        <v>1</v>
      </c>
      <c r="K1286" t="s">
        <v>8131</v>
      </c>
    </row>
    <row r="1287" spans="1:11" x14ac:dyDescent="0.25">
      <c r="A1287" t="s">
        <v>4473</v>
      </c>
      <c r="B1287" t="s">
        <v>4474</v>
      </c>
      <c r="C1287" t="s">
        <v>4475</v>
      </c>
      <c r="D1287" t="s">
        <v>4476</v>
      </c>
      <c r="E1287" t="s">
        <v>14</v>
      </c>
      <c r="F1287" t="s">
        <v>15</v>
      </c>
      <c r="G1287">
        <v>15205</v>
      </c>
      <c r="H1287" t="s">
        <v>48</v>
      </c>
      <c r="I1287">
        <v>45</v>
      </c>
      <c r="J1287">
        <v>0</v>
      </c>
      <c r="K1287" t="s">
        <v>8120</v>
      </c>
    </row>
    <row r="1288" spans="1:11" x14ac:dyDescent="0.25">
      <c r="A1288" t="s">
        <v>4477</v>
      </c>
      <c r="B1288" t="s">
        <v>4478</v>
      </c>
      <c r="C1288" t="s">
        <v>4479</v>
      </c>
      <c r="D1288" t="s">
        <v>4480</v>
      </c>
      <c r="E1288" t="s">
        <v>14</v>
      </c>
      <c r="F1288" t="s">
        <v>15</v>
      </c>
      <c r="G1288">
        <v>15216</v>
      </c>
      <c r="H1288" t="s">
        <v>34</v>
      </c>
      <c r="I1288">
        <v>138</v>
      </c>
      <c r="J1288">
        <v>1</v>
      </c>
      <c r="K1288" t="s">
        <v>8124</v>
      </c>
    </row>
    <row r="1289" spans="1:11" x14ac:dyDescent="0.25">
      <c r="A1289" t="s">
        <v>4481</v>
      </c>
      <c r="B1289" t="s">
        <v>4482</v>
      </c>
      <c r="C1289" t="s">
        <v>1150</v>
      </c>
      <c r="D1289" t="s">
        <v>4483</v>
      </c>
      <c r="E1289" t="s">
        <v>14</v>
      </c>
      <c r="F1289" t="s">
        <v>15</v>
      </c>
      <c r="G1289">
        <v>15217</v>
      </c>
      <c r="H1289" t="s">
        <v>34</v>
      </c>
      <c r="I1289">
        <v>84</v>
      </c>
      <c r="J1289">
        <v>1</v>
      </c>
      <c r="K1289" t="s">
        <v>8131</v>
      </c>
    </row>
    <row r="1290" spans="1:11" x14ac:dyDescent="0.25">
      <c r="A1290" t="s">
        <v>4484</v>
      </c>
      <c r="B1290" t="s">
        <v>1384</v>
      </c>
      <c r="C1290" t="s">
        <v>4485</v>
      </c>
      <c r="D1290" t="s">
        <v>4486</v>
      </c>
      <c r="E1290" t="s">
        <v>14</v>
      </c>
      <c r="F1290" t="s">
        <v>15</v>
      </c>
      <c r="G1290">
        <v>15213</v>
      </c>
      <c r="H1290" t="s">
        <v>16</v>
      </c>
      <c r="I1290">
        <v>349</v>
      </c>
      <c r="J1290">
        <v>1</v>
      </c>
      <c r="K1290" t="s">
        <v>8131</v>
      </c>
    </row>
    <row r="1291" spans="1:11" x14ac:dyDescent="0.25">
      <c r="A1291" t="s">
        <v>4487</v>
      </c>
      <c r="B1291" t="s">
        <v>4488</v>
      </c>
      <c r="C1291" t="s">
        <v>4489</v>
      </c>
      <c r="D1291" t="s">
        <v>198</v>
      </c>
      <c r="E1291" t="s">
        <v>14</v>
      </c>
      <c r="F1291" t="s">
        <v>15</v>
      </c>
      <c r="G1291">
        <v>15222</v>
      </c>
      <c r="H1291" t="s">
        <v>21</v>
      </c>
      <c r="I1291">
        <v>476</v>
      </c>
      <c r="J1291">
        <v>1</v>
      </c>
      <c r="K1291" t="s">
        <v>8131</v>
      </c>
    </row>
    <row r="1292" spans="1:11" x14ac:dyDescent="0.25">
      <c r="A1292" t="s">
        <v>4490</v>
      </c>
      <c r="B1292" t="s">
        <v>4491</v>
      </c>
      <c r="C1292" t="s">
        <v>4492</v>
      </c>
      <c r="D1292" t="s">
        <v>4493</v>
      </c>
      <c r="E1292" t="s">
        <v>14</v>
      </c>
      <c r="F1292" t="s">
        <v>15</v>
      </c>
      <c r="G1292">
        <v>15203</v>
      </c>
      <c r="H1292" t="s">
        <v>16</v>
      </c>
      <c r="I1292">
        <v>122</v>
      </c>
      <c r="J1292">
        <v>1</v>
      </c>
      <c r="K1292" t="s">
        <v>8117</v>
      </c>
    </row>
    <row r="1293" spans="1:11" x14ac:dyDescent="0.25">
      <c r="A1293" t="s">
        <v>4494</v>
      </c>
      <c r="B1293" t="s">
        <v>119</v>
      </c>
      <c r="C1293" t="s">
        <v>4495</v>
      </c>
      <c r="D1293" t="s">
        <v>4496</v>
      </c>
      <c r="E1293" t="s">
        <v>14</v>
      </c>
      <c r="F1293" t="s">
        <v>15</v>
      </c>
      <c r="G1293">
        <v>15202</v>
      </c>
      <c r="H1293" t="s">
        <v>16</v>
      </c>
      <c r="I1293">
        <v>14</v>
      </c>
      <c r="J1293">
        <v>0</v>
      </c>
      <c r="K1293" t="s">
        <v>8131</v>
      </c>
    </row>
    <row r="1294" spans="1:11" x14ac:dyDescent="0.25">
      <c r="A1294" t="s">
        <v>4497</v>
      </c>
      <c r="B1294" t="s">
        <v>36</v>
      </c>
      <c r="C1294" t="s">
        <v>4498</v>
      </c>
      <c r="D1294" t="s">
        <v>4499</v>
      </c>
      <c r="E1294" t="s">
        <v>14</v>
      </c>
      <c r="F1294" t="s">
        <v>15</v>
      </c>
      <c r="G1294">
        <v>15212</v>
      </c>
      <c r="H1294" t="s">
        <v>34</v>
      </c>
      <c r="I1294">
        <v>17</v>
      </c>
      <c r="J1294">
        <v>1</v>
      </c>
      <c r="K1294" t="s">
        <v>8131</v>
      </c>
    </row>
    <row r="1295" spans="1:11" x14ac:dyDescent="0.25">
      <c r="A1295" t="s">
        <v>4500</v>
      </c>
      <c r="B1295" t="s">
        <v>4501</v>
      </c>
      <c r="C1295" t="s">
        <v>2013</v>
      </c>
      <c r="D1295" t="s">
        <v>4502</v>
      </c>
      <c r="E1295" t="s">
        <v>14</v>
      </c>
      <c r="F1295" t="s">
        <v>15</v>
      </c>
      <c r="G1295">
        <v>15234</v>
      </c>
      <c r="H1295" t="s">
        <v>43</v>
      </c>
      <c r="I1295">
        <v>4</v>
      </c>
      <c r="J1295">
        <v>1</v>
      </c>
      <c r="K1295" t="s">
        <v>8131</v>
      </c>
    </row>
    <row r="1296" spans="1:11" x14ac:dyDescent="0.25">
      <c r="A1296" t="s">
        <v>4503</v>
      </c>
      <c r="B1296" t="s">
        <v>4504</v>
      </c>
      <c r="C1296" t="s">
        <v>4505</v>
      </c>
      <c r="D1296" t="s">
        <v>4506</v>
      </c>
      <c r="E1296" t="s">
        <v>14</v>
      </c>
      <c r="F1296" t="s">
        <v>15</v>
      </c>
      <c r="G1296">
        <v>15227</v>
      </c>
      <c r="H1296" t="s">
        <v>48</v>
      </c>
      <c r="I1296">
        <v>30</v>
      </c>
      <c r="J1296">
        <v>0</v>
      </c>
      <c r="K1296" t="s">
        <v>8119</v>
      </c>
    </row>
    <row r="1297" spans="1:11" x14ac:dyDescent="0.25">
      <c r="A1297" t="s">
        <v>4507</v>
      </c>
      <c r="B1297" t="s">
        <v>4508</v>
      </c>
      <c r="C1297" t="s">
        <v>4509</v>
      </c>
      <c r="D1297" t="s">
        <v>847</v>
      </c>
      <c r="E1297" t="s">
        <v>14</v>
      </c>
      <c r="F1297" t="s">
        <v>15</v>
      </c>
      <c r="G1297">
        <v>15217</v>
      </c>
      <c r="H1297" t="s">
        <v>48</v>
      </c>
      <c r="I1297">
        <v>10</v>
      </c>
      <c r="J1297">
        <v>0</v>
      </c>
      <c r="K1297" t="s">
        <v>8133</v>
      </c>
    </row>
    <row r="1298" spans="1:11" x14ac:dyDescent="0.25">
      <c r="A1298" t="s">
        <v>4510</v>
      </c>
      <c r="B1298" t="s">
        <v>4511</v>
      </c>
      <c r="C1298" t="s">
        <v>4512</v>
      </c>
      <c r="D1298" t="s">
        <v>4513</v>
      </c>
      <c r="E1298" t="s">
        <v>14</v>
      </c>
      <c r="F1298" t="s">
        <v>15</v>
      </c>
      <c r="G1298">
        <v>15205</v>
      </c>
      <c r="H1298" t="s">
        <v>34</v>
      </c>
      <c r="I1298">
        <v>53</v>
      </c>
      <c r="J1298">
        <v>1</v>
      </c>
      <c r="K1298" t="s">
        <v>8131</v>
      </c>
    </row>
    <row r="1299" spans="1:11" x14ac:dyDescent="0.25">
      <c r="A1299" t="s">
        <v>4514</v>
      </c>
      <c r="B1299" t="s">
        <v>2541</v>
      </c>
      <c r="C1299" t="s">
        <v>4515</v>
      </c>
      <c r="D1299" t="s">
        <v>4516</v>
      </c>
      <c r="E1299" t="s">
        <v>14</v>
      </c>
      <c r="F1299" t="s">
        <v>15</v>
      </c>
      <c r="G1299">
        <v>15222</v>
      </c>
      <c r="H1299" t="s">
        <v>16</v>
      </c>
      <c r="I1299">
        <v>11</v>
      </c>
      <c r="J1299">
        <v>0</v>
      </c>
      <c r="K1299" t="s">
        <v>8131</v>
      </c>
    </row>
    <row r="1300" spans="1:11" x14ac:dyDescent="0.25">
      <c r="A1300" t="s">
        <v>4517</v>
      </c>
      <c r="B1300" t="s">
        <v>4518</v>
      </c>
      <c r="C1300" t="s">
        <v>4519</v>
      </c>
      <c r="D1300" t="s">
        <v>4520</v>
      </c>
      <c r="E1300" t="s">
        <v>14</v>
      </c>
      <c r="F1300" t="s">
        <v>15</v>
      </c>
      <c r="G1300">
        <v>15212</v>
      </c>
      <c r="H1300" t="s">
        <v>16</v>
      </c>
      <c r="I1300">
        <v>33</v>
      </c>
      <c r="J1300">
        <v>1</v>
      </c>
      <c r="K1300" t="s">
        <v>8131</v>
      </c>
    </row>
    <row r="1301" spans="1:11" x14ac:dyDescent="0.25">
      <c r="A1301" t="s">
        <v>4521</v>
      </c>
      <c r="B1301" t="s">
        <v>4522</v>
      </c>
      <c r="C1301" t="s">
        <v>4523</v>
      </c>
      <c r="D1301" t="s">
        <v>4524</v>
      </c>
      <c r="E1301" t="s">
        <v>14</v>
      </c>
      <c r="F1301" t="s">
        <v>15</v>
      </c>
      <c r="G1301">
        <v>15219</v>
      </c>
      <c r="H1301" t="s">
        <v>16</v>
      </c>
      <c r="I1301">
        <v>15</v>
      </c>
      <c r="J1301">
        <v>1</v>
      </c>
      <c r="K1301" t="s">
        <v>8131</v>
      </c>
    </row>
    <row r="1302" spans="1:11" x14ac:dyDescent="0.25">
      <c r="A1302" t="s">
        <v>4525</v>
      </c>
      <c r="B1302" t="s">
        <v>4526</v>
      </c>
      <c r="C1302" t="s">
        <v>4527</v>
      </c>
      <c r="D1302" t="s">
        <v>4528</v>
      </c>
      <c r="E1302" t="s">
        <v>14</v>
      </c>
      <c r="F1302" t="s">
        <v>15</v>
      </c>
      <c r="G1302">
        <v>15222</v>
      </c>
      <c r="H1302" t="s">
        <v>48</v>
      </c>
      <c r="I1302">
        <v>31</v>
      </c>
      <c r="J1302">
        <v>1</v>
      </c>
      <c r="K1302" t="s">
        <v>8131</v>
      </c>
    </row>
    <row r="1303" spans="1:11" x14ac:dyDescent="0.25">
      <c r="A1303" t="s">
        <v>4529</v>
      </c>
      <c r="B1303" t="s">
        <v>1664</v>
      </c>
      <c r="C1303" t="s">
        <v>4530</v>
      </c>
      <c r="D1303" t="s">
        <v>4531</v>
      </c>
      <c r="E1303" t="s">
        <v>14</v>
      </c>
      <c r="F1303" t="s">
        <v>15</v>
      </c>
      <c r="G1303">
        <v>15275</v>
      </c>
      <c r="H1303" t="s">
        <v>16</v>
      </c>
      <c r="I1303">
        <v>85</v>
      </c>
      <c r="J1303">
        <v>1</v>
      </c>
      <c r="K1303" t="s">
        <v>8131</v>
      </c>
    </row>
    <row r="1304" spans="1:11" x14ac:dyDescent="0.25">
      <c r="A1304" t="s">
        <v>4532</v>
      </c>
      <c r="B1304" t="s">
        <v>4533</v>
      </c>
      <c r="C1304" t="s">
        <v>302</v>
      </c>
      <c r="D1304" t="s">
        <v>4534</v>
      </c>
      <c r="E1304" t="s">
        <v>14</v>
      </c>
      <c r="F1304" t="s">
        <v>15</v>
      </c>
      <c r="G1304">
        <v>15217</v>
      </c>
      <c r="H1304" t="s">
        <v>16</v>
      </c>
      <c r="I1304">
        <v>171</v>
      </c>
      <c r="J1304">
        <v>1</v>
      </c>
      <c r="K1304" t="s">
        <v>8121</v>
      </c>
    </row>
    <row r="1305" spans="1:11" x14ac:dyDescent="0.25">
      <c r="A1305" t="s">
        <v>4535</v>
      </c>
      <c r="B1305" t="s">
        <v>4536</v>
      </c>
      <c r="C1305" t="s">
        <v>4537</v>
      </c>
      <c r="D1305" t="s">
        <v>4538</v>
      </c>
      <c r="E1305" t="s">
        <v>14</v>
      </c>
      <c r="F1305" t="s">
        <v>15</v>
      </c>
      <c r="G1305">
        <v>15224</v>
      </c>
      <c r="H1305" t="s">
        <v>48</v>
      </c>
      <c r="I1305">
        <v>144</v>
      </c>
      <c r="J1305">
        <v>0</v>
      </c>
      <c r="K1305" t="s">
        <v>8131</v>
      </c>
    </row>
    <row r="1306" spans="1:11" x14ac:dyDescent="0.25">
      <c r="A1306" t="s">
        <v>4539</v>
      </c>
      <c r="B1306" t="s">
        <v>36</v>
      </c>
      <c r="C1306" t="s">
        <v>4540</v>
      </c>
      <c r="D1306" t="s">
        <v>3463</v>
      </c>
      <c r="E1306" t="s">
        <v>14</v>
      </c>
      <c r="F1306" t="s">
        <v>15</v>
      </c>
      <c r="G1306">
        <v>15232</v>
      </c>
      <c r="H1306" t="s">
        <v>16</v>
      </c>
      <c r="I1306">
        <v>15</v>
      </c>
      <c r="J1306">
        <v>0</v>
      </c>
      <c r="K1306" t="s">
        <v>8131</v>
      </c>
    </row>
    <row r="1307" spans="1:11" x14ac:dyDescent="0.25">
      <c r="A1307" t="s">
        <v>4541</v>
      </c>
      <c r="B1307" t="s">
        <v>4542</v>
      </c>
      <c r="C1307" t="s">
        <v>155</v>
      </c>
      <c r="D1307" t="s">
        <v>4543</v>
      </c>
      <c r="E1307" t="s">
        <v>14</v>
      </c>
      <c r="F1307" t="s">
        <v>15</v>
      </c>
      <c r="G1307">
        <v>15205</v>
      </c>
      <c r="H1307" t="s">
        <v>34</v>
      </c>
      <c r="I1307">
        <v>6</v>
      </c>
      <c r="J1307">
        <v>1</v>
      </c>
      <c r="K1307" t="s">
        <v>8120</v>
      </c>
    </row>
    <row r="1308" spans="1:11" x14ac:dyDescent="0.25">
      <c r="A1308" t="s">
        <v>4544</v>
      </c>
      <c r="B1308" t="s">
        <v>119</v>
      </c>
      <c r="C1308" t="s">
        <v>4545</v>
      </c>
      <c r="D1308" t="s">
        <v>4101</v>
      </c>
      <c r="E1308" t="s">
        <v>14</v>
      </c>
      <c r="F1308" t="s">
        <v>15</v>
      </c>
      <c r="G1308">
        <v>15236</v>
      </c>
      <c r="H1308" t="s">
        <v>48</v>
      </c>
      <c r="I1308">
        <v>3</v>
      </c>
      <c r="J1308">
        <v>0</v>
      </c>
      <c r="K1308" t="s">
        <v>8131</v>
      </c>
    </row>
    <row r="1309" spans="1:11" x14ac:dyDescent="0.25">
      <c r="A1309" t="s">
        <v>4546</v>
      </c>
      <c r="B1309" t="s">
        <v>4547</v>
      </c>
      <c r="C1309" t="s">
        <v>4548</v>
      </c>
      <c r="D1309" t="s">
        <v>4549</v>
      </c>
      <c r="E1309" t="s">
        <v>14</v>
      </c>
      <c r="F1309" t="s">
        <v>15</v>
      </c>
      <c r="G1309">
        <v>15206</v>
      </c>
      <c r="H1309" t="s">
        <v>48</v>
      </c>
      <c r="I1309">
        <v>310</v>
      </c>
      <c r="J1309">
        <v>1</v>
      </c>
      <c r="K1309" t="s">
        <v>8122</v>
      </c>
    </row>
    <row r="1310" spans="1:11" x14ac:dyDescent="0.25">
      <c r="A1310" t="s">
        <v>4550</v>
      </c>
      <c r="B1310" t="s">
        <v>1664</v>
      </c>
      <c r="C1310" t="s">
        <v>2772</v>
      </c>
      <c r="D1310" t="s">
        <v>4551</v>
      </c>
      <c r="E1310" t="s">
        <v>14</v>
      </c>
      <c r="F1310" t="s">
        <v>15</v>
      </c>
      <c r="G1310">
        <v>15238</v>
      </c>
      <c r="H1310" t="s">
        <v>48</v>
      </c>
      <c r="I1310">
        <v>53</v>
      </c>
      <c r="J1310">
        <v>1</v>
      </c>
      <c r="K1310" t="s">
        <v>8131</v>
      </c>
    </row>
    <row r="1311" spans="1:11" x14ac:dyDescent="0.25">
      <c r="A1311" t="s">
        <v>4552</v>
      </c>
      <c r="B1311" t="s">
        <v>31</v>
      </c>
      <c r="C1311" t="s">
        <v>32</v>
      </c>
      <c r="D1311" t="s">
        <v>4553</v>
      </c>
      <c r="E1311" t="s">
        <v>14</v>
      </c>
      <c r="F1311" t="s">
        <v>15</v>
      </c>
      <c r="G1311">
        <v>15227</v>
      </c>
      <c r="H1311" t="s">
        <v>34</v>
      </c>
      <c r="I1311">
        <v>5</v>
      </c>
      <c r="J1311">
        <v>1</v>
      </c>
      <c r="K1311" t="s">
        <v>8131</v>
      </c>
    </row>
    <row r="1312" spans="1:11" x14ac:dyDescent="0.25">
      <c r="A1312" t="s">
        <v>4554</v>
      </c>
      <c r="B1312" t="s">
        <v>4555</v>
      </c>
      <c r="C1312" t="s">
        <v>4556</v>
      </c>
      <c r="D1312" t="s">
        <v>3991</v>
      </c>
      <c r="E1312" t="s">
        <v>14</v>
      </c>
      <c r="F1312" t="s">
        <v>15</v>
      </c>
      <c r="G1312">
        <v>15222</v>
      </c>
      <c r="H1312" t="s">
        <v>48</v>
      </c>
      <c r="I1312">
        <v>147</v>
      </c>
      <c r="J1312">
        <v>0</v>
      </c>
      <c r="K1312" t="s">
        <v>8133</v>
      </c>
    </row>
    <row r="1313" spans="1:11" x14ac:dyDescent="0.25">
      <c r="A1313" t="s">
        <v>4557</v>
      </c>
      <c r="B1313" t="s">
        <v>4558</v>
      </c>
      <c r="C1313" t="s">
        <v>4559</v>
      </c>
      <c r="D1313" t="s">
        <v>3980</v>
      </c>
      <c r="E1313" t="s">
        <v>14</v>
      </c>
      <c r="F1313" t="s">
        <v>15</v>
      </c>
      <c r="G1313">
        <v>15213</v>
      </c>
      <c r="H1313" t="s">
        <v>48</v>
      </c>
      <c r="I1313">
        <v>9</v>
      </c>
      <c r="J1313">
        <v>0</v>
      </c>
      <c r="K1313" t="s">
        <v>8131</v>
      </c>
    </row>
    <row r="1314" spans="1:11" x14ac:dyDescent="0.25">
      <c r="A1314" t="s">
        <v>4560</v>
      </c>
      <c r="B1314" t="s">
        <v>4561</v>
      </c>
      <c r="C1314" t="s">
        <v>4562</v>
      </c>
      <c r="D1314" t="s">
        <v>4563</v>
      </c>
      <c r="E1314" t="s">
        <v>14</v>
      </c>
      <c r="F1314" t="s">
        <v>15</v>
      </c>
      <c r="G1314">
        <v>15203</v>
      </c>
      <c r="H1314" t="s">
        <v>16</v>
      </c>
      <c r="I1314">
        <v>34</v>
      </c>
      <c r="J1314">
        <v>1</v>
      </c>
      <c r="K1314" t="s">
        <v>8131</v>
      </c>
    </row>
    <row r="1315" spans="1:11" x14ac:dyDescent="0.25">
      <c r="A1315" t="s">
        <v>4564</v>
      </c>
      <c r="B1315" t="s">
        <v>4565</v>
      </c>
      <c r="C1315" t="s">
        <v>155</v>
      </c>
      <c r="D1315" t="s">
        <v>4566</v>
      </c>
      <c r="E1315" t="s">
        <v>14</v>
      </c>
      <c r="F1315" t="s">
        <v>15</v>
      </c>
      <c r="G1315">
        <v>15213</v>
      </c>
      <c r="H1315" t="s">
        <v>113</v>
      </c>
      <c r="I1315">
        <v>9</v>
      </c>
      <c r="J1315">
        <v>1</v>
      </c>
      <c r="K1315" t="s">
        <v>8120</v>
      </c>
    </row>
    <row r="1316" spans="1:11" x14ac:dyDescent="0.25">
      <c r="A1316" t="s">
        <v>4567</v>
      </c>
      <c r="B1316" t="s">
        <v>4568</v>
      </c>
      <c r="C1316" t="s">
        <v>4569</v>
      </c>
      <c r="D1316" t="s">
        <v>4570</v>
      </c>
      <c r="E1316" t="s">
        <v>14</v>
      </c>
      <c r="F1316" t="s">
        <v>15</v>
      </c>
      <c r="G1316">
        <v>15206</v>
      </c>
      <c r="H1316" t="s">
        <v>48</v>
      </c>
      <c r="I1316">
        <v>131</v>
      </c>
      <c r="J1316">
        <v>1</v>
      </c>
      <c r="K1316" t="s">
        <v>8131</v>
      </c>
    </row>
    <row r="1317" spans="1:11" x14ac:dyDescent="0.25">
      <c r="A1317" t="s">
        <v>4571</v>
      </c>
      <c r="B1317" t="s">
        <v>4572</v>
      </c>
      <c r="C1317" t="s">
        <v>4573</v>
      </c>
      <c r="D1317" t="s">
        <v>4574</v>
      </c>
      <c r="E1317" t="s">
        <v>14</v>
      </c>
      <c r="F1317" t="s">
        <v>15</v>
      </c>
      <c r="G1317">
        <v>15235</v>
      </c>
      <c r="H1317" t="s">
        <v>92</v>
      </c>
      <c r="I1317">
        <v>6</v>
      </c>
      <c r="J1317">
        <v>1</v>
      </c>
      <c r="K1317" t="s">
        <v>8131</v>
      </c>
    </row>
    <row r="1318" spans="1:11" x14ac:dyDescent="0.25">
      <c r="A1318" t="s">
        <v>4575</v>
      </c>
      <c r="B1318" t="s">
        <v>1664</v>
      </c>
      <c r="C1318" t="s">
        <v>4576</v>
      </c>
      <c r="D1318" t="s">
        <v>4577</v>
      </c>
      <c r="E1318" t="s">
        <v>14</v>
      </c>
      <c r="F1318" t="s">
        <v>15</v>
      </c>
      <c r="G1318">
        <v>15222</v>
      </c>
      <c r="H1318" t="s">
        <v>48</v>
      </c>
      <c r="I1318">
        <v>46</v>
      </c>
      <c r="J1318">
        <v>1</v>
      </c>
      <c r="K1318" t="s">
        <v>8131</v>
      </c>
    </row>
    <row r="1319" spans="1:11" x14ac:dyDescent="0.25">
      <c r="A1319" t="s">
        <v>4578</v>
      </c>
      <c r="B1319" t="s">
        <v>4579</v>
      </c>
      <c r="C1319" t="s">
        <v>4580</v>
      </c>
      <c r="D1319" t="s">
        <v>4581</v>
      </c>
      <c r="E1319" t="s">
        <v>14</v>
      </c>
      <c r="F1319" t="s">
        <v>15</v>
      </c>
      <c r="G1319">
        <v>15203</v>
      </c>
      <c r="H1319" t="s">
        <v>21</v>
      </c>
      <c r="I1319">
        <v>157</v>
      </c>
      <c r="J1319">
        <v>1</v>
      </c>
      <c r="K1319" t="s">
        <v>8121</v>
      </c>
    </row>
    <row r="1320" spans="1:11" x14ac:dyDescent="0.25">
      <c r="A1320" t="s">
        <v>4582</v>
      </c>
      <c r="B1320" t="s">
        <v>963</v>
      </c>
      <c r="C1320" t="s">
        <v>4583</v>
      </c>
      <c r="D1320" t="s">
        <v>4584</v>
      </c>
      <c r="E1320" t="s">
        <v>14</v>
      </c>
      <c r="F1320" t="s">
        <v>15</v>
      </c>
      <c r="G1320">
        <v>15213</v>
      </c>
      <c r="H1320" t="s">
        <v>48</v>
      </c>
      <c r="I1320">
        <v>127</v>
      </c>
      <c r="J1320">
        <v>1</v>
      </c>
      <c r="K1320" t="s">
        <v>8121</v>
      </c>
    </row>
    <row r="1321" spans="1:11" x14ac:dyDescent="0.25">
      <c r="A1321" t="e">
        <f>-m3VtLuy5sEzpJoOU5zYUg</f>
        <v>#NAME?</v>
      </c>
      <c r="B1321" t="s">
        <v>4585</v>
      </c>
      <c r="C1321" t="s">
        <v>419</v>
      </c>
      <c r="D1321" t="s">
        <v>4586</v>
      </c>
      <c r="E1321" t="s">
        <v>14</v>
      </c>
      <c r="F1321" t="s">
        <v>15</v>
      </c>
      <c r="G1321">
        <v>15238</v>
      </c>
      <c r="H1321" t="s">
        <v>21</v>
      </c>
      <c r="I1321">
        <v>3</v>
      </c>
      <c r="J1321">
        <v>1</v>
      </c>
      <c r="K1321" t="s">
        <v>8131</v>
      </c>
    </row>
    <row r="1322" spans="1:11" x14ac:dyDescent="0.25">
      <c r="A1322" t="s">
        <v>4587</v>
      </c>
      <c r="B1322" t="s">
        <v>4588</v>
      </c>
      <c r="C1322" t="s">
        <v>244</v>
      </c>
      <c r="D1322" t="s">
        <v>2259</v>
      </c>
      <c r="E1322" t="s">
        <v>14</v>
      </c>
      <c r="F1322" t="s">
        <v>15</v>
      </c>
      <c r="G1322">
        <v>15205</v>
      </c>
      <c r="H1322" t="s">
        <v>16</v>
      </c>
      <c r="I1322">
        <v>8</v>
      </c>
      <c r="J1322">
        <v>1</v>
      </c>
      <c r="K1322" t="s">
        <v>8131</v>
      </c>
    </row>
    <row r="1323" spans="1:11" x14ac:dyDescent="0.25">
      <c r="A1323" t="s">
        <v>4589</v>
      </c>
      <c r="B1323" t="s">
        <v>4356</v>
      </c>
      <c r="C1323" t="s">
        <v>1464</v>
      </c>
      <c r="D1323" t="s">
        <v>4590</v>
      </c>
      <c r="E1323" t="s">
        <v>14</v>
      </c>
      <c r="F1323" t="s">
        <v>15</v>
      </c>
      <c r="G1323">
        <v>15227</v>
      </c>
      <c r="H1323" t="s">
        <v>48</v>
      </c>
      <c r="I1323">
        <v>8</v>
      </c>
      <c r="J1323">
        <v>1</v>
      </c>
      <c r="K1323" t="s">
        <v>8131</v>
      </c>
    </row>
    <row r="1324" spans="1:11" x14ac:dyDescent="0.25">
      <c r="A1324" t="s">
        <v>4591</v>
      </c>
      <c r="B1324" t="s">
        <v>2439</v>
      </c>
      <c r="C1324" t="s">
        <v>4592</v>
      </c>
      <c r="D1324" t="s">
        <v>4593</v>
      </c>
      <c r="E1324" t="s">
        <v>14</v>
      </c>
      <c r="F1324" t="s">
        <v>15</v>
      </c>
      <c r="G1324">
        <v>15229</v>
      </c>
      <c r="H1324" t="s">
        <v>21</v>
      </c>
      <c r="I1324">
        <v>20</v>
      </c>
      <c r="J1324">
        <v>1</v>
      </c>
      <c r="K1324" t="s">
        <v>8131</v>
      </c>
    </row>
    <row r="1325" spans="1:11" x14ac:dyDescent="0.25">
      <c r="A1325" t="s">
        <v>4594</v>
      </c>
      <c r="B1325" t="s">
        <v>2755</v>
      </c>
      <c r="C1325" t="s">
        <v>228</v>
      </c>
      <c r="D1325" t="s">
        <v>4595</v>
      </c>
      <c r="E1325" t="s">
        <v>14</v>
      </c>
      <c r="F1325" t="s">
        <v>15</v>
      </c>
      <c r="G1325">
        <v>15202</v>
      </c>
      <c r="H1325" t="s">
        <v>157</v>
      </c>
      <c r="I1325">
        <v>10</v>
      </c>
      <c r="J1325">
        <v>1</v>
      </c>
      <c r="K1325" t="s">
        <v>8131</v>
      </c>
    </row>
    <row r="1326" spans="1:11" x14ac:dyDescent="0.25">
      <c r="A1326" t="s">
        <v>4596</v>
      </c>
      <c r="B1326" t="s">
        <v>4597</v>
      </c>
      <c r="C1326" t="s">
        <v>2044</v>
      </c>
      <c r="D1326" t="s">
        <v>4598</v>
      </c>
      <c r="E1326" t="s">
        <v>14</v>
      </c>
      <c r="F1326" t="s">
        <v>15</v>
      </c>
      <c r="G1326">
        <v>15205</v>
      </c>
      <c r="H1326" t="s">
        <v>157</v>
      </c>
      <c r="I1326">
        <v>31</v>
      </c>
      <c r="J1326">
        <v>1</v>
      </c>
      <c r="K1326" t="s">
        <v>8131</v>
      </c>
    </row>
    <row r="1327" spans="1:11" x14ac:dyDescent="0.25">
      <c r="A1327" t="s">
        <v>4599</v>
      </c>
      <c r="B1327" t="s">
        <v>282</v>
      </c>
      <c r="C1327" t="s">
        <v>4600</v>
      </c>
      <c r="D1327" t="s">
        <v>4601</v>
      </c>
      <c r="E1327" t="s">
        <v>14</v>
      </c>
      <c r="F1327" t="s">
        <v>15</v>
      </c>
      <c r="G1327">
        <v>15210</v>
      </c>
      <c r="H1327" t="s">
        <v>34</v>
      </c>
      <c r="I1327">
        <v>15</v>
      </c>
      <c r="J1327">
        <v>1</v>
      </c>
      <c r="K1327" t="s">
        <v>8124</v>
      </c>
    </row>
    <row r="1328" spans="1:11" x14ac:dyDescent="0.25">
      <c r="A1328" t="s">
        <v>4602</v>
      </c>
      <c r="B1328" t="s">
        <v>4603</v>
      </c>
      <c r="C1328" t="s">
        <v>4604</v>
      </c>
      <c r="D1328" t="s">
        <v>4605</v>
      </c>
      <c r="E1328" t="s">
        <v>14</v>
      </c>
      <c r="F1328" t="s">
        <v>15</v>
      </c>
      <c r="G1328">
        <v>15231</v>
      </c>
      <c r="H1328" t="s">
        <v>48</v>
      </c>
      <c r="I1328">
        <v>70</v>
      </c>
      <c r="J1328">
        <v>0</v>
      </c>
      <c r="K1328" t="s">
        <v>8122</v>
      </c>
    </row>
    <row r="1329" spans="1:11" x14ac:dyDescent="0.25">
      <c r="A1329" t="s">
        <v>4606</v>
      </c>
      <c r="B1329" t="s">
        <v>4607</v>
      </c>
      <c r="C1329" t="s">
        <v>4608</v>
      </c>
      <c r="D1329" t="s">
        <v>4609</v>
      </c>
      <c r="E1329" t="s">
        <v>14</v>
      </c>
      <c r="F1329" t="s">
        <v>15</v>
      </c>
      <c r="G1329">
        <v>15213</v>
      </c>
      <c r="H1329" t="s">
        <v>34</v>
      </c>
      <c r="I1329">
        <v>34</v>
      </c>
      <c r="J1329">
        <v>1</v>
      </c>
      <c r="K1329" t="s">
        <v>8131</v>
      </c>
    </row>
    <row r="1330" spans="1:11" x14ac:dyDescent="0.25">
      <c r="A1330" t="s">
        <v>4610</v>
      </c>
      <c r="B1330" t="s">
        <v>1229</v>
      </c>
      <c r="C1330" t="s">
        <v>4611</v>
      </c>
      <c r="D1330" t="s">
        <v>2412</v>
      </c>
      <c r="E1330" t="s">
        <v>14</v>
      </c>
      <c r="F1330" t="s">
        <v>15</v>
      </c>
      <c r="G1330">
        <v>15217</v>
      </c>
      <c r="H1330" t="s">
        <v>34</v>
      </c>
      <c r="I1330">
        <v>12</v>
      </c>
      <c r="J1330">
        <v>0</v>
      </c>
      <c r="K1330" t="s">
        <v>8131</v>
      </c>
    </row>
    <row r="1331" spans="1:11" x14ac:dyDescent="0.25">
      <c r="A1331" t="s">
        <v>4612</v>
      </c>
      <c r="B1331" t="s">
        <v>4613</v>
      </c>
      <c r="C1331" t="s">
        <v>4614</v>
      </c>
      <c r="D1331" t="s">
        <v>4615</v>
      </c>
      <c r="E1331" t="s">
        <v>14</v>
      </c>
      <c r="F1331" t="s">
        <v>15</v>
      </c>
      <c r="G1331">
        <v>15224</v>
      </c>
      <c r="H1331" t="s">
        <v>48</v>
      </c>
      <c r="I1331">
        <v>223</v>
      </c>
      <c r="J1331">
        <v>1</v>
      </c>
      <c r="K1331" t="s">
        <v>8131</v>
      </c>
    </row>
    <row r="1332" spans="1:11" x14ac:dyDescent="0.25">
      <c r="A1332" t="s">
        <v>4616</v>
      </c>
      <c r="B1332" t="s">
        <v>4617</v>
      </c>
      <c r="C1332" t="s">
        <v>4618</v>
      </c>
      <c r="D1332" t="s">
        <v>4619</v>
      </c>
      <c r="E1332" t="s">
        <v>14</v>
      </c>
      <c r="F1332" t="s">
        <v>15</v>
      </c>
      <c r="G1332">
        <v>15224</v>
      </c>
      <c r="H1332" t="s">
        <v>16</v>
      </c>
      <c r="I1332">
        <v>383</v>
      </c>
      <c r="J1332">
        <v>1</v>
      </c>
      <c r="K1332" t="s">
        <v>8131</v>
      </c>
    </row>
    <row r="1333" spans="1:11" x14ac:dyDescent="0.25">
      <c r="A1333" t="s">
        <v>4620</v>
      </c>
      <c r="B1333" t="s">
        <v>4621</v>
      </c>
      <c r="C1333" t="s">
        <v>4622</v>
      </c>
      <c r="D1333" t="s">
        <v>1533</v>
      </c>
      <c r="E1333" t="s">
        <v>14</v>
      </c>
      <c r="F1333" t="s">
        <v>15</v>
      </c>
      <c r="G1333">
        <v>15205</v>
      </c>
      <c r="H1333" t="s">
        <v>21</v>
      </c>
      <c r="I1333">
        <v>16</v>
      </c>
      <c r="J1333">
        <v>1</v>
      </c>
      <c r="K1333" t="s">
        <v>8131</v>
      </c>
    </row>
    <row r="1334" spans="1:11" x14ac:dyDescent="0.25">
      <c r="A1334" t="s">
        <v>4623</v>
      </c>
      <c r="B1334" t="s">
        <v>4624</v>
      </c>
      <c r="C1334" t="s">
        <v>4625</v>
      </c>
      <c r="D1334" t="s">
        <v>4626</v>
      </c>
      <c r="E1334" t="s">
        <v>14</v>
      </c>
      <c r="F1334" t="s">
        <v>15</v>
      </c>
      <c r="G1334">
        <v>15207</v>
      </c>
      <c r="H1334" t="s">
        <v>16</v>
      </c>
      <c r="I1334">
        <v>180</v>
      </c>
      <c r="J1334">
        <v>1</v>
      </c>
      <c r="K1334" t="s">
        <v>8131</v>
      </c>
    </row>
    <row r="1335" spans="1:11" x14ac:dyDescent="0.25">
      <c r="A1335" t="s">
        <v>4627</v>
      </c>
      <c r="B1335" t="s">
        <v>1839</v>
      </c>
      <c r="C1335" t="s">
        <v>4628</v>
      </c>
      <c r="D1335" t="s">
        <v>998</v>
      </c>
      <c r="E1335" t="s">
        <v>14</v>
      </c>
      <c r="F1335" t="s">
        <v>15</v>
      </c>
      <c r="G1335">
        <v>15222</v>
      </c>
      <c r="H1335" t="s">
        <v>34</v>
      </c>
      <c r="I1335">
        <v>12</v>
      </c>
      <c r="J1335">
        <v>1</v>
      </c>
      <c r="K1335" t="s">
        <v>8126</v>
      </c>
    </row>
    <row r="1336" spans="1:11" x14ac:dyDescent="0.25">
      <c r="A1336" t="s">
        <v>4629</v>
      </c>
      <c r="B1336" t="s">
        <v>1606</v>
      </c>
      <c r="C1336" t="s">
        <v>4630</v>
      </c>
      <c r="D1336" t="s">
        <v>3983</v>
      </c>
      <c r="E1336" t="s">
        <v>14</v>
      </c>
      <c r="F1336" t="s">
        <v>15</v>
      </c>
      <c r="G1336">
        <v>15220</v>
      </c>
      <c r="H1336" t="s">
        <v>16</v>
      </c>
      <c r="I1336">
        <v>63</v>
      </c>
      <c r="J1336">
        <v>1</v>
      </c>
      <c r="K1336" t="s">
        <v>8124</v>
      </c>
    </row>
    <row r="1337" spans="1:11" x14ac:dyDescent="0.25">
      <c r="A1337" t="s">
        <v>4631</v>
      </c>
      <c r="B1337" t="s">
        <v>4632</v>
      </c>
      <c r="C1337" t="s">
        <v>4633</v>
      </c>
      <c r="D1337" t="s">
        <v>814</v>
      </c>
      <c r="E1337" t="s">
        <v>14</v>
      </c>
      <c r="F1337" t="s">
        <v>15</v>
      </c>
      <c r="G1337">
        <v>15212</v>
      </c>
      <c r="H1337" t="s">
        <v>48</v>
      </c>
      <c r="I1337">
        <v>145</v>
      </c>
      <c r="J1337">
        <v>1</v>
      </c>
      <c r="K1337" t="s">
        <v>8131</v>
      </c>
    </row>
    <row r="1338" spans="1:11" x14ac:dyDescent="0.25">
      <c r="A1338" t="s">
        <v>4634</v>
      </c>
      <c r="B1338" t="s">
        <v>451</v>
      </c>
      <c r="C1338" t="s">
        <v>4635</v>
      </c>
      <c r="D1338" t="s">
        <v>4636</v>
      </c>
      <c r="E1338" t="s">
        <v>14</v>
      </c>
      <c r="F1338" t="s">
        <v>15</v>
      </c>
      <c r="G1338">
        <v>15238</v>
      </c>
      <c r="H1338" t="s">
        <v>16</v>
      </c>
      <c r="I1338">
        <v>5</v>
      </c>
      <c r="J1338">
        <v>1</v>
      </c>
      <c r="K1338" t="s">
        <v>8120</v>
      </c>
    </row>
    <row r="1339" spans="1:11" x14ac:dyDescent="0.25">
      <c r="A1339" t="e">
        <f>-LiVt5oFhC-AA4nCH77DjQ</f>
        <v>#NAME?</v>
      </c>
      <c r="B1339" t="s">
        <v>36</v>
      </c>
      <c r="C1339" t="s">
        <v>4637</v>
      </c>
      <c r="D1339" t="s">
        <v>4638</v>
      </c>
      <c r="E1339" t="s">
        <v>14</v>
      </c>
      <c r="F1339" t="s">
        <v>15</v>
      </c>
      <c r="G1339">
        <v>15241</v>
      </c>
      <c r="H1339" t="s">
        <v>21</v>
      </c>
      <c r="I1339">
        <v>7</v>
      </c>
      <c r="J1339">
        <v>0</v>
      </c>
      <c r="K1339" t="s">
        <v>8131</v>
      </c>
    </row>
    <row r="1340" spans="1:11" x14ac:dyDescent="0.25">
      <c r="A1340" t="s">
        <v>4639</v>
      </c>
      <c r="B1340" t="s">
        <v>4640</v>
      </c>
      <c r="C1340" t="s">
        <v>4641</v>
      </c>
      <c r="D1340" t="s">
        <v>4642</v>
      </c>
      <c r="E1340" t="s">
        <v>14</v>
      </c>
      <c r="F1340" t="s">
        <v>15</v>
      </c>
      <c r="G1340">
        <v>15211</v>
      </c>
      <c r="H1340" t="s">
        <v>21</v>
      </c>
      <c r="I1340">
        <v>132</v>
      </c>
      <c r="J1340">
        <v>1</v>
      </c>
      <c r="K1340" t="s">
        <v>8131</v>
      </c>
    </row>
    <row r="1341" spans="1:11" x14ac:dyDescent="0.25">
      <c r="A1341" t="s">
        <v>4643</v>
      </c>
      <c r="B1341" t="s">
        <v>274</v>
      </c>
      <c r="C1341" t="s">
        <v>4644</v>
      </c>
      <c r="D1341" t="s">
        <v>4645</v>
      </c>
      <c r="E1341" t="s">
        <v>14</v>
      </c>
      <c r="F1341" t="s">
        <v>15</v>
      </c>
      <c r="G1341">
        <v>15222</v>
      </c>
      <c r="H1341" t="s">
        <v>21</v>
      </c>
      <c r="I1341">
        <v>33</v>
      </c>
      <c r="J1341">
        <v>0</v>
      </c>
      <c r="K1341" t="s">
        <v>8120</v>
      </c>
    </row>
    <row r="1342" spans="1:11" x14ac:dyDescent="0.25">
      <c r="A1342" t="s">
        <v>4646</v>
      </c>
      <c r="B1342" t="s">
        <v>4647</v>
      </c>
      <c r="C1342" t="s">
        <v>2580</v>
      </c>
      <c r="D1342" t="s">
        <v>4648</v>
      </c>
      <c r="E1342" t="s">
        <v>14</v>
      </c>
      <c r="F1342" t="s">
        <v>15</v>
      </c>
      <c r="G1342">
        <v>15275</v>
      </c>
      <c r="H1342" t="s">
        <v>16</v>
      </c>
      <c r="I1342">
        <v>39</v>
      </c>
      <c r="J1342">
        <v>1</v>
      </c>
      <c r="K1342" t="s">
        <v>8131</v>
      </c>
    </row>
    <row r="1343" spans="1:11" x14ac:dyDescent="0.25">
      <c r="A1343" t="s">
        <v>4649</v>
      </c>
      <c r="B1343" t="s">
        <v>4650</v>
      </c>
      <c r="C1343" t="s">
        <v>4651</v>
      </c>
      <c r="D1343" t="s">
        <v>4652</v>
      </c>
      <c r="E1343" t="s">
        <v>14</v>
      </c>
      <c r="F1343" t="s">
        <v>15</v>
      </c>
      <c r="G1343">
        <v>15224</v>
      </c>
      <c r="H1343" t="s">
        <v>48</v>
      </c>
      <c r="I1343">
        <v>4</v>
      </c>
      <c r="J1343">
        <v>1</v>
      </c>
      <c r="K1343" t="s">
        <v>8131</v>
      </c>
    </row>
    <row r="1344" spans="1:11" x14ac:dyDescent="0.25">
      <c r="A1344" t="s">
        <v>4653</v>
      </c>
      <c r="B1344" t="s">
        <v>4654</v>
      </c>
      <c r="C1344" t="s">
        <v>4655</v>
      </c>
      <c r="D1344" t="s">
        <v>4656</v>
      </c>
      <c r="E1344" t="s">
        <v>14</v>
      </c>
      <c r="F1344" t="s">
        <v>15</v>
      </c>
      <c r="G1344">
        <v>15224</v>
      </c>
      <c r="H1344" t="s">
        <v>16</v>
      </c>
      <c r="I1344">
        <v>244</v>
      </c>
      <c r="J1344">
        <v>1</v>
      </c>
      <c r="K1344" t="s">
        <v>8131</v>
      </c>
    </row>
    <row r="1345" spans="1:11" x14ac:dyDescent="0.25">
      <c r="A1345" t="s">
        <v>4657</v>
      </c>
      <c r="B1345" t="s">
        <v>4658</v>
      </c>
      <c r="C1345" t="s">
        <v>4659</v>
      </c>
      <c r="D1345" t="s">
        <v>4660</v>
      </c>
      <c r="E1345" t="s">
        <v>14</v>
      </c>
      <c r="F1345" t="s">
        <v>15</v>
      </c>
      <c r="G1345">
        <v>15211</v>
      </c>
      <c r="H1345" t="s">
        <v>16</v>
      </c>
      <c r="I1345">
        <v>408</v>
      </c>
      <c r="J1345">
        <v>1</v>
      </c>
      <c r="K1345" t="s">
        <v>8131</v>
      </c>
    </row>
    <row r="1346" spans="1:11" x14ac:dyDescent="0.25">
      <c r="A1346" t="s">
        <v>4661</v>
      </c>
      <c r="B1346" t="s">
        <v>4662</v>
      </c>
      <c r="C1346" t="s">
        <v>4663</v>
      </c>
      <c r="D1346" t="s">
        <v>4664</v>
      </c>
      <c r="E1346" t="s">
        <v>14</v>
      </c>
      <c r="F1346" t="s">
        <v>15</v>
      </c>
      <c r="G1346">
        <v>15218</v>
      </c>
      <c r="H1346" t="s">
        <v>21</v>
      </c>
      <c r="I1346">
        <v>355</v>
      </c>
      <c r="J1346">
        <v>1</v>
      </c>
      <c r="K1346" t="s">
        <v>8131</v>
      </c>
    </row>
    <row r="1347" spans="1:11" x14ac:dyDescent="0.25">
      <c r="A1347" t="s">
        <v>4665</v>
      </c>
      <c r="B1347" t="s">
        <v>4666</v>
      </c>
      <c r="C1347" t="s">
        <v>4667</v>
      </c>
      <c r="D1347" t="s">
        <v>4668</v>
      </c>
      <c r="E1347" t="s">
        <v>14</v>
      </c>
      <c r="F1347" t="s">
        <v>15</v>
      </c>
      <c r="G1347">
        <v>15219</v>
      </c>
      <c r="H1347" t="s">
        <v>21</v>
      </c>
      <c r="I1347">
        <v>15</v>
      </c>
      <c r="J1347">
        <v>1</v>
      </c>
      <c r="K1347" t="s">
        <v>8131</v>
      </c>
    </row>
    <row r="1348" spans="1:11" x14ac:dyDescent="0.25">
      <c r="A1348" t="s">
        <v>4669</v>
      </c>
      <c r="B1348" t="s">
        <v>239</v>
      </c>
      <c r="C1348" t="s">
        <v>3158</v>
      </c>
      <c r="D1348" t="s">
        <v>953</v>
      </c>
      <c r="E1348" t="s">
        <v>14</v>
      </c>
      <c r="F1348" t="s">
        <v>15</v>
      </c>
      <c r="G1348">
        <v>15216</v>
      </c>
      <c r="H1348" t="s">
        <v>16</v>
      </c>
      <c r="I1348">
        <v>80</v>
      </c>
      <c r="J1348">
        <v>0</v>
      </c>
      <c r="K1348" t="s">
        <v>8122</v>
      </c>
    </row>
    <row r="1349" spans="1:11" x14ac:dyDescent="0.25">
      <c r="A1349" t="s">
        <v>4670</v>
      </c>
      <c r="B1349" t="s">
        <v>36</v>
      </c>
      <c r="C1349" t="s">
        <v>4671</v>
      </c>
      <c r="D1349" t="s">
        <v>4672</v>
      </c>
      <c r="E1349" t="s">
        <v>14</v>
      </c>
      <c r="F1349" t="s">
        <v>15</v>
      </c>
      <c r="G1349">
        <v>15227</v>
      </c>
      <c r="H1349" t="s">
        <v>43</v>
      </c>
      <c r="I1349">
        <v>3</v>
      </c>
      <c r="J1349">
        <v>1</v>
      </c>
      <c r="K1349" t="s">
        <v>8131</v>
      </c>
    </row>
    <row r="1350" spans="1:11" x14ac:dyDescent="0.25">
      <c r="A1350" t="s">
        <v>4673</v>
      </c>
      <c r="B1350" t="s">
        <v>4674</v>
      </c>
      <c r="C1350" t="s">
        <v>4675</v>
      </c>
      <c r="D1350" t="s">
        <v>1189</v>
      </c>
      <c r="E1350" t="s">
        <v>14</v>
      </c>
      <c r="F1350" t="s">
        <v>15</v>
      </c>
      <c r="G1350">
        <v>15203</v>
      </c>
      <c r="H1350" t="s">
        <v>48</v>
      </c>
      <c r="I1350">
        <v>3</v>
      </c>
      <c r="J1350">
        <v>0</v>
      </c>
      <c r="K1350" t="s">
        <v>8131</v>
      </c>
    </row>
    <row r="1351" spans="1:11" x14ac:dyDescent="0.25">
      <c r="A1351" t="s">
        <v>4676</v>
      </c>
      <c r="B1351" t="s">
        <v>4677</v>
      </c>
      <c r="C1351" t="s">
        <v>4678</v>
      </c>
      <c r="D1351" t="s">
        <v>4679</v>
      </c>
      <c r="E1351" t="s">
        <v>14</v>
      </c>
      <c r="F1351" t="s">
        <v>15</v>
      </c>
      <c r="G1351">
        <v>15203</v>
      </c>
      <c r="H1351" t="s">
        <v>16</v>
      </c>
      <c r="I1351">
        <v>57</v>
      </c>
      <c r="J1351">
        <v>1</v>
      </c>
      <c r="K1351" t="s">
        <v>8131</v>
      </c>
    </row>
    <row r="1352" spans="1:11" x14ac:dyDescent="0.25">
      <c r="A1352" t="s">
        <v>4680</v>
      </c>
      <c r="B1352" t="s">
        <v>4681</v>
      </c>
      <c r="C1352" t="s">
        <v>4682</v>
      </c>
      <c r="D1352" t="s">
        <v>4683</v>
      </c>
      <c r="E1352" t="s">
        <v>14</v>
      </c>
      <c r="F1352" t="s">
        <v>15</v>
      </c>
      <c r="G1352">
        <v>15222</v>
      </c>
      <c r="H1352" t="s">
        <v>43</v>
      </c>
      <c r="I1352">
        <v>74</v>
      </c>
      <c r="J1352">
        <v>0</v>
      </c>
      <c r="K1352" t="s">
        <v>8131</v>
      </c>
    </row>
    <row r="1353" spans="1:11" x14ac:dyDescent="0.25">
      <c r="A1353" t="s">
        <v>4684</v>
      </c>
      <c r="B1353" t="s">
        <v>36</v>
      </c>
      <c r="C1353" t="s">
        <v>4685</v>
      </c>
      <c r="D1353" t="s">
        <v>4686</v>
      </c>
      <c r="E1353" t="s">
        <v>14</v>
      </c>
      <c r="F1353" t="s">
        <v>15</v>
      </c>
      <c r="G1353">
        <v>15220</v>
      </c>
      <c r="H1353" t="s">
        <v>21</v>
      </c>
      <c r="I1353">
        <v>9</v>
      </c>
      <c r="J1353">
        <v>1</v>
      </c>
      <c r="K1353" t="s">
        <v>8131</v>
      </c>
    </row>
    <row r="1354" spans="1:11" x14ac:dyDescent="0.25">
      <c r="A1354" t="s">
        <v>4687</v>
      </c>
      <c r="B1354" t="s">
        <v>4688</v>
      </c>
      <c r="C1354" t="s">
        <v>4689</v>
      </c>
      <c r="D1354" t="s">
        <v>4690</v>
      </c>
      <c r="E1354" t="s">
        <v>14</v>
      </c>
      <c r="F1354" t="s">
        <v>15</v>
      </c>
      <c r="G1354">
        <v>15235</v>
      </c>
      <c r="H1354" t="s">
        <v>48</v>
      </c>
      <c r="I1354">
        <v>14</v>
      </c>
      <c r="J1354">
        <v>1</v>
      </c>
      <c r="K1354" t="s">
        <v>8124</v>
      </c>
    </row>
    <row r="1355" spans="1:11" x14ac:dyDescent="0.25">
      <c r="A1355" t="s">
        <v>4691</v>
      </c>
      <c r="B1355" t="s">
        <v>239</v>
      </c>
      <c r="C1355" t="s">
        <v>2204</v>
      </c>
      <c r="D1355" t="s">
        <v>4692</v>
      </c>
      <c r="E1355" t="s">
        <v>14</v>
      </c>
      <c r="F1355" t="s">
        <v>15</v>
      </c>
      <c r="G1355">
        <v>15203</v>
      </c>
      <c r="H1355" t="s">
        <v>113</v>
      </c>
      <c r="I1355">
        <v>4</v>
      </c>
      <c r="J1355">
        <v>0</v>
      </c>
      <c r="K1355" t="s">
        <v>8122</v>
      </c>
    </row>
    <row r="1356" spans="1:11" x14ac:dyDescent="0.25">
      <c r="A1356" t="s">
        <v>4693</v>
      </c>
      <c r="B1356" t="s">
        <v>4694</v>
      </c>
      <c r="C1356" t="s">
        <v>4695</v>
      </c>
      <c r="D1356" t="s">
        <v>4696</v>
      </c>
      <c r="E1356" t="s">
        <v>14</v>
      </c>
      <c r="F1356" t="s">
        <v>15</v>
      </c>
      <c r="G1356">
        <v>15275</v>
      </c>
      <c r="H1356" t="s">
        <v>48</v>
      </c>
      <c r="I1356">
        <v>100</v>
      </c>
      <c r="J1356">
        <v>1</v>
      </c>
      <c r="K1356" t="s">
        <v>8133</v>
      </c>
    </row>
    <row r="1357" spans="1:11" x14ac:dyDescent="0.25">
      <c r="A1357" t="s">
        <v>4697</v>
      </c>
      <c r="B1357" t="s">
        <v>4698</v>
      </c>
      <c r="C1357" t="s">
        <v>4699</v>
      </c>
      <c r="D1357" t="s">
        <v>4700</v>
      </c>
      <c r="E1357" t="s">
        <v>14</v>
      </c>
      <c r="F1357" t="s">
        <v>15</v>
      </c>
      <c r="G1357">
        <v>15206</v>
      </c>
      <c r="H1357" t="s">
        <v>48</v>
      </c>
      <c r="I1357">
        <v>35</v>
      </c>
      <c r="J1357">
        <v>0</v>
      </c>
      <c r="K1357" t="s">
        <v>8131</v>
      </c>
    </row>
    <row r="1358" spans="1:11" x14ac:dyDescent="0.25">
      <c r="A1358" t="s">
        <v>4701</v>
      </c>
      <c r="B1358" t="s">
        <v>239</v>
      </c>
      <c r="C1358" t="s">
        <v>1978</v>
      </c>
      <c r="D1358" t="s">
        <v>4702</v>
      </c>
      <c r="E1358" t="s">
        <v>14</v>
      </c>
      <c r="F1358" t="s">
        <v>15</v>
      </c>
      <c r="G1358">
        <v>15201</v>
      </c>
      <c r="H1358" t="s">
        <v>21</v>
      </c>
      <c r="I1358">
        <v>6</v>
      </c>
      <c r="J1358">
        <v>0</v>
      </c>
      <c r="K1358" t="s">
        <v>8122</v>
      </c>
    </row>
    <row r="1359" spans="1:11" x14ac:dyDescent="0.25">
      <c r="A1359" t="s">
        <v>4703</v>
      </c>
      <c r="B1359" t="s">
        <v>4704</v>
      </c>
      <c r="C1359" t="s">
        <v>244</v>
      </c>
      <c r="D1359" t="s">
        <v>1234</v>
      </c>
      <c r="E1359" t="s">
        <v>14</v>
      </c>
      <c r="F1359" t="s">
        <v>15</v>
      </c>
      <c r="G1359">
        <v>15237</v>
      </c>
      <c r="H1359" t="s">
        <v>48</v>
      </c>
      <c r="I1359">
        <v>10</v>
      </c>
      <c r="J1359">
        <v>1</v>
      </c>
      <c r="K1359" t="s">
        <v>8131</v>
      </c>
    </row>
    <row r="1360" spans="1:11" x14ac:dyDescent="0.25">
      <c r="A1360" t="s">
        <v>4705</v>
      </c>
      <c r="B1360" t="s">
        <v>4706</v>
      </c>
      <c r="C1360" t="s">
        <v>4707</v>
      </c>
      <c r="D1360" t="s">
        <v>1234</v>
      </c>
      <c r="E1360" t="s">
        <v>14</v>
      </c>
      <c r="F1360" t="s">
        <v>15</v>
      </c>
      <c r="G1360">
        <v>15237</v>
      </c>
      <c r="H1360" t="s">
        <v>16</v>
      </c>
      <c r="I1360">
        <v>5</v>
      </c>
      <c r="J1360">
        <v>1</v>
      </c>
      <c r="K1360" t="s">
        <v>8131</v>
      </c>
    </row>
    <row r="1361" spans="1:11" x14ac:dyDescent="0.25">
      <c r="A1361" t="s">
        <v>4708</v>
      </c>
      <c r="B1361" t="s">
        <v>4709</v>
      </c>
      <c r="C1361" t="s">
        <v>419</v>
      </c>
      <c r="D1361" t="s">
        <v>4710</v>
      </c>
      <c r="E1361" t="s">
        <v>14</v>
      </c>
      <c r="F1361" t="s">
        <v>15</v>
      </c>
      <c r="G1361">
        <v>15202</v>
      </c>
      <c r="H1361" t="s">
        <v>34</v>
      </c>
      <c r="I1361">
        <v>13</v>
      </c>
      <c r="J1361">
        <v>1</v>
      </c>
      <c r="K1361" t="s">
        <v>8131</v>
      </c>
    </row>
    <row r="1362" spans="1:11" x14ac:dyDescent="0.25">
      <c r="A1362" t="s">
        <v>4711</v>
      </c>
      <c r="B1362" t="s">
        <v>1187</v>
      </c>
      <c r="C1362" t="s">
        <v>4712</v>
      </c>
      <c r="D1362" t="s">
        <v>4713</v>
      </c>
      <c r="E1362" t="s">
        <v>14</v>
      </c>
      <c r="F1362" t="s">
        <v>15</v>
      </c>
      <c r="G1362">
        <v>15235</v>
      </c>
      <c r="H1362" t="s">
        <v>48</v>
      </c>
      <c r="I1362">
        <v>148</v>
      </c>
      <c r="J1362">
        <v>1</v>
      </c>
      <c r="K1362" t="s">
        <v>8131</v>
      </c>
    </row>
    <row r="1363" spans="1:11" x14ac:dyDescent="0.25">
      <c r="A1363" t="s">
        <v>4714</v>
      </c>
      <c r="B1363" t="s">
        <v>451</v>
      </c>
      <c r="C1363" t="s">
        <v>4715</v>
      </c>
      <c r="D1363" t="s">
        <v>953</v>
      </c>
      <c r="E1363" t="s">
        <v>14</v>
      </c>
      <c r="F1363" t="s">
        <v>15</v>
      </c>
      <c r="G1363">
        <v>15216</v>
      </c>
      <c r="H1363" t="s">
        <v>21</v>
      </c>
      <c r="I1363">
        <v>8</v>
      </c>
      <c r="J1363">
        <v>0</v>
      </c>
      <c r="K1363" t="s">
        <v>8120</v>
      </c>
    </row>
    <row r="1364" spans="1:11" x14ac:dyDescent="0.25">
      <c r="A1364" t="s">
        <v>4716</v>
      </c>
      <c r="B1364" t="s">
        <v>4717</v>
      </c>
      <c r="C1364" t="s">
        <v>4718</v>
      </c>
      <c r="D1364" t="s">
        <v>4719</v>
      </c>
      <c r="E1364" t="s">
        <v>14</v>
      </c>
      <c r="F1364" t="s">
        <v>15</v>
      </c>
      <c r="G1364">
        <v>15229</v>
      </c>
      <c r="H1364" t="s">
        <v>48</v>
      </c>
      <c r="I1364">
        <v>3</v>
      </c>
      <c r="J1364">
        <v>0</v>
      </c>
      <c r="K1364" t="s">
        <v>8131</v>
      </c>
    </row>
    <row r="1365" spans="1:11" x14ac:dyDescent="0.25">
      <c r="A1365" t="s">
        <v>4720</v>
      </c>
      <c r="B1365" t="s">
        <v>4721</v>
      </c>
      <c r="C1365" t="s">
        <v>3946</v>
      </c>
      <c r="D1365" t="s">
        <v>4722</v>
      </c>
      <c r="E1365" t="s">
        <v>14</v>
      </c>
      <c r="F1365" t="s">
        <v>15</v>
      </c>
      <c r="G1365">
        <v>15237</v>
      </c>
      <c r="H1365" t="s">
        <v>34</v>
      </c>
      <c r="I1365">
        <v>31</v>
      </c>
      <c r="J1365">
        <v>0</v>
      </c>
      <c r="K1365" t="s">
        <v>8131</v>
      </c>
    </row>
    <row r="1366" spans="1:11" x14ac:dyDescent="0.25">
      <c r="A1366" t="s">
        <v>4723</v>
      </c>
      <c r="B1366" t="s">
        <v>4724</v>
      </c>
      <c r="C1366" t="s">
        <v>632</v>
      </c>
      <c r="D1366" t="s">
        <v>4725</v>
      </c>
      <c r="E1366" t="s">
        <v>14</v>
      </c>
      <c r="F1366" t="s">
        <v>15</v>
      </c>
      <c r="G1366">
        <v>15217</v>
      </c>
      <c r="H1366" t="s">
        <v>43</v>
      </c>
      <c r="I1366">
        <v>8</v>
      </c>
      <c r="J1366">
        <v>1</v>
      </c>
      <c r="K1366" t="s">
        <v>8131</v>
      </c>
    </row>
    <row r="1367" spans="1:11" x14ac:dyDescent="0.25">
      <c r="A1367" t="s">
        <v>4726</v>
      </c>
      <c r="B1367" t="s">
        <v>282</v>
      </c>
      <c r="C1367" t="s">
        <v>4727</v>
      </c>
      <c r="D1367" t="s">
        <v>4728</v>
      </c>
      <c r="E1367" t="s">
        <v>14</v>
      </c>
      <c r="F1367" t="s">
        <v>15</v>
      </c>
      <c r="G1367">
        <v>15210</v>
      </c>
      <c r="H1367" t="s">
        <v>48</v>
      </c>
      <c r="I1367">
        <v>4</v>
      </c>
      <c r="J1367">
        <v>0</v>
      </c>
      <c r="K1367" t="s">
        <v>8124</v>
      </c>
    </row>
    <row r="1368" spans="1:11" x14ac:dyDescent="0.25">
      <c r="A1368" t="s">
        <v>4729</v>
      </c>
      <c r="B1368" t="s">
        <v>4730</v>
      </c>
      <c r="C1368" t="s">
        <v>4731</v>
      </c>
      <c r="D1368" t="s">
        <v>4732</v>
      </c>
      <c r="E1368" t="s">
        <v>14</v>
      </c>
      <c r="F1368" t="s">
        <v>15</v>
      </c>
      <c r="G1368">
        <v>15222</v>
      </c>
      <c r="H1368" t="s">
        <v>48</v>
      </c>
      <c r="I1368">
        <v>3</v>
      </c>
      <c r="J1368">
        <v>0</v>
      </c>
      <c r="K1368" t="s">
        <v>8131</v>
      </c>
    </row>
    <row r="1369" spans="1:11" x14ac:dyDescent="0.25">
      <c r="A1369" t="s">
        <v>4733</v>
      </c>
      <c r="B1369" t="s">
        <v>4734</v>
      </c>
      <c r="C1369" t="s">
        <v>419</v>
      </c>
      <c r="D1369" t="s">
        <v>4735</v>
      </c>
      <c r="E1369" t="s">
        <v>14</v>
      </c>
      <c r="F1369" t="s">
        <v>15</v>
      </c>
      <c r="G1369">
        <v>15222</v>
      </c>
      <c r="H1369" t="s">
        <v>113</v>
      </c>
      <c r="I1369">
        <v>14</v>
      </c>
      <c r="J1369">
        <v>1</v>
      </c>
      <c r="K1369" t="s">
        <v>8131</v>
      </c>
    </row>
    <row r="1370" spans="1:11" x14ac:dyDescent="0.25">
      <c r="A1370" t="s">
        <v>4736</v>
      </c>
      <c r="B1370" t="s">
        <v>4737</v>
      </c>
      <c r="C1370" t="s">
        <v>155</v>
      </c>
      <c r="D1370" t="s">
        <v>4738</v>
      </c>
      <c r="E1370" t="s">
        <v>14</v>
      </c>
      <c r="F1370" t="s">
        <v>15</v>
      </c>
      <c r="G1370">
        <v>15203</v>
      </c>
      <c r="H1370" t="s">
        <v>113</v>
      </c>
      <c r="I1370">
        <v>16</v>
      </c>
      <c r="J1370">
        <v>1</v>
      </c>
      <c r="K1370" t="s">
        <v>8120</v>
      </c>
    </row>
    <row r="1371" spans="1:11" x14ac:dyDescent="0.25">
      <c r="A1371" t="s">
        <v>4739</v>
      </c>
      <c r="B1371" t="s">
        <v>27</v>
      </c>
      <c r="C1371" t="s">
        <v>4740</v>
      </c>
      <c r="D1371" t="s">
        <v>4741</v>
      </c>
      <c r="E1371" t="s">
        <v>14</v>
      </c>
      <c r="F1371" t="s">
        <v>15</v>
      </c>
      <c r="G1371">
        <v>15221</v>
      </c>
      <c r="H1371" t="s">
        <v>16</v>
      </c>
      <c r="I1371">
        <v>30</v>
      </c>
      <c r="J1371">
        <v>1</v>
      </c>
      <c r="K1371" t="s">
        <v>8118</v>
      </c>
    </row>
    <row r="1372" spans="1:11" x14ac:dyDescent="0.25">
      <c r="A1372" t="s">
        <v>4742</v>
      </c>
      <c r="B1372" t="s">
        <v>4743</v>
      </c>
      <c r="C1372" t="s">
        <v>4744</v>
      </c>
      <c r="D1372" t="s">
        <v>4745</v>
      </c>
      <c r="E1372" t="s">
        <v>14</v>
      </c>
      <c r="F1372" t="s">
        <v>15</v>
      </c>
      <c r="G1372">
        <v>15232</v>
      </c>
      <c r="H1372" t="s">
        <v>16</v>
      </c>
      <c r="I1372">
        <v>84</v>
      </c>
      <c r="J1372">
        <v>1</v>
      </c>
      <c r="K1372" t="s">
        <v>8121</v>
      </c>
    </row>
    <row r="1373" spans="1:11" x14ac:dyDescent="0.25">
      <c r="A1373" t="s">
        <v>4746</v>
      </c>
      <c r="B1373" t="s">
        <v>106</v>
      </c>
      <c r="C1373" t="s">
        <v>4747</v>
      </c>
      <c r="D1373" t="s">
        <v>4748</v>
      </c>
      <c r="E1373" t="s">
        <v>14</v>
      </c>
      <c r="F1373" t="s">
        <v>15</v>
      </c>
      <c r="G1373">
        <v>15205</v>
      </c>
      <c r="H1373" t="s">
        <v>48</v>
      </c>
      <c r="I1373">
        <v>109</v>
      </c>
      <c r="J1373">
        <v>1</v>
      </c>
      <c r="K1373" t="s">
        <v>8131</v>
      </c>
    </row>
    <row r="1374" spans="1:11" x14ac:dyDescent="0.25">
      <c r="A1374" t="s">
        <v>4749</v>
      </c>
      <c r="B1374" t="s">
        <v>4750</v>
      </c>
      <c r="C1374" t="s">
        <v>4751</v>
      </c>
      <c r="D1374" t="s">
        <v>4683</v>
      </c>
      <c r="E1374" t="s">
        <v>14</v>
      </c>
      <c r="F1374" t="s">
        <v>15</v>
      </c>
      <c r="G1374">
        <v>15222</v>
      </c>
      <c r="H1374" t="s">
        <v>34</v>
      </c>
      <c r="I1374">
        <v>8</v>
      </c>
      <c r="J1374">
        <v>0</v>
      </c>
      <c r="K1374" t="s">
        <v>8131</v>
      </c>
    </row>
    <row r="1375" spans="1:11" x14ac:dyDescent="0.25">
      <c r="A1375" t="s">
        <v>4752</v>
      </c>
      <c r="B1375" t="s">
        <v>4753</v>
      </c>
      <c r="C1375" t="s">
        <v>4754</v>
      </c>
      <c r="D1375" t="s">
        <v>4755</v>
      </c>
      <c r="E1375" t="s">
        <v>14</v>
      </c>
      <c r="F1375" t="s">
        <v>15</v>
      </c>
      <c r="G1375">
        <v>15222</v>
      </c>
      <c r="H1375" t="s">
        <v>21</v>
      </c>
      <c r="I1375">
        <v>433</v>
      </c>
      <c r="J1375">
        <v>1</v>
      </c>
      <c r="K1375" t="s">
        <v>8120</v>
      </c>
    </row>
    <row r="1376" spans="1:11" x14ac:dyDescent="0.25">
      <c r="A1376" t="s">
        <v>4756</v>
      </c>
      <c r="B1376" t="s">
        <v>4757</v>
      </c>
      <c r="C1376" t="s">
        <v>4758</v>
      </c>
      <c r="D1376" t="s">
        <v>2477</v>
      </c>
      <c r="E1376" t="s">
        <v>14</v>
      </c>
      <c r="F1376" t="s">
        <v>15</v>
      </c>
      <c r="G1376">
        <v>15277</v>
      </c>
      <c r="H1376" t="s">
        <v>16</v>
      </c>
      <c r="I1376">
        <v>120</v>
      </c>
      <c r="J1376">
        <v>0</v>
      </c>
      <c r="K1376" t="s">
        <v>8126</v>
      </c>
    </row>
    <row r="1377" spans="1:11" x14ac:dyDescent="0.25">
      <c r="A1377" t="s">
        <v>4759</v>
      </c>
      <c r="B1377" t="s">
        <v>4760</v>
      </c>
      <c r="C1377" t="s">
        <v>1009</v>
      </c>
      <c r="D1377" t="s">
        <v>4761</v>
      </c>
      <c r="E1377" t="s">
        <v>14</v>
      </c>
      <c r="F1377" t="s">
        <v>15</v>
      </c>
      <c r="G1377">
        <v>15232</v>
      </c>
      <c r="H1377" t="s">
        <v>48</v>
      </c>
      <c r="I1377">
        <v>341</v>
      </c>
      <c r="J1377">
        <v>1</v>
      </c>
      <c r="K1377" t="s">
        <v>8131</v>
      </c>
    </row>
    <row r="1378" spans="1:11" x14ac:dyDescent="0.25">
      <c r="A1378" t="s">
        <v>4762</v>
      </c>
      <c r="B1378" t="s">
        <v>274</v>
      </c>
      <c r="C1378" t="s">
        <v>4763</v>
      </c>
      <c r="D1378" t="s">
        <v>4764</v>
      </c>
      <c r="E1378" t="s">
        <v>14</v>
      </c>
      <c r="F1378" t="s">
        <v>15</v>
      </c>
      <c r="G1378">
        <v>15237</v>
      </c>
      <c r="H1378" t="s">
        <v>34</v>
      </c>
      <c r="I1378">
        <v>5</v>
      </c>
      <c r="J1378">
        <v>1</v>
      </c>
      <c r="K1378" t="s">
        <v>8120</v>
      </c>
    </row>
    <row r="1379" spans="1:11" x14ac:dyDescent="0.25">
      <c r="A1379" t="s">
        <v>4765</v>
      </c>
      <c r="B1379" t="s">
        <v>267</v>
      </c>
      <c r="C1379" t="s">
        <v>4766</v>
      </c>
      <c r="D1379" t="s">
        <v>4767</v>
      </c>
      <c r="E1379" t="s">
        <v>14</v>
      </c>
      <c r="F1379" t="s">
        <v>15</v>
      </c>
      <c r="G1379">
        <v>15203</v>
      </c>
      <c r="H1379" t="s">
        <v>113</v>
      </c>
      <c r="I1379">
        <v>12</v>
      </c>
      <c r="J1379">
        <v>1</v>
      </c>
      <c r="K1379" t="s">
        <v>8131</v>
      </c>
    </row>
    <row r="1380" spans="1:11" x14ac:dyDescent="0.25">
      <c r="A1380" t="s">
        <v>4768</v>
      </c>
      <c r="B1380" t="s">
        <v>4769</v>
      </c>
      <c r="C1380" t="s">
        <v>4770</v>
      </c>
      <c r="D1380" t="s">
        <v>4771</v>
      </c>
      <c r="E1380" t="s">
        <v>14</v>
      </c>
      <c r="F1380" t="s">
        <v>15</v>
      </c>
      <c r="G1380">
        <v>15222</v>
      </c>
      <c r="H1380" t="s">
        <v>21</v>
      </c>
      <c r="I1380">
        <v>196</v>
      </c>
      <c r="J1380">
        <v>1</v>
      </c>
      <c r="K1380" t="s">
        <v>8132</v>
      </c>
    </row>
    <row r="1381" spans="1:11" x14ac:dyDescent="0.25">
      <c r="A1381" t="s">
        <v>4772</v>
      </c>
      <c r="B1381" t="s">
        <v>4773</v>
      </c>
      <c r="C1381" t="s">
        <v>4774</v>
      </c>
      <c r="D1381" t="s">
        <v>4775</v>
      </c>
      <c r="E1381" t="s">
        <v>14</v>
      </c>
      <c r="F1381" t="s">
        <v>15</v>
      </c>
      <c r="G1381">
        <v>15222</v>
      </c>
      <c r="H1381" t="s">
        <v>16</v>
      </c>
      <c r="I1381">
        <v>31</v>
      </c>
      <c r="J1381">
        <v>0</v>
      </c>
      <c r="K1381" t="s">
        <v>8131</v>
      </c>
    </row>
    <row r="1382" spans="1:11" x14ac:dyDescent="0.25">
      <c r="A1382" t="s">
        <v>4776</v>
      </c>
      <c r="B1382" t="s">
        <v>920</v>
      </c>
      <c r="C1382" t="s">
        <v>4777</v>
      </c>
      <c r="D1382" t="s">
        <v>4778</v>
      </c>
      <c r="E1382" t="s">
        <v>14</v>
      </c>
      <c r="F1382" t="s">
        <v>15</v>
      </c>
      <c r="G1382">
        <v>15219</v>
      </c>
      <c r="H1382" t="s">
        <v>48</v>
      </c>
      <c r="I1382">
        <v>13</v>
      </c>
      <c r="J1382">
        <v>0</v>
      </c>
      <c r="K1382" t="s">
        <v>8131</v>
      </c>
    </row>
    <row r="1383" spans="1:11" x14ac:dyDescent="0.25">
      <c r="A1383" t="s">
        <v>4779</v>
      </c>
      <c r="B1383" t="s">
        <v>4780</v>
      </c>
      <c r="C1383" t="s">
        <v>4781</v>
      </c>
      <c r="D1383" t="s">
        <v>4782</v>
      </c>
      <c r="E1383" t="s">
        <v>14</v>
      </c>
      <c r="F1383" t="s">
        <v>15</v>
      </c>
      <c r="G1383">
        <v>15228</v>
      </c>
      <c r="H1383" t="s">
        <v>48</v>
      </c>
      <c r="I1383">
        <v>79</v>
      </c>
      <c r="J1383">
        <v>1</v>
      </c>
      <c r="K1383" t="s">
        <v>8131</v>
      </c>
    </row>
    <row r="1384" spans="1:11" x14ac:dyDescent="0.25">
      <c r="A1384" t="s">
        <v>4783</v>
      </c>
      <c r="B1384" t="s">
        <v>4784</v>
      </c>
      <c r="C1384" t="s">
        <v>4785</v>
      </c>
      <c r="D1384" t="s">
        <v>4786</v>
      </c>
      <c r="E1384" t="s">
        <v>14</v>
      </c>
      <c r="F1384" t="s">
        <v>15</v>
      </c>
      <c r="G1384">
        <v>15216</v>
      </c>
      <c r="H1384" t="s">
        <v>43</v>
      </c>
      <c r="I1384">
        <v>14</v>
      </c>
      <c r="J1384">
        <v>1</v>
      </c>
      <c r="K1384" t="s">
        <v>8131</v>
      </c>
    </row>
    <row r="1385" spans="1:11" x14ac:dyDescent="0.25">
      <c r="A1385" t="s">
        <v>4787</v>
      </c>
      <c r="B1385" t="s">
        <v>3259</v>
      </c>
      <c r="C1385" t="s">
        <v>2800</v>
      </c>
      <c r="D1385" t="s">
        <v>4782</v>
      </c>
      <c r="E1385" t="s">
        <v>14</v>
      </c>
      <c r="F1385" t="s">
        <v>15</v>
      </c>
      <c r="G1385">
        <v>15228</v>
      </c>
      <c r="H1385" t="s">
        <v>34</v>
      </c>
      <c r="I1385">
        <v>115</v>
      </c>
      <c r="J1385">
        <v>1</v>
      </c>
      <c r="K1385" t="s">
        <v>8131</v>
      </c>
    </row>
    <row r="1386" spans="1:11" x14ac:dyDescent="0.25">
      <c r="A1386" t="s">
        <v>4788</v>
      </c>
      <c r="B1386" t="s">
        <v>4789</v>
      </c>
      <c r="C1386" t="s">
        <v>4790</v>
      </c>
      <c r="D1386" t="s">
        <v>4791</v>
      </c>
      <c r="E1386" t="s">
        <v>14</v>
      </c>
      <c r="F1386" t="s">
        <v>15</v>
      </c>
      <c r="G1386">
        <v>15219</v>
      </c>
      <c r="H1386" t="s">
        <v>48</v>
      </c>
      <c r="I1386">
        <v>3</v>
      </c>
      <c r="J1386">
        <v>0</v>
      </c>
      <c r="K1386" t="s">
        <v>8131</v>
      </c>
    </row>
    <row r="1387" spans="1:11" x14ac:dyDescent="0.25">
      <c r="A1387" t="s">
        <v>4792</v>
      </c>
      <c r="B1387" t="s">
        <v>65</v>
      </c>
      <c r="C1387" t="s">
        <v>4793</v>
      </c>
      <c r="D1387" t="s">
        <v>4794</v>
      </c>
      <c r="E1387" t="s">
        <v>14</v>
      </c>
      <c r="F1387" t="s">
        <v>15</v>
      </c>
      <c r="G1387">
        <v>15222</v>
      </c>
      <c r="H1387" t="s">
        <v>43</v>
      </c>
      <c r="I1387">
        <v>3</v>
      </c>
      <c r="J1387">
        <v>1</v>
      </c>
      <c r="K1387" t="s">
        <v>8131</v>
      </c>
    </row>
    <row r="1388" spans="1:11" x14ac:dyDescent="0.25">
      <c r="A1388" t="s">
        <v>4795</v>
      </c>
      <c r="B1388" t="s">
        <v>3534</v>
      </c>
      <c r="C1388" t="s">
        <v>4796</v>
      </c>
      <c r="D1388" t="s">
        <v>4797</v>
      </c>
      <c r="E1388" t="s">
        <v>14</v>
      </c>
      <c r="F1388" t="s">
        <v>15</v>
      </c>
      <c r="G1388">
        <v>15212</v>
      </c>
      <c r="H1388" t="s">
        <v>43</v>
      </c>
      <c r="I1388">
        <v>24</v>
      </c>
      <c r="J1388">
        <v>1</v>
      </c>
      <c r="K1388" t="s">
        <v>8120</v>
      </c>
    </row>
    <row r="1389" spans="1:11" x14ac:dyDescent="0.25">
      <c r="A1389" t="s">
        <v>4798</v>
      </c>
      <c r="B1389" t="s">
        <v>4799</v>
      </c>
      <c r="C1389" t="s">
        <v>4800</v>
      </c>
      <c r="D1389" t="s">
        <v>4801</v>
      </c>
      <c r="E1389" t="s">
        <v>14</v>
      </c>
      <c r="F1389" t="s">
        <v>15</v>
      </c>
      <c r="G1389">
        <v>15201</v>
      </c>
      <c r="H1389" t="s">
        <v>92</v>
      </c>
      <c r="I1389">
        <v>33</v>
      </c>
      <c r="J1389">
        <v>1</v>
      </c>
      <c r="K1389" t="s">
        <v>8131</v>
      </c>
    </row>
    <row r="1390" spans="1:11" x14ac:dyDescent="0.25">
      <c r="A1390" t="s">
        <v>4802</v>
      </c>
      <c r="B1390" t="s">
        <v>36</v>
      </c>
      <c r="C1390" t="s">
        <v>4803</v>
      </c>
      <c r="D1390" t="s">
        <v>137</v>
      </c>
      <c r="E1390" t="s">
        <v>14</v>
      </c>
      <c r="F1390" t="s">
        <v>15</v>
      </c>
      <c r="G1390">
        <v>15217</v>
      </c>
      <c r="H1390" t="s">
        <v>34</v>
      </c>
      <c r="I1390">
        <v>30</v>
      </c>
      <c r="J1390">
        <v>0</v>
      </c>
      <c r="K1390" t="s">
        <v>8131</v>
      </c>
    </row>
    <row r="1391" spans="1:11" x14ac:dyDescent="0.25">
      <c r="A1391" t="s">
        <v>4804</v>
      </c>
      <c r="B1391" t="s">
        <v>4805</v>
      </c>
      <c r="C1391" t="s">
        <v>4806</v>
      </c>
      <c r="D1391" t="s">
        <v>4807</v>
      </c>
      <c r="E1391" t="s">
        <v>14</v>
      </c>
      <c r="F1391" t="s">
        <v>15</v>
      </c>
      <c r="G1391">
        <v>15220</v>
      </c>
      <c r="H1391" t="s">
        <v>92</v>
      </c>
      <c r="I1391">
        <v>5</v>
      </c>
      <c r="J1391">
        <v>1</v>
      </c>
      <c r="K1391" t="s">
        <v>8131</v>
      </c>
    </row>
    <row r="1392" spans="1:11" x14ac:dyDescent="0.25">
      <c r="A1392" t="s">
        <v>4808</v>
      </c>
      <c r="B1392" t="s">
        <v>115</v>
      </c>
      <c r="C1392" t="s">
        <v>4809</v>
      </c>
      <c r="D1392" t="s">
        <v>4810</v>
      </c>
      <c r="E1392" t="s">
        <v>14</v>
      </c>
      <c r="F1392" t="s">
        <v>15</v>
      </c>
      <c r="G1392">
        <v>15226</v>
      </c>
      <c r="H1392" t="s">
        <v>48</v>
      </c>
      <c r="I1392">
        <v>9</v>
      </c>
      <c r="J1392">
        <v>0</v>
      </c>
      <c r="K1392" t="s">
        <v>8120</v>
      </c>
    </row>
    <row r="1393" spans="1:11" x14ac:dyDescent="0.25">
      <c r="A1393" t="s">
        <v>4811</v>
      </c>
      <c r="B1393" t="s">
        <v>920</v>
      </c>
      <c r="C1393" t="s">
        <v>1633</v>
      </c>
      <c r="D1393" t="s">
        <v>4812</v>
      </c>
      <c r="E1393" t="s">
        <v>14</v>
      </c>
      <c r="F1393" t="s">
        <v>15</v>
      </c>
      <c r="G1393">
        <v>15213</v>
      </c>
      <c r="H1393" t="s">
        <v>48</v>
      </c>
      <c r="I1393">
        <v>248</v>
      </c>
      <c r="J1393">
        <v>1</v>
      </c>
      <c r="K1393" t="s">
        <v>8131</v>
      </c>
    </row>
    <row r="1394" spans="1:11" x14ac:dyDescent="0.25">
      <c r="A1394" t="s">
        <v>4813</v>
      </c>
      <c r="B1394" t="s">
        <v>4814</v>
      </c>
      <c r="C1394" t="s">
        <v>4803</v>
      </c>
      <c r="D1394" t="s">
        <v>4815</v>
      </c>
      <c r="E1394" t="s">
        <v>14</v>
      </c>
      <c r="F1394" t="s">
        <v>15</v>
      </c>
      <c r="G1394">
        <v>15229</v>
      </c>
      <c r="H1394" t="s">
        <v>48</v>
      </c>
      <c r="I1394">
        <v>64</v>
      </c>
      <c r="J1394">
        <v>1</v>
      </c>
      <c r="K1394" t="s">
        <v>8131</v>
      </c>
    </row>
    <row r="1395" spans="1:11" x14ac:dyDescent="0.25">
      <c r="A1395" t="s">
        <v>4816</v>
      </c>
      <c r="B1395" t="s">
        <v>4817</v>
      </c>
      <c r="C1395" t="s">
        <v>4818</v>
      </c>
      <c r="D1395" t="s">
        <v>2635</v>
      </c>
      <c r="E1395" t="s">
        <v>14</v>
      </c>
      <c r="F1395" t="s">
        <v>15</v>
      </c>
      <c r="G1395">
        <v>15203</v>
      </c>
      <c r="H1395" t="s">
        <v>48</v>
      </c>
      <c r="I1395">
        <v>18</v>
      </c>
      <c r="J1395">
        <v>1</v>
      </c>
      <c r="K1395" t="s">
        <v>8133</v>
      </c>
    </row>
    <row r="1396" spans="1:11" x14ac:dyDescent="0.25">
      <c r="A1396" t="s">
        <v>4819</v>
      </c>
      <c r="B1396" t="s">
        <v>31</v>
      </c>
      <c r="C1396" t="s">
        <v>32</v>
      </c>
      <c r="D1396" t="s">
        <v>4820</v>
      </c>
      <c r="E1396" t="s">
        <v>14</v>
      </c>
      <c r="F1396" t="s">
        <v>15</v>
      </c>
      <c r="G1396">
        <v>15222</v>
      </c>
      <c r="H1396" t="s">
        <v>16</v>
      </c>
      <c r="I1396">
        <v>16</v>
      </c>
      <c r="J1396">
        <v>1</v>
      </c>
      <c r="K1396" t="s">
        <v>8131</v>
      </c>
    </row>
    <row r="1397" spans="1:11" x14ac:dyDescent="0.25">
      <c r="A1397" t="s">
        <v>4821</v>
      </c>
      <c r="B1397" t="s">
        <v>4822</v>
      </c>
      <c r="C1397" t="s">
        <v>4823</v>
      </c>
      <c r="D1397" t="s">
        <v>4824</v>
      </c>
      <c r="E1397" t="s">
        <v>14</v>
      </c>
      <c r="F1397" t="s">
        <v>15</v>
      </c>
      <c r="G1397">
        <v>15201</v>
      </c>
      <c r="H1397" t="s">
        <v>48</v>
      </c>
      <c r="I1397">
        <v>268</v>
      </c>
      <c r="J1397">
        <v>1</v>
      </c>
      <c r="K1397" t="s">
        <v>8131</v>
      </c>
    </row>
    <row r="1398" spans="1:11" x14ac:dyDescent="0.25">
      <c r="A1398" t="s">
        <v>4825</v>
      </c>
      <c r="B1398" t="s">
        <v>4826</v>
      </c>
      <c r="C1398" t="s">
        <v>1708</v>
      </c>
      <c r="D1398" t="s">
        <v>4827</v>
      </c>
      <c r="E1398" t="s">
        <v>14</v>
      </c>
      <c r="F1398" t="s">
        <v>15</v>
      </c>
      <c r="G1398">
        <v>15213</v>
      </c>
      <c r="H1398" t="s">
        <v>43</v>
      </c>
      <c r="I1398">
        <v>16</v>
      </c>
      <c r="J1398">
        <v>1</v>
      </c>
      <c r="K1398" t="s">
        <v>8131</v>
      </c>
    </row>
    <row r="1399" spans="1:11" x14ac:dyDescent="0.25">
      <c r="A1399" t="s">
        <v>4828</v>
      </c>
      <c r="B1399" t="s">
        <v>4829</v>
      </c>
      <c r="C1399" t="s">
        <v>4830</v>
      </c>
      <c r="D1399" t="s">
        <v>4831</v>
      </c>
      <c r="E1399" t="s">
        <v>14</v>
      </c>
      <c r="F1399" t="s">
        <v>15</v>
      </c>
      <c r="G1399">
        <v>15213</v>
      </c>
      <c r="H1399" t="s">
        <v>48</v>
      </c>
      <c r="I1399">
        <v>23</v>
      </c>
      <c r="J1399">
        <v>1</v>
      </c>
      <c r="K1399" t="s">
        <v>8131</v>
      </c>
    </row>
    <row r="1400" spans="1:11" x14ac:dyDescent="0.25">
      <c r="A1400" t="s">
        <v>4832</v>
      </c>
      <c r="B1400" t="s">
        <v>4833</v>
      </c>
      <c r="C1400" t="s">
        <v>4834</v>
      </c>
      <c r="D1400" t="s">
        <v>4835</v>
      </c>
      <c r="E1400" t="s">
        <v>14</v>
      </c>
      <c r="F1400" t="s">
        <v>15</v>
      </c>
      <c r="G1400">
        <v>15213</v>
      </c>
      <c r="H1400" t="s">
        <v>21</v>
      </c>
      <c r="I1400">
        <v>64</v>
      </c>
      <c r="J1400">
        <v>1</v>
      </c>
      <c r="K1400" t="s">
        <v>8121</v>
      </c>
    </row>
    <row r="1401" spans="1:11" x14ac:dyDescent="0.25">
      <c r="A1401" t="s">
        <v>4836</v>
      </c>
      <c r="B1401" t="s">
        <v>4837</v>
      </c>
      <c r="C1401" t="s">
        <v>4838</v>
      </c>
      <c r="D1401" t="s">
        <v>4563</v>
      </c>
      <c r="E1401" t="s">
        <v>14</v>
      </c>
      <c r="F1401" t="s">
        <v>15</v>
      </c>
      <c r="G1401">
        <v>15203</v>
      </c>
      <c r="H1401" t="s">
        <v>48</v>
      </c>
      <c r="I1401">
        <v>31</v>
      </c>
      <c r="J1401">
        <v>0</v>
      </c>
      <c r="K1401" t="s">
        <v>8131</v>
      </c>
    </row>
    <row r="1402" spans="1:11" x14ac:dyDescent="0.25">
      <c r="A1402" t="s">
        <v>4839</v>
      </c>
      <c r="B1402" t="s">
        <v>4840</v>
      </c>
      <c r="C1402" t="s">
        <v>4841</v>
      </c>
      <c r="D1402" t="s">
        <v>3421</v>
      </c>
      <c r="E1402" t="s">
        <v>14</v>
      </c>
      <c r="F1402" t="s">
        <v>15</v>
      </c>
      <c r="G1402">
        <v>15224</v>
      </c>
      <c r="H1402" t="s">
        <v>16</v>
      </c>
      <c r="I1402">
        <v>48</v>
      </c>
      <c r="J1402">
        <v>0</v>
      </c>
      <c r="K1402" t="s">
        <v>8127</v>
      </c>
    </row>
    <row r="1403" spans="1:11" x14ac:dyDescent="0.25">
      <c r="A1403" t="s">
        <v>4842</v>
      </c>
      <c r="B1403" t="s">
        <v>2637</v>
      </c>
      <c r="C1403" t="s">
        <v>4843</v>
      </c>
      <c r="D1403" t="s">
        <v>4844</v>
      </c>
      <c r="E1403" t="s">
        <v>14</v>
      </c>
      <c r="F1403" t="s">
        <v>15</v>
      </c>
      <c r="G1403">
        <v>15222</v>
      </c>
      <c r="H1403" t="s">
        <v>48</v>
      </c>
      <c r="I1403">
        <v>162</v>
      </c>
      <c r="J1403">
        <v>1</v>
      </c>
      <c r="K1403" t="s">
        <v>8131</v>
      </c>
    </row>
    <row r="1404" spans="1:11" x14ac:dyDescent="0.25">
      <c r="A1404" t="s">
        <v>4845</v>
      </c>
      <c r="B1404" t="s">
        <v>447</v>
      </c>
      <c r="C1404" t="s">
        <v>4846</v>
      </c>
      <c r="D1404" t="s">
        <v>4847</v>
      </c>
      <c r="E1404" t="s">
        <v>14</v>
      </c>
      <c r="F1404" t="s">
        <v>15</v>
      </c>
      <c r="G1404">
        <v>15203</v>
      </c>
      <c r="H1404" t="s">
        <v>48</v>
      </c>
      <c r="I1404">
        <v>15</v>
      </c>
      <c r="J1404">
        <v>1</v>
      </c>
      <c r="K1404" t="s">
        <v>8122</v>
      </c>
    </row>
    <row r="1405" spans="1:11" x14ac:dyDescent="0.25">
      <c r="A1405" t="s">
        <v>4848</v>
      </c>
      <c r="B1405" t="s">
        <v>945</v>
      </c>
      <c r="C1405" t="s">
        <v>32</v>
      </c>
      <c r="D1405" t="s">
        <v>4849</v>
      </c>
      <c r="E1405" t="s">
        <v>14</v>
      </c>
      <c r="F1405" t="s">
        <v>15</v>
      </c>
      <c r="G1405">
        <v>15219</v>
      </c>
      <c r="H1405" t="s">
        <v>34</v>
      </c>
      <c r="I1405">
        <v>5</v>
      </c>
      <c r="J1405">
        <v>1</v>
      </c>
      <c r="K1405" t="s">
        <v>8131</v>
      </c>
    </row>
    <row r="1406" spans="1:11" x14ac:dyDescent="0.25">
      <c r="A1406" t="s">
        <v>4850</v>
      </c>
      <c r="B1406" t="s">
        <v>4851</v>
      </c>
      <c r="C1406" t="s">
        <v>4852</v>
      </c>
      <c r="D1406" t="s">
        <v>4853</v>
      </c>
      <c r="E1406" t="s">
        <v>14</v>
      </c>
      <c r="F1406" t="s">
        <v>15</v>
      </c>
      <c r="G1406">
        <v>15217</v>
      </c>
      <c r="H1406" t="s">
        <v>16</v>
      </c>
      <c r="I1406">
        <v>67</v>
      </c>
      <c r="J1406">
        <v>1</v>
      </c>
      <c r="K1406" t="s">
        <v>8121</v>
      </c>
    </row>
    <row r="1407" spans="1:11" x14ac:dyDescent="0.25">
      <c r="A1407" t="s">
        <v>4854</v>
      </c>
      <c r="B1407" t="s">
        <v>4855</v>
      </c>
      <c r="C1407" t="s">
        <v>717</v>
      </c>
      <c r="D1407" t="s">
        <v>4856</v>
      </c>
      <c r="E1407" t="s">
        <v>14</v>
      </c>
      <c r="F1407" t="s">
        <v>15</v>
      </c>
      <c r="G1407">
        <v>15222</v>
      </c>
      <c r="H1407" t="s">
        <v>16</v>
      </c>
      <c r="I1407">
        <v>45</v>
      </c>
      <c r="J1407">
        <v>1</v>
      </c>
      <c r="K1407" t="s">
        <v>8123</v>
      </c>
    </row>
    <row r="1408" spans="1:11" x14ac:dyDescent="0.25">
      <c r="A1408" t="s">
        <v>4857</v>
      </c>
      <c r="B1408" t="s">
        <v>4858</v>
      </c>
      <c r="C1408" t="s">
        <v>479</v>
      </c>
      <c r="D1408" t="s">
        <v>4859</v>
      </c>
      <c r="E1408" t="s">
        <v>14</v>
      </c>
      <c r="F1408" t="s">
        <v>15</v>
      </c>
      <c r="G1408">
        <v>15217</v>
      </c>
      <c r="H1408" t="s">
        <v>34</v>
      </c>
      <c r="I1408">
        <v>17</v>
      </c>
      <c r="J1408">
        <v>1</v>
      </c>
      <c r="K1408" t="s">
        <v>8131</v>
      </c>
    </row>
    <row r="1409" spans="1:11" x14ac:dyDescent="0.25">
      <c r="A1409" t="s">
        <v>4860</v>
      </c>
      <c r="B1409" t="s">
        <v>239</v>
      </c>
      <c r="C1409" t="s">
        <v>4861</v>
      </c>
      <c r="D1409" t="s">
        <v>4476</v>
      </c>
      <c r="E1409" t="s">
        <v>14</v>
      </c>
      <c r="F1409" t="s">
        <v>15</v>
      </c>
      <c r="G1409">
        <v>15205</v>
      </c>
      <c r="H1409" t="s">
        <v>16</v>
      </c>
      <c r="I1409">
        <v>25</v>
      </c>
      <c r="J1409">
        <v>0</v>
      </c>
      <c r="K1409" t="s">
        <v>8122</v>
      </c>
    </row>
    <row r="1410" spans="1:11" x14ac:dyDescent="0.25">
      <c r="A1410" t="s">
        <v>4862</v>
      </c>
      <c r="B1410" t="s">
        <v>2752</v>
      </c>
      <c r="C1410" t="s">
        <v>4863</v>
      </c>
      <c r="D1410" t="s">
        <v>4864</v>
      </c>
      <c r="E1410" t="s">
        <v>14</v>
      </c>
      <c r="F1410" t="s">
        <v>15</v>
      </c>
      <c r="G1410">
        <v>15234</v>
      </c>
      <c r="H1410" t="s">
        <v>21</v>
      </c>
      <c r="I1410">
        <v>16</v>
      </c>
      <c r="J1410">
        <v>1</v>
      </c>
      <c r="K1410" t="s">
        <v>8131</v>
      </c>
    </row>
    <row r="1411" spans="1:11" x14ac:dyDescent="0.25">
      <c r="A1411" t="s">
        <v>4865</v>
      </c>
      <c r="B1411" t="s">
        <v>4866</v>
      </c>
      <c r="C1411" t="s">
        <v>4867</v>
      </c>
      <c r="D1411" t="s">
        <v>42</v>
      </c>
      <c r="E1411" t="s">
        <v>14</v>
      </c>
      <c r="F1411" t="s">
        <v>15</v>
      </c>
      <c r="G1411">
        <v>15238</v>
      </c>
      <c r="H1411" t="s">
        <v>92</v>
      </c>
      <c r="I1411">
        <v>5</v>
      </c>
      <c r="J1411">
        <v>0</v>
      </c>
      <c r="K1411" t="s">
        <v>8131</v>
      </c>
    </row>
    <row r="1412" spans="1:11" x14ac:dyDescent="0.25">
      <c r="A1412" t="s">
        <v>4868</v>
      </c>
      <c r="B1412" t="s">
        <v>4869</v>
      </c>
      <c r="C1412" t="s">
        <v>4870</v>
      </c>
      <c r="D1412" t="s">
        <v>4871</v>
      </c>
      <c r="E1412" t="s">
        <v>14</v>
      </c>
      <c r="F1412" t="s">
        <v>15</v>
      </c>
      <c r="G1412">
        <v>15238</v>
      </c>
      <c r="H1412" t="s">
        <v>48</v>
      </c>
      <c r="I1412">
        <v>31</v>
      </c>
      <c r="J1412">
        <v>1</v>
      </c>
      <c r="K1412" t="s">
        <v>8131</v>
      </c>
    </row>
    <row r="1413" spans="1:11" x14ac:dyDescent="0.25">
      <c r="A1413" t="s">
        <v>4872</v>
      </c>
      <c r="B1413" t="s">
        <v>4873</v>
      </c>
      <c r="C1413" t="s">
        <v>4874</v>
      </c>
      <c r="D1413" t="s">
        <v>87</v>
      </c>
      <c r="E1413" t="s">
        <v>14</v>
      </c>
      <c r="F1413" t="s">
        <v>15</v>
      </c>
      <c r="G1413">
        <v>15222</v>
      </c>
      <c r="H1413" t="s">
        <v>16</v>
      </c>
      <c r="I1413">
        <v>142</v>
      </c>
      <c r="J1413">
        <v>1</v>
      </c>
      <c r="K1413" t="s">
        <v>8120</v>
      </c>
    </row>
    <row r="1414" spans="1:11" x14ac:dyDescent="0.25">
      <c r="A1414" t="s">
        <v>4875</v>
      </c>
      <c r="B1414" t="s">
        <v>319</v>
      </c>
      <c r="C1414" t="s">
        <v>4876</v>
      </c>
      <c r="D1414" t="s">
        <v>4877</v>
      </c>
      <c r="E1414" t="s">
        <v>14</v>
      </c>
      <c r="F1414" t="s">
        <v>15</v>
      </c>
      <c r="G1414">
        <v>15239</v>
      </c>
      <c r="H1414" t="s">
        <v>34</v>
      </c>
      <c r="I1414">
        <v>56</v>
      </c>
      <c r="J1414">
        <v>1</v>
      </c>
      <c r="K1414" t="s">
        <v>8120</v>
      </c>
    </row>
    <row r="1415" spans="1:11" x14ac:dyDescent="0.25">
      <c r="A1415" t="s">
        <v>4878</v>
      </c>
      <c r="B1415" t="s">
        <v>4879</v>
      </c>
      <c r="C1415" t="s">
        <v>340</v>
      </c>
      <c r="D1415" t="s">
        <v>4880</v>
      </c>
      <c r="E1415" t="s">
        <v>14</v>
      </c>
      <c r="F1415" t="s">
        <v>15</v>
      </c>
      <c r="G1415">
        <v>15237</v>
      </c>
      <c r="H1415" t="s">
        <v>16</v>
      </c>
      <c r="I1415">
        <v>5</v>
      </c>
      <c r="J1415">
        <v>1</v>
      </c>
      <c r="K1415" t="s">
        <v>8131</v>
      </c>
    </row>
    <row r="1416" spans="1:11" x14ac:dyDescent="0.25">
      <c r="A1416" t="s">
        <v>4881</v>
      </c>
      <c r="B1416" t="s">
        <v>4882</v>
      </c>
      <c r="C1416" t="s">
        <v>4883</v>
      </c>
      <c r="D1416" t="s">
        <v>4884</v>
      </c>
      <c r="E1416" t="s">
        <v>14</v>
      </c>
      <c r="F1416" t="s">
        <v>15</v>
      </c>
      <c r="G1416">
        <v>15217</v>
      </c>
      <c r="H1416" t="s">
        <v>34</v>
      </c>
      <c r="I1416">
        <v>155</v>
      </c>
      <c r="J1416">
        <v>1</v>
      </c>
      <c r="K1416" t="s">
        <v>8133</v>
      </c>
    </row>
    <row r="1417" spans="1:11" x14ac:dyDescent="0.25">
      <c r="A1417" t="s">
        <v>4885</v>
      </c>
      <c r="B1417" t="s">
        <v>4886</v>
      </c>
      <c r="C1417" t="s">
        <v>4887</v>
      </c>
      <c r="D1417" t="s">
        <v>4888</v>
      </c>
      <c r="E1417" t="s">
        <v>14</v>
      </c>
      <c r="F1417" t="s">
        <v>15</v>
      </c>
      <c r="G1417">
        <v>15222</v>
      </c>
      <c r="H1417" t="s">
        <v>16</v>
      </c>
      <c r="I1417">
        <v>245</v>
      </c>
      <c r="J1417">
        <v>1</v>
      </c>
      <c r="K1417" t="s">
        <v>8120</v>
      </c>
    </row>
    <row r="1418" spans="1:11" x14ac:dyDescent="0.25">
      <c r="A1418" t="s">
        <v>4889</v>
      </c>
      <c r="B1418" t="s">
        <v>791</v>
      </c>
      <c r="C1418" t="s">
        <v>4890</v>
      </c>
      <c r="D1418" t="s">
        <v>4891</v>
      </c>
      <c r="E1418" t="s">
        <v>14</v>
      </c>
      <c r="F1418" t="s">
        <v>15</v>
      </c>
      <c r="G1418">
        <v>15213</v>
      </c>
      <c r="H1418" t="s">
        <v>16</v>
      </c>
      <c r="I1418">
        <v>31</v>
      </c>
      <c r="J1418">
        <v>1</v>
      </c>
      <c r="K1418" t="s">
        <v>8131</v>
      </c>
    </row>
    <row r="1419" spans="1:11" x14ac:dyDescent="0.25">
      <c r="A1419" t="s">
        <v>4892</v>
      </c>
      <c r="B1419" t="s">
        <v>4893</v>
      </c>
      <c r="C1419" t="s">
        <v>1020</v>
      </c>
      <c r="D1419" t="s">
        <v>4894</v>
      </c>
      <c r="E1419" t="s">
        <v>14</v>
      </c>
      <c r="F1419" t="s">
        <v>15</v>
      </c>
      <c r="G1419">
        <v>15203</v>
      </c>
      <c r="H1419" t="s">
        <v>43</v>
      </c>
      <c r="I1419">
        <v>26</v>
      </c>
      <c r="J1419">
        <v>1</v>
      </c>
      <c r="K1419" t="s">
        <v>8122</v>
      </c>
    </row>
    <row r="1420" spans="1:11" x14ac:dyDescent="0.25">
      <c r="A1420" t="s">
        <v>4895</v>
      </c>
      <c r="B1420" t="s">
        <v>4896</v>
      </c>
      <c r="C1420" t="s">
        <v>4897</v>
      </c>
      <c r="D1420" t="s">
        <v>949</v>
      </c>
      <c r="E1420" t="s">
        <v>14</v>
      </c>
      <c r="F1420" t="s">
        <v>15</v>
      </c>
      <c r="G1420">
        <v>15234</v>
      </c>
      <c r="H1420" t="s">
        <v>16</v>
      </c>
      <c r="I1420">
        <v>7</v>
      </c>
      <c r="J1420">
        <v>0</v>
      </c>
      <c r="K1420" t="s">
        <v>8131</v>
      </c>
    </row>
    <row r="1421" spans="1:11" x14ac:dyDescent="0.25">
      <c r="A1421" t="s">
        <v>4898</v>
      </c>
      <c r="B1421" t="s">
        <v>2149</v>
      </c>
      <c r="C1421" t="s">
        <v>4899</v>
      </c>
      <c r="D1421" t="s">
        <v>3966</v>
      </c>
      <c r="E1421" t="s">
        <v>14</v>
      </c>
      <c r="F1421" t="s">
        <v>15</v>
      </c>
      <c r="G1421">
        <v>15206</v>
      </c>
      <c r="H1421" t="s">
        <v>21</v>
      </c>
      <c r="I1421">
        <v>130</v>
      </c>
      <c r="J1421">
        <v>1</v>
      </c>
      <c r="K1421" t="s">
        <v>8125</v>
      </c>
    </row>
    <row r="1422" spans="1:11" x14ac:dyDescent="0.25">
      <c r="A1422" t="s">
        <v>4900</v>
      </c>
      <c r="B1422" t="s">
        <v>4901</v>
      </c>
      <c r="C1422" t="s">
        <v>2013</v>
      </c>
      <c r="D1422" t="s">
        <v>4902</v>
      </c>
      <c r="E1422" t="s">
        <v>14</v>
      </c>
      <c r="F1422" t="s">
        <v>15</v>
      </c>
      <c r="G1422">
        <v>15222</v>
      </c>
      <c r="H1422" t="s">
        <v>157</v>
      </c>
      <c r="I1422">
        <v>3</v>
      </c>
      <c r="J1422">
        <v>0</v>
      </c>
      <c r="K1422" t="s">
        <v>8131</v>
      </c>
    </row>
    <row r="1423" spans="1:11" x14ac:dyDescent="0.25">
      <c r="A1423" t="s">
        <v>4903</v>
      </c>
      <c r="B1423" t="s">
        <v>3498</v>
      </c>
      <c r="C1423" t="s">
        <v>4904</v>
      </c>
      <c r="D1423" t="s">
        <v>4905</v>
      </c>
      <c r="E1423" t="s">
        <v>14</v>
      </c>
      <c r="F1423" t="s">
        <v>15</v>
      </c>
      <c r="G1423">
        <v>15222</v>
      </c>
      <c r="H1423" t="s">
        <v>21</v>
      </c>
      <c r="I1423">
        <v>9</v>
      </c>
      <c r="J1423">
        <v>1</v>
      </c>
      <c r="K1423" t="s">
        <v>8131</v>
      </c>
    </row>
    <row r="1424" spans="1:11" x14ac:dyDescent="0.25">
      <c r="A1424" t="s">
        <v>4906</v>
      </c>
      <c r="B1424" t="s">
        <v>4907</v>
      </c>
      <c r="C1424" t="s">
        <v>4908</v>
      </c>
      <c r="D1424" t="s">
        <v>4909</v>
      </c>
      <c r="E1424" t="s">
        <v>14</v>
      </c>
      <c r="F1424" t="s">
        <v>15</v>
      </c>
      <c r="G1424">
        <v>15222</v>
      </c>
      <c r="H1424" t="s">
        <v>48</v>
      </c>
      <c r="I1424">
        <v>17</v>
      </c>
      <c r="J1424">
        <v>0</v>
      </c>
      <c r="K1424" t="s">
        <v>8133</v>
      </c>
    </row>
    <row r="1425" spans="1:11" x14ac:dyDescent="0.25">
      <c r="A1425" t="s">
        <v>4910</v>
      </c>
      <c r="B1425" t="s">
        <v>1187</v>
      </c>
      <c r="C1425" t="s">
        <v>4911</v>
      </c>
      <c r="D1425" t="s">
        <v>4912</v>
      </c>
      <c r="E1425" t="s">
        <v>14</v>
      </c>
      <c r="F1425" t="s">
        <v>15</v>
      </c>
      <c r="G1425">
        <v>15216</v>
      </c>
      <c r="H1425" t="s">
        <v>16</v>
      </c>
      <c r="I1425">
        <v>119</v>
      </c>
      <c r="J1425">
        <v>1</v>
      </c>
      <c r="K1425" t="s">
        <v>8131</v>
      </c>
    </row>
    <row r="1426" spans="1:11" x14ac:dyDescent="0.25">
      <c r="A1426" t="e">
        <f>-fTO9qRo70bblJmbNxOnag</f>
        <v>#NAME?</v>
      </c>
      <c r="B1426" t="s">
        <v>36</v>
      </c>
      <c r="C1426" t="s">
        <v>4913</v>
      </c>
      <c r="D1426" t="s">
        <v>4914</v>
      </c>
      <c r="E1426" t="s">
        <v>14</v>
      </c>
      <c r="F1426" t="s">
        <v>15</v>
      </c>
      <c r="G1426">
        <v>15233</v>
      </c>
      <c r="H1426" t="s">
        <v>48</v>
      </c>
      <c r="I1426">
        <v>35</v>
      </c>
      <c r="J1426">
        <v>1</v>
      </c>
      <c r="K1426" t="s">
        <v>8131</v>
      </c>
    </row>
    <row r="1427" spans="1:11" x14ac:dyDescent="0.25">
      <c r="A1427" t="s">
        <v>4915</v>
      </c>
      <c r="B1427" t="s">
        <v>4916</v>
      </c>
      <c r="C1427" t="s">
        <v>4917</v>
      </c>
      <c r="D1427" t="s">
        <v>4918</v>
      </c>
      <c r="E1427" t="s">
        <v>14</v>
      </c>
      <c r="F1427" t="s">
        <v>15</v>
      </c>
      <c r="G1427">
        <v>15203</v>
      </c>
      <c r="H1427" t="s">
        <v>16</v>
      </c>
      <c r="I1427">
        <v>15</v>
      </c>
      <c r="J1427">
        <v>0</v>
      </c>
      <c r="K1427" t="s">
        <v>8131</v>
      </c>
    </row>
    <row r="1428" spans="1:11" x14ac:dyDescent="0.25">
      <c r="A1428" t="s">
        <v>4919</v>
      </c>
      <c r="B1428" t="s">
        <v>4920</v>
      </c>
      <c r="C1428" t="s">
        <v>1447</v>
      </c>
      <c r="D1428" t="s">
        <v>4101</v>
      </c>
      <c r="E1428" t="s">
        <v>14</v>
      </c>
      <c r="F1428" t="s">
        <v>15</v>
      </c>
      <c r="G1428">
        <v>15236</v>
      </c>
      <c r="H1428" t="s">
        <v>16</v>
      </c>
      <c r="I1428">
        <v>95</v>
      </c>
      <c r="J1428">
        <v>1</v>
      </c>
      <c r="K1428" t="s">
        <v>8131</v>
      </c>
    </row>
    <row r="1429" spans="1:11" x14ac:dyDescent="0.25">
      <c r="A1429" t="s">
        <v>4921</v>
      </c>
      <c r="B1429" t="s">
        <v>4922</v>
      </c>
      <c r="C1429" t="s">
        <v>419</v>
      </c>
      <c r="D1429" t="s">
        <v>4923</v>
      </c>
      <c r="E1429" t="s">
        <v>14</v>
      </c>
      <c r="F1429" t="s">
        <v>15</v>
      </c>
      <c r="G1429">
        <v>15206</v>
      </c>
      <c r="H1429" t="s">
        <v>157</v>
      </c>
      <c r="I1429">
        <v>17</v>
      </c>
      <c r="J1429">
        <v>1</v>
      </c>
      <c r="K1429" t="s">
        <v>8131</v>
      </c>
    </row>
    <row r="1430" spans="1:11" x14ac:dyDescent="0.25">
      <c r="A1430" t="s">
        <v>4924</v>
      </c>
      <c r="B1430" t="s">
        <v>4925</v>
      </c>
      <c r="C1430" t="s">
        <v>4926</v>
      </c>
      <c r="D1430" t="s">
        <v>4927</v>
      </c>
      <c r="E1430" t="s">
        <v>14</v>
      </c>
      <c r="F1430" t="s">
        <v>15</v>
      </c>
      <c r="G1430">
        <v>15222</v>
      </c>
      <c r="H1430" t="s">
        <v>21</v>
      </c>
      <c r="I1430">
        <v>43</v>
      </c>
      <c r="J1430">
        <v>1</v>
      </c>
      <c r="K1430" t="s">
        <v>8131</v>
      </c>
    </row>
    <row r="1431" spans="1:11" x14ac:dyDescent="0.25">
      <c r="A1431" t="s">
        <v>4928</v>
      </c>
      <c r="B1431" t="s">
        <v>4929</v>
      </c>
      <c r="C1431" t="s">
        <v>4930</v>
      </c>
      <c r="D1431" t="s">
        <v>4931</v>
      </c>
      <c r="E1431" t="s">
        <v>14</v>
      </c>
      <c r="F1431" t="s">
        <v>15</v>
      </c>
      <c r="G1431">
        <v>15223</v>
      </c>
      <c r="H1431" t="s">
        <v>34</v>
      </c>
      <c r="I1431">
        <v>9</v>
      </c>
      <c r="J1431">
        <v>0</v>
      </c>
      <c r="K1431" t="s">
        <v>8131</v>
      </c>
    </row>
    <row r="1432" spans="1:11" x14ac:dyDescent="0.25">
      <c r="A1432" t="s">
        <v>4932</v>
      </c>
      <c r="B1432" t="s">
        <v>2149</v>
      </c>
      <c r="C1432" t="s">
        <v>4933</v>
      </c>
      <c r="D1432" t="s">
        <v>4934</v>
      </c>
      <c r="E1432" t="s">
        <v>14</v>
      </c>
      <c r="F1432" t="s">
        <v>15</v>
      </c>
      <c r="G1432">
        <v>15222</v>
      </c>
      <c r="H1432" t="s">
        <v>34</v>
      </c>
      <c r="I1432">
        <v>3</v>
      </c>
      <c r="J1432">
        <v>0</v>
      </c>
      <c r="K1432" t="s">
        <v>8125</v>
      </c>
    </row>
    <row r="1433" spans="1:11" x14ac:dyDescent="0.25">
      <c r="A1433" t="s">
        <v>4935</v>
      </c>
      <c r="B1433" t="s">
        <v>4936</v>
      </c>
      <c r="C1433" t="s">
        <v>491</v>
      </c>
      <c r="D1433" t="s">
        <v>4937</v>
      </c>
      <c r="E1433" t="s">
        <v>14</v>
      </c>
      <c r="F1433" t="s">
        <v>15</v>
      </c>
      <c r="G1433">
        <v>15203</v>
      </c>
      <c r="H1433" t="s">
        <v>34</v>
      </c>
      <c r="I1433">
        <v>17</v>
      </c>
      <c r="J1433">
        <v>1</v>
      </c>
      <c r="K1433" t="s">
        <v>8131</v>
      </c>
    </row>
    <row r="1434" spans="1:11" x14ac:dyDescent="0.25">
      <c r="A1434" t="s">
        <v>4938</v>
      </c>
      <c r="B1434" t="s">
        <v>4939</v>
      </c>
      <c r="C1434" t="s">
        <v>4940</v>
      </c>
      <c r="E1434" t="s">
        <v>14</v>
      </c>
      <c r="F1434" t="s">
        <v>15</v>
      </c>
      <c r="G1434">
        <v>15222</v>
      </c>
      <c r="H1434" t="s">
        <v>16</v>
      </c>
      <c r="I1434">
        <v>17</v>
      </c>
      <c r="J1434">
        <v>1</v>
      </c>
      <c r="K1434" t="s">
        <v>8131</v>
      </c>
    </row>
    <row r="1435" spans="1:11" x14ac:dyDescent="0.25">
      <c r="A1435" t="s">
        <v>4941</v>
      </c>
      <c r="B1435" t="s">
        <v>4942</v>
      </c>
      <c r="C1435" t="s">
        <v>4943</v>
      </c>
      <c r="D1435" t="s">
        <v>4944</v>
      </c>
      <c r="E1435" t="s">
        <v>14</v>
      </c>
      <c r="F1435" t="s">
        <v>15</v>
      </c>
      <c r="G1435">
        <v>15218</v>
      </c>
      <c r="H1435" t="s">
        <v>92</v>
      </c>
      <c r="I1435">
        <v>3</v>
      </c>
      <c r="J1435">
        <v>1</v>
      </c>
      <c r="K1435" t="s">
        <v>8131</v>
      </c>
    </row>
    <row r="1436" spans="1:11" x14ac:dyDescent="0.25">
      <c r="A1436" t="s">
        <v>4945</v>
      </c>
      <c r="B1436" t="s">
        <v>36</v>
      </c>
      <c r="C1436" t="s">
        <v>4946</v>
      </c>
      <c r="D1436" t="s">
        <v>4947</v>
      </c>
      <c r="E1436" t="s">
        <v>14</v>
      </c>
      <c r="F1436" t="s">
        <v>15</v>
      </c>
      <c r="G1436">
        <v>15212</v>
      </c>
      <c r="H1436" t="s">
        <v>48</v>
      </c>
      <c r="I1436">
        <v>28</v>
      </c>
      <c r="J1436">
        <v>1</v>
      </c>
      <c r="K1436" t="s">
        <v>8131</v>
      </c>
    </row>
    <row r="1437" spans="1:11" x14ac:dyDescent="0.25">
      <c r="A1437" t="s">
        <v>4948</v>
      </c>
      <c r="B1437" t="s">
        <v>3259</v>
      </c>
      <c r="C1437" t="s">
        <v>4949</v>
      </c>
      <c r="D1437" t="s">
        <v>1262</v>
      </c>
      <c r="E1437" t="s">
        <v>14</v>
      </c>
      <c r="F1437" t="s">
        <v>15</v>
      </c>
      <c r="G1437">
        <v>15203</v>
      </c>
      <c r="H1437" t="s">
        <v>113</v>
      </c>
      <c r="I1437">
        <v>9</v>
      </c>
      <c r="J1437">
        <v>0</v>
      </c>
      <c r="K1437" t="s">
        <v>8131</v>
      </c>
    </row>
    <row r="1438" spans="1:11" x14ac:dyDescent="0.25">
      <c r="A1438" t="s">
        <v>4950</v>
      </c>
      <c r="B1438" t="s">
        <v>4951</v>
      </c>
      <c r="C1438" t="s">
        <v>4952</v>
      </c>
      <c r="D1438" t="s">
        <v>4953</v>
      </c>
      <c r="E1438" t="s">
        <v>14</v>
      </c>
      <c r="F1438" t="s">
        <v>15</v>
      </c>
      <c r="G1438">
        <v>15218</v>
      </c>
      <c r="H1438" t="s">
        <v>48</v>
      </c>
      <c r="I1438">
        <v>52</v>
      </c>
      <c r="J1438">
        <v>1</v>
      </c>
      <c r="K1438" t="s">
        <v>8122</v>
      </c>
    </row>
    <row r="1439" spans="1:11" x14ac:dyDescent="0.25">
      <c r="A1439" t="s">
        <v>4954</v>
      </c>
      <c r="B1439" t="s">
        <v>4955</v>
      </c>
      <c r="C1439" t="s">
        <v>419</v>
      </c>
      <c r="D1439" t="s">
        <v>4956</v>
      </c>
      <c r="E1439" t="s">
        <v>14</v>
      </c>
      <c r="F1439" t="s">
        <v>15</v>
      </c>
      <c r="G1439">
        <v>15231</v>
      </c>
      <c r="H1439" t="s">
        <v>34</v>
      </c>
      <c r="I1439">
        <v>8</v>
      </c>
      <c r="J1439">
        <v>1</v>
      </c>
      <c r="K1439" t="s">
        <v>8131</v>
      </c>
    </row>
    <row r="1440" spans="1:11" x14ac:dyDescent="0.25">
      <c r="A1440" t="s">
        <v>4957</v>
      </c>
      <c r="B1440" t="s">
        <v>4356</v>
      </c>
      <c r="C1440" t="s">
        <v>95</v>
      </c>
      <c r="D1440" t="s">
        <v>4958</v>
      </c>
      <c r="E1440" t="s">
        <v>14</v>
      </c>
      <c r="F1440" t="s">
        <v>15</v>
      </c>
      <c r="G1440">
        <v>15222</v>
      </c>
      <c r="H1440" t="s">
        <v>16</v>
      </c>
      <c r="I1440">
        <v>81</v>
      </c>
      <c r="J1440">
        <v>1</v>
      </c>
      <c r="K1440" t="s">
        <v>8131</v>
      </c>
    </row>
    <row r="1441" spans="1:11" x14ac:dyDescent="0.25">
      <c r="A1441" t="s">
        <v>4959</v>
      </c>
      <c r="B1441" t="s">
        <v>4960</v>
      </c>
      <c r="C1441" t="s">
        <v>4961</v>
      </c>
      <c r="D1441" t="s">
        <v>4962</v>
      </c>
      <c r="E1441" t="s">
        <v>14</v>
      </c>
      <c r="F1441" t="s">
        <v>15</v>
      </c>
      <c r="G1441">
        <v>15237</v>
      </c>
      <c r="H1441" t="s">
        <v>43</v>
      </c>
      <c r="I1441">
        <v>25</v>
      </c>
      <c r="J1441">
        <v>1</v>
      </c>
      <c r="K1441" t="s">
        <v>8131</v>
      </c>
    </row>
    <row r="1442" spans="1:11" x14ac:dyDescent="0.25">
      <c r="A1442" t="s">
        <v>4963</v>
      </c>
      <c r="B1442" t="s">
        <v>319</v>
      </c>
      <c r="C1442" t="s">
        <v>4964</v>
      </c>
      <c r="D1442" t="s">
        <v>4965</v>
      </c>
      <c r="E1442" t="s">
        <v>14</v>
      </c>
      <c r="F1442" t="s">
        <v>15</v>
      </c>
      <c r="G1442">
        <v>15222</v>
      </c>
      <c r="H1442" t="s">
        <v>48</v>
      </c>
      <c r="I1442">
        <v>20</v>
      </c>
      <c r="J1442">
        <v>0</v>
      </c>
      <c r="K1442" t="s">
        <v>8120</v>
      </c>
    </row>
    <row r="1443" spans="1:11" x14ac:dyDescent="0.25">
      <c r="A1443" t="s">
        <v>4966</v>
      </c>
      <c r="B1443" t="s">
        <v>4967</v>
      </c>
      <c r="C1443" t="s">
        <v>4968</v>
      </c>
      <c r="D1443" t="s">
        <v>4969</v>
      </c>
      <c r="E1443" t="s">
        <v>14</v>
      </c>
      <c r="F1443" t="s">
        <v>15</v>
      </c>
      <c r="G1443">
        <v>15201</v>
      </c>
      <c r="H1443" t="s">
        <v>16</v>
      </c>
      <c r="I1443">
        <v>145</v>
      </c>
      <c r="J1443">
        <v>1</v>
      </c>
      <c r="K1443" t="s">
        <v>8131</v>
      </c>
    </row>
    <row r="1444" spans="1:11" x14ac:dyDescent="0.25">
      <c r="A1444" t="s">
        <v>4970</v>
      </c>
      <c r="B1444" t="s">
        <v>4971</v>
      </c>
      <c r="C1444" t="s">
        <v>4972</v>
      </c>
      <c r="D1444" t="s">
        <v>4973</v>
      </c>
      <c r="E1444" t="s">
        <v>14</v>
      </c>
      <c r="F1444" t="s">
        <v>15</v>
      </c>
      <c r="G1444">
        <v>15209</v>
      </c>
      <c r="H1444" t="s">
        <v>16</v>
      </c>
      <c r="I1444">
        <v>4</v>
      </c>
      <c r="J1444">
        <v>1</v>
      </c>
      <c r="K1444" t="s">
        <v>8124</v>
      </c>
    </row>
    <row r="1445" spans="1:11" x14ac:dyDescent="0.25">
      <c r="A1445" t="s">
        <v>4974</v>
      </c>
      <c r="B1445" t="s">
        <v>4975</v>
      </c>
      <c r="C1445" t="s">
        <v>4976</v>
      </c>
      <c r="D1445" t="s">
        <v>3542</v>
      </c>
      <c r="E1445" t="s">
        <v>14</v>
      </c>
      <c r="F1445" t="s">
        <v>15</v>
      </c>
      <c r="G1445">
        <v>15224</v>
      </c>
      <c r="H1445" t="s">
        <v>48</v>
      </c>
      <c r="I1445">
        <v>11</v>
      </c>
      <c r="J1445">
        <v>0</v>
      </c>
      <c r="K1445" t="s">
        <v>8129</v>
      </c>
    </row>
    <row r="1446" spans="1:11" x14ac:dyDescent="0.25">
      <c r="A1446" t="s">
        <v>4977</v>
      </c>
      <c r="B1446" t="s">
        <v>447</v>
      </c>
      <c r="C1446" t="s">
        <v>4978</v>
      </c>
      <c r="D1446" t="s">
        <v>4979</v>
      </c>
      <c r="E1446" t="s">
        <v>14</v>
      </c>
      <c r="F1446" t="s">
        <v>15</v>
      </c>
      <c r="G1446">
        <v>15232</v>
      </c>
      <c r="H1446" t="s">
        <v>48</v>
      </c>
      <c r="I1446">
        <v>22</v>
      </c>
      <c r="J1446">
        <v>0</v>
      </c>
      <c r="K1446" t="s">
        <v>8122</v>
      </c>
    </row>
    <row r="1447" spans="1:11" x14ac:dyDescent="0.25">
      <c r="A1447" t="s">
        <v>4980</v>
      </c>
      <c r="B1447" t="s">
        <v>4981</v>
      </c>
      <c r="C1447" t="s">
        <v>4982</v>
      </c>
      <c r="D1447" t="s">
        <v>561</v>
      </c>
      <c r="E1447" t="s">
        <v>14</v>
      </c>
      <c r="F1447" t="s">
        <v>15</v>
      </c>
      <c r="G1447">
        <v>15213</v>
      </c>
      <c r="H1447" t="s">
        <v>34</v>
      </c>
      <c r="I1447">
        <v>18</v>
      </c>
      <c r="J1447">
        <v>0</v>
      </c>
      <c r="K1447" t="s">
        <v>8133</v>
      </c>
    </row>
    <row r="1448" spans="1:11" x14ac:dyDescent="0.25">
      <c r="A1448" t="s">
        <v>4983</v>
      </c>
      <c r="B1448" t="s">
        <v>4984</v>
      </c>
      <c r="C1448" t="s">
        <v>4985</v>
      </c>
      <c r="D1448" t="s">
        <v>4986</v>
      </c>
      <c r="E1448" t="s">
        <v>14</v>
      </c>
      <c r="F1448" t="s">
        <v>15</v>
      </c>
      <c r="G1448">
        <v>15216</v>
      </c>
      <c r="H1448" t="s">
        <v>48</v>
      </c>
      <c r="I1448">
        <v>6</v>
      </c>
      <c r="J1448">
        <v>0</v>
      </c>
      <c r="K1448" t="s">
        <v>8131</v>
      </c>
    </row>
    <row r="1449" spans="1:11" x14ac:dyDescent="0.25">
      <c r="A1449" t="s">
        <v>4987</v>
      </c>
      <c r="B1449" t="s">
        <v>282</v>
      </c>
      <c r="C1449" t="s">
        <v>4988</v>
      </c>
      <c r="D1449" t="s">
        <v>4989</v>
      </c>
      <c r="E1449" t="s">
        <v>14</v>
      </c>
      <c r="F1449" t="s">
        <v>15</v>
      </c>
      <c r="G1449">
        <v>15209</v>
      </c>
      <c r="H1449" t="s">
        <v>48</v>
      </c>
      <c r="I1449">
        <v>18</v>
      </c>
      <c r="J1449">
        <v>1</v>
      </c>
      <c r="K1449" t="s">
        <v>8124</v>
      </c>
    </row>
    <row r="1450" spans="1:11" x14ac:dyDescent="0.25">
      <c r="A1450" t="s">
        <v>4990</v>
      </c>
      <c r="B1450" t="s">
        <v>2439</v>
      </c>
      <c r="C1450" t="s">
        <v>1001</v>
      </c>
      <c r="D1450" t="s">
        <v>3067</v>
      </c>
      <c r="E1450" t="s">
        <v>14</v>
      </c>
      <c r="F1450" t="s">
        <v>15</v>
      </c>
      <c r="G1450">
        <v>15217</v>
      </c>
      <c r="H1450" t="s">
        <v>48</v>
      </c>
      <c r="I1450">
        <v>5</v>
      </c>
      <c r="J1450">
        <v>0</v>
      </c>
      <c r="K1450" t="s">
        <v>8131</v>
      </c>
    </row>
    <row r="1451" spans="1:11" x14ac:dyDescent="0.25">
      <c r="A1451" t="s">
        <v>4991</v>
      </c>
      <c r="B1451" t="s">
        <v>4992</v>
      </c>
      <c r="C1451" t="s">
        <v>632</v>
      </c>
      <c r="D1451" t="s">
        <v>4993</v>
      </c>
      <c r="E1451" t="s">
        <v>14</v>
      </c>
      <c r="F1451" t="s">
        <v>15</v>
      </c>
      <c r="G1451">
        <v>15237</v>
      </c>
      <c r="H1451" t="s">
        <v>34</v>
      </c>
      <c r="I1451">
        <v>7</v>
      </c>
      <c r="J1451">
        <v>1</v>
      </c>
      <c r="K1451" t="s">
        <v>8131</v>
      </c>
    </row>
    <row r="1452" spans="1:11" x14ac:dyDescent="0.25">
      <c r="A1452" t="s">
        <v>4994</v>
      </c>
      <c r="B1452" t="s">
        <v>4995</v>
      </c>
      <c r="C1452" t="s">
        <v>4996</v>
      </c>
      <c r="D1452" t="s">
        <v>4997</v>
      </c>
      <c r="E1452" t="s">
        <v>14</v>
      </c>
      <c r="F1452" t="s">
        <v>15</v>
      </c>
      <c r="G1452">
        <v>15217</v>
      </c>
      <c r="H1452" t="s">
        <v>48</v>
      </c>
      <c r="I1452">
        <v>94</v>
      </c>
      <c r="J1452">
        <v>1</v>
      </c>
      <c r="K1452" t="s">
        <v>8131</v>
      </c>
    </row>
    <row r="1453" spans="1:11" x14ac:dyDescent="0.25">
      <c r="A1453" t="s">
        <v>4998</v>
      </c>
      <c r="B1453" t="s">
        <v>4999</v>
      </c>
      <c r="C1453" t="s">
        <v>5000</v>
      </c>
      <c r="D1453" t="s">
        <v>5001</v>
      </c>
      <c r="E1453" t="s">
        <v>14</v>
      </c>
      <c r="F1453" t="s">
        <v>15</v>
      </c>
      <c r="G1453">
        <v>15215</v>
      </c>
      <c r="H1453" t="s">
        <v>48</v>
      </c>
      <c r="I1453">
        <v>9</v>
      </c>
      <c r="J1453">
        <v>1</v>
      </c>
      <c r="K1453" t="s">
        <v>8131</v>
      </c>
    </row>
    <row r="1454" spans="1:11" x14ac:dyDescent="0.25">
      <c r="A1454" t="s">
        <v>5002</v>
      </c>
      <c r="B1454" t="s">
        <v>5003</v>
      </c>
      <c r="C1454" t="s">
        <v>5004</v>
      </c>
      <c r="D1454" t="s">
        <v>5005</v>
      </c>
      <c r="E1454" t="s">
        <v>14</v>
      </c>
      <c r="F1454" t="s">
        <v>15</v>
      </c>
      <c r="G1454">
        <v>15232</v>
      </c>
      <c r="H1454" t="s">
        <v>48</v>
      </c>
      <c r="I1454">
        <v>21</v>
      </c>
      <c r="J1454">
        <v>1</v>
      </c>
      <c r="K1454" t="s">
        <v>8131</v>
      </c>
    </row>
    <row r="1455" spans="1:11" x14ac:dyDescent="0.25">
      <c r="A1455" t="s">
        <v>5006</v>
      </c>
      <c r="B1455" t="s">
        <v>5007</v>
      </c>
      <c r="C1455" t="s">
        <v>5008</v>
      </c>
      <c r="D1455" t="s">
        <v>5009</v>
      </c>
      <c r="E1455" t="s">
        <v>14</v>
      </c>
      <c r="F1455" t="s">
        <v>15</v>
      </c>
      <c r="G1455">
        <v>15213</v>
      </c>
      <c r="H1455" t="s">
        <v>16</v>
      </c>
      <c r="I1455">
        <v>5</v>
      </c>
      <c r="J1455">
        <v>1</v>
      </c>
      <c r="K1455" t="s">
        <v>8131</v>
      </c>
    </row>
    <row r="1456" spans="1:11" x14ac:dyDescent="0.25">
      <c r="A1456" t="s">
        <v>5010</v>
      </c>
      <c r="B1456" t="s">
        <v>5011</v>
      </c>
      <c r="C1456" t="s">
        <v>5012</v>
      </c>
      <c r="D1456" t="s">
        <v>5013</v>
      </c>
      <c r="E1456" t="s">
        <v>14</v>
      </c>
      <c r="F1456" t="s">
        <v>15</v>
      </c>
      <c r="G1456">
        <v>15219</v>
      </c>
      <c r="H1456" t="s">
        <v>48</v>
      </c>
      <c r="I1456">
        <v>16</v>
      </c>
      <c r="J1456">
        <v>1</v>
      </c>
      <c r="K1456" t="s">
        <v>8131</v>
      </c>
    </row>
    <row r="1457" spans="1:11" x14ac:dyDescent="0.25">
      <c r="A1457" t="s">
        <v>5014</v>
      </c>
      <c r="B1457" t="s">
        <v>36</v>
      </c>
      <c r="C1457" t="s">
        <v>762</v>
      </c>
      <c r="D1457" t="s">
        <v>5015</v>
      </c>
      <c r="E1457" t="s">
        <v>14</v>
      </c>
      <c r="F1457" t="s">
        <v>15</v>
      </c>
      <c r="G1457">
        <v>15237</v>
      </c>
      <c r="H1457" t="s">
        <v>16</v>
      </c>
      <c r="I1457">
        <v>10</v>
      </c>
      <c r="J1457">
        <v>1</v>
      </c>
      <c r="K1457" t="s">
        <v>8131</v>
      </c>
    </row>
    <row r="1458" spans="1:11" x14ac:dyDescent="0.25">
      <c r="A1458" t="s">
        <v>5016</v>
      </c>
      <c r="B1458" t="s">
        <v>2389</v>
      </c>
      <c r="C1458" t="s">
        <v>5017</v>
      </c>
      <c r="D1458" t="s">
        <v>5018</v>
      </c>
      <c r="E1458" t="s">
        <v>14</v>
      </c>
      <c r="F1458" t="s">
        <v>15</v>
      </c>
      <c r="G1458">
        <v>15222</v>
      </c>
      <c r="H1458" t="s">
        <v>43</v>
      </c>
      <c r="I1458">
        <v>13</v>
      </c>
      <c r="J1458">
        <v>0</v>
      </c>
      <c r="K1458" t="s">
        <v>8131</v>
      </c>
    </row>
    <row r="1459" spans="1:11" x14ac:dyDescent="0.25">
      <c r="A1459" t="s">
        <v>5019</v>
      </c>
      <c r="B1459" t="s">
        <v>5020</v>
      </c>
      <c r="C1459" t="s">
        <v>5021</v>
      </c>
      <c r="D1459" t="s">
        <v>5022</v>
      </c>
      <c r="E1459" t="s">
        <v>14</v>
      </c>
      <c r="F1459" t="s">
        <v>15</v>
      </c>
      <c r="G1459">
        <v>15213</v>
      </c>
      <c r="H1459" t="s">
        <v>48</v>
      </c>
      <c r="I1459">
        <v>36</v>
      </c>
      <c r="J1459">
        <v>1</v>
      </c>
      <c r="K1459" t="s">
        <v>8121</v>
      </c>
    </row>
    <row r="1460" spans="1:11" x14ac:dyDescent="0.25">
      <c r="A1460" t="s">
        <v>5023</v>
      </c>
      <c r="B1460" t="s">
        <v>377</v>
      </c>
      <c r="C1460" t="s">
        <v>5024</v>
      </c>
      <c r="D1460" t="s">
        <v>5025</v>
      </c>
      <c r="E1460" t="s">
        <v>14</v>
      </c>
      <c r="F1460" t="s">
        <v>15</v>
      </c>
      <c r="G1460">
        <v>15219</v>
      </c>
      <c r="H1460" t="s">
        <v>16</v>
      </c>
      <c r="I1460">
        <v>140</v>
      </c>
      <c r="J1460">
        <v>1</v>
      </c>
      <c r="K1460" t="s">
        <v>8124</v>
      </c>
    </row>
    <row r="1461" spans="1:11" x14ac:dyDescent="0.25">
      <c r="A1461" t="s">
        <v>5026</v>
      </c>
      <c r="B1461" t="s">
        <v>5027</v>
      </c>
      <c r="C1461" t="s">
        <v>5028</v>
      </c>
      <c r="D1461" t="s">
        <v>5029</v>
      </c>
      <c r="E1461" t="s">
        <v>14</v>
      </c>
      <c r="F1461" t="s">
        <v>15</v>
      </c>
      <c r="G1461">
        <v>15210</v>
      </c>
      <c r="H1461" t="s">
        <v>92</v>
      </c>
      <c r="I1461">
        <v>10</v>
      </c>
      <c r="J1461">
        <v>1</v>
      </c>
      <c r="K1461" t="s">
        <v>8119</v>
      </c>
    </row>
    <row r="1462" spans="1:11" x14ac:dyDescent="0.25">
      <c r="A1462" t="s">
        <v>5030</v>
      </c>
      <c r="B1462" t="s">
        <v>5031</v>
      </c>
      <c r="C1462" t="s">
        <v>5032</v>
      </c>
      <c r="D1462" t="s">
        <v>198</v>
      </c>
      <c r="E1462" t="s">
        <v>14</v>
      </c>
      <c r="F1462" t="s">
        <v>15</v>
      </c>
      <c r="G1462">
        <v>15222</v>
      </c>
      <c r="H1462" t="s">
        <v>48</v>
      </c>
      <c r="I1462">
        <v>4</v>
      </c>
      <c r="J1462">
        <v>1</v>
      </c>
      <c r="K1462" t="s">
        <v>8127</v>
      </c>
    </row>
    <row r="1463" spans="1:11" x14ac:dyDescent="0.25">
      <c r="A1463" t="s">
        <v>5033</v>
      </c>
      <c r="B1463" t="s">
        <v>5034</v>
      </c>
      <c r="C1463" t="s">
        <v>5035</v>
      </c>
      <c r="D1463" t="s">
        <v>5036</v>
      </c>
      <c r="E1463" t="s">
        <v>14</v>
      </c>
      <c r="F1463" t="s">
        <v>15</v>
      </c>
      <c r="G1463">
        <v>15219</v>
      </c>
      <c r="H1463" t="s">
        <v>43</v>
      </c>
      <c r="I1463">
        <v>90</v>
      </c>
      <c r="J1463">
        <v>1</v>
      </c>
      <c r="K1463" t="s">
        <v>8131</v>
      </c>
    </row>
    <row r="1464" spans="1:11" x14ac:dyDescent="0.25">
      <c r="A1464" t="s">
        <v>5037</v>
      </c>
      <c r="B1464" t="s">
        <v>5038</v>
      </c>
      <c r="C1464" t="s">
        <v>5039</v>
      </c>
      <c r="D1464" t="s">
        <v>5040</v>
      </c>
      <c r="E1464" t="s">
        <v>14</v>
      </c>
      <c r="F1464" t="s">
        <v>15</v>
      </c>
      <c r="G1464">
        <v>15205</v>
      </c>
      <c r="H1464" t="s">
        <v>43</v>
      </c>
      <c r="I1464">
        <v>182</v>
      </c>
      <c r="J1464">
        <v>1</v>
      </c>
      <c r="K1464" t="s">
        <v>8131</v>
      </c>
    </row>
    <row r="1465" spans="1:11" x14ac:dyDescent="0.25">
      <c r="A1465" t="s">
        <v>5041</v>
      </c>
      <c r="B1465" t="s">
        <v>5042</v>
      </c>
      <c r="C1465" t="s">
        <v>4781</v>
      </c>
      <c r="D1465" t="s">
        <v>2970</v>
      </c>
      <c r="E1465" t="s">
        <v>14</v>
      </c>
      <c r="F1465" t="s">
        <v>15</v>
      </c>
      <c r="G1465">
        <v>15222</v>
      </c>
      <c r="H1465" t="s">
        <v>48</v>
      </c>
      <c r="I1465">
        <v>271</v>
      </c>
      <c r="J1465">
        <v>1</v>
      </c>
      <c r="K1465" t="s">
        <v>8131</v>
      </c>
    </row>
    <row r="1466" spans="1:11" x14ac:dyDescent="0.25">
      <c r="A1466" t="s">
        <v>5043</v>
      </c>
      <c r="B1466" t="s">
        <v>586</v>
      </c>
      <c r="C1466" t="s">
        <v>5044</v>
      </c>
      <c r="D1466" t="s">
        <v>5045</v>
      </c>
      <c r="E1466" t="s">
        <v>14</v>
      </c>
      <c r="F1466" t="s">
        <v>15</v>
      </c>
      <c r="G1466">
        <v>15203</v>
      </c>
      <c r="H1466" t="s">
        <v>21</v>
      </c>
      <c r="I1466">
        <v>188</v>
      </c>
      <c r="J1466">
        <v>0</v>
      </c>
      <c r="K1466" t="s">
        <v>8120</v>
      </c>
    </row>
    <row r="1467" spans="1:11" x14ac:dyDescent="0.25">
      <c r="A1467" t="s">
        <v>5046</v>
      </c>
      <c r="B1467" t="s">
        <v>5047</v>
      </c>
      <c r="C1467" t="s">
        <v>5048</v>
      </c>
      <c r="D1467" t="s">
        <v>5049</v>
      </c>
      <c r="E1467" t="s">
        <v>14</v>
      </c>
      <c r="F1467" t="s">
        <v>15</v>
      </c>
      <c r="G1467">
        <v>15236</v>
      </c>
      <c r="H1467" t="s">
        <v>48</v>
      </c>
      <c r="I1467">
        <v>71</v>
      </c>
      <c r="J1467">
        <v>1</v>
      </c>
      <c r="K1467" t="s">
        <v>8131</v>
      </c>
    </row>
    <row r="1468" spans="1:11" x14ac:dyDescent="0.25">
      <c r="A1468" t="s">
        <v>5050</v>
      </c>
      <c r="B1468" t="s">
        <v>5051</v>
      </c>
      <c r="C1468" t="s">
        <v>5052</v>
      </c>
      <c r="D1468" t="s">
        <v>5053</v>
      </c>
      <c r="E1468" t="s">
        <v>14</v>
      </c>
      <c r="F1468" t="s">
        <v>15</v>
      </c>
      <c r="G1468">
        <v>15275</v>
      </c>
      <c r="H1468" t="s">
        <v>34</v>
      </c>
      <c r="I1468">
        <v>27</v>
      </c>
      <c r="J1468">
        <v>1</v>
      </c>
      <c r="K1468" t="s">
        <v>8128</v>
      </c>
    </row>
    <row r="1469" spans="1:11" x14ac:dyDescent="0.25">
      <c r="A1469" t="s">
        <v>5054</v>
      </c>
      <c r="B1469" t="s">
        <v>5055</v>
      </c>
      <c r="C1469" t="s">
        <v>5056</v>
      </c>
      <c r="D1469" t="s">
        <v>5057</v>
      </c>
      <c r="E1469" t="s">
        <v>14</v>
      </c>
      <c r="F1469" t="s">
        <v>15</v>
      </c>
      <c r="G1469">
        <v>15206</v>
      </c>
      <c r="H1469" t="s">
        <v>21</v>
      </c>
      <c r="I1469">
        <v>92</v>
      </c>
      <c r="J1469">
        <v>1</v>
      </c>
      <c r="K1469" t="s">
        <v>8131</v>
      </c>
    </row>
    <row r="1470" spans="1:11" x14ac:dyDescent="0.25">
      <c r="A1470" t="s">
        <v>5058</v>
      </c>
      <c r="B1470" t="s">
        <v>65</v>
      </c>
      <c r="C1470" t="s">
        <v>5059</v>
      </c>
      <c r="D1470" t="s">
        <v>654</v>
      </c>
      <c r="E1470" t="s">
        <v>14</v>
      </c>
      <c r="F1470" t="s">
        <v>15</v>
      </c>
      <c r="G1470">
        <v>15227</v>
      </c>
      <c r="H1470" t="s">
        <v>16</v>
      </c>
      <c r="I1470">
        <v>12</v>
      </c>
      <c r="J1470">
        <v>1</v>
      </c>
      <c r="K1470" t="s">
        <v>8131</v>
      </c>
    </row>
    <row r="1471" spans="1:11" x14ac:dyDescent="0.25">
      <c r="A1471" t="s">
        <v>5060</v>
      </c>
      <c r="B1471" t="s">
        <v>5061</v>
      </c>
      <c r="C1471" t="s">
        <v>5062</v>
      </c>
      <c r="D1471" t="s">
        <v>5063</v>
      </c>
      <c r="E1471" t="s">
        <v>14</v>
      </c>
      <c r="F1471" t="s">
        <v>15</v>
      </c>
      <c r="G1471">
        <v>15232</v>
      </c>
      <c r="H1471" t="s">
        <v>16</v>
      </c>
      <c r="I1471">
        <v>137</v>
      </c>
      <c r="J1471">
        <v>0</v>
      </c>
      <c r="K1471" t="s">
        <v>8131</v>
      </c>
    </row>
    <row r="1472" spans="1:11" x14ac:dyDescent="0.25">
      <c r="A1472" t="s">
        <v>5064</v>
      </c>
      <c r="B1472" t="s">
        <v>36</v>
      </c>
      <c r="C1472" t="s">
        <v>5065</v>
      </c>
      <c r="D1472" t="s">
        <v>5066</v>
      </c>
      <c r="E1472" t="s">
        <v>14</v>
      </c>
      <c r="F1472" t="s">
        <v>15</v>
      </c>
      <c r="G1472">
        <v>15210</v>
      </c>
      <c r="H1472" t="s">
        <v>16</v>
      </c>
      <c r="I1472">
        <v>22</v>
      </c>
      <c r="J1472">
        <v>1</v>
      </c>
      <c r="K1472" t="s">
        <v>8131</v>
      </c>
    </row>
    <row r="1473" spans="1:11" x14ac:dyDescent="0.25">
      <c r="A1473" t="s">
        <v>5067</v>
      </c>
      <c r="B1473" t="s">
        <v>5068</v>
      </c>
      <c r="C1473" t="s">
        <v>5069</v>
      </c>
      <c r="D1473" t="s">
        <v>5070</v>
      </c>
      <c r="E1473" t="s">
        <v>14</v>
      </c>
      <c r="F1473" t="s">
        <v>15</v>
      </c>
      <c r="G1473">
        <v>15223</v>
      </c>
      <c r="H1473" t="s">
        <v>92</v>
      </c>
      <c r="I1473">
        <v>73</v>
      </c>
      <c r="J1473">
        <v>1</v>
      </c>
      <c r="K1473" t="s">
        <v>8132</v>
      </c>
    </row>
    <row r="1474" spans="1:11" x14ac:dyDescent="0.25">
      <c r="A1474" t="s">
        <v>5071</v>
      </c>
      <c r="B1474" t="s">
        <v>5072</v>
      </c>
      <c r="C1474" t="s">
        <v>5073</v>
      </c>
      <c r="D1474" t="s">
        <v>176</v>
      </c>
      <c r="E1474" t="s">
        <v>14</v>
      </c>
      <c r="F1474" t="s">
        <v>15</v>
      </c>
      <c r="G1474">
        <v>15212</v>
      </c>
      <c r="H1474" t="s">
        <v>43</v>
      </c>
      <c r="I1474">
        <v>92</v>
      </c>
      <c r="J1474">
        <v>1</v>
      </c>
      <c r="K1474" t="s">
        <v>8131</v>
      </c>
    </row>
    <row r="1475" spans="1:11" x14ac:dyDescent="0.25">
      <c r="A1475" t="s">
        <v>5074</v>
      </c>
      <c r="B1475" t="s">
        <v>5075</v>
      </c>
      <c r="C1475" t="s">
        <v>5076</v>
      </c>
      <c r="E1475" t="s">
        <v>14</v>
      </c>
      <c r="F1475" t="s">
        <v>15</v>
      </c>
      <c r="G1475">
        <v>15205</v>
      </c>
      <c r="H1475" t="s">
        <v>16</v>
      </c>
      <c r="I1475">
        <v>17</v>
      </c>
      <c r="J1475">
        <v>1</v>
      </c>
      <c r="K1475" t="s">
        <v>8131</v>
      </c>
    </row>
    <row r="1476" spans="1:11" x14ac:dyDescent="0.25">
      <c r="A1476" t="s">
        <v>5077</v>
      </c>
      <c r="B1476" t="s">
        <v>578</v>
      </c>
      <c r="C1476" t="s">
        <v>5078</v>
      </c>
      <c r="D1476" t="s">
        <v>5079</v>
      </c>
      <c r="E1476" t="s">
        <v>14</v>
      </c>
      <c r="F1476" t="s">
        <v>15</v>
      </c>
      <c r="G1476">
        <v>15212</v>
      </c>
      <c r="H1476" t="s">
        <v>21</v>
      </c>
      <c r="I1476">
        <v>16</v>
      </c>
      <c r="J1476">
        <v>1</v>
      </c>
      <c r="K1476" t="s">
        <v>8131</v>
      </c>
    </row>
    <row r="1477" spans="1:11" x14ac:dyDescent="0.25">
      <c r="A1477" t="s">
        <v>5080</v>
      </c>
      <c r="B1477" t="s">
        <v>5081</v>
      </c>
      <c r="C1477" t="s">
        <v>5082</v>
      </c>
      <c r="D1477" t="s">
        <v>4909</v>
      </c>
      <c r="E1477" t="s">
        <v>14</v>
      </c>
      <c r="F1477" t="s">
        <v>15</v>
      </c>
      <c r="G1477">
        <v>15222</v>
      </c>
      <c r="H1477" t="s">
        <v>43</v>
      </c>
      <c r="I1477">
        <v>14</v>
      </c>
      <c r="J1477">
        <v>0</v>
      </c>
      <c r="K1477" t="s">
        <v>8133</v>
      </c>
    </row>
    <row r="1478" spans="1:11" x14ac:dyDescent="0.25">
      <c r="A1478" t="s">
        <v>5083</v>
      </c>
      <c r="B1478" t="s">
        <v>5084</v>
      </c>
      <c r="C1478" t="s">
        <v>5085</v>
      </c>
      <c r="D1478" t="s">
        <v>5086</v>
      </c>
      <c r="E1478" t="s">
        <v>14</v>
      </c>
      <c r="F1478" t="s">
        <v>15</v>
      </c>
      <c r="G1478">
        <v>15206</v>
      </c>
      <c r="H1478" t="s">
        <v>16</v>
      </c>
      <c r="I1478">
        <v>444</v>
      </c>
      <c r="J1478">
        <v>1</v>
      </c>
      <c r="K1478" t="s">
        <v>8124</v>
      </c>
    </row>
    <row r="1479" spans="1:11" x14ac:dyDescent="0.25">
      <c r="A1479" t="s">
        <v>5087</v>
      </c>
      <c r="B1479" t="s">
        <v>5088</v>
      </c>
      <c r="C1479" t="s">
        <v>2813</v>
      </c>
      <c r="D1479" t="s">
        <v>75</v>
      </c>
      <c r="E1479" t="s">
        <v>14</v>
      </c>
      <c r="F1479" t="s">
        <v>15</v>
      </c>
      <c r="G1479">
        <v>15212</v>
      </c>
      <c r="H1479" t="s">
        <v>48</v>
      </c>
      <c r="I1479">
        <v>7</v>
      </c>
      <c r="J1479">
        <v>1</v>
      </c>
      <c r="K1479" t="s">
        <v>8131</v>
      </c>
    </row>
    <row r="1480" spans="1:11" x14ac:dyDescent="0.25">
      <c r="A1480" t="s">
        <v>5089</v>
      </c>
      <c r="B1480" t="s">
        <v>5090</v>
      </c>
      <c r="C1480" t="s">
        <v>1461</v>
      </c>
      <c r="D1480" t="s">
        <v>280</v>
      </c>
      <c r="E1480" t="s">
        <v>14</v>
      </c>
      <c r="F1480" t="s">
        <v>15</v>
      </c>
      <c r="G1480">
        <v>15224</v>
      </c>
      <c r="H1480" t="s">
        <v>48</v>
      </c>
      <c r="I1480">
        <v>22</v>
      </c>
      <c r="J1480">
        <v>0</v>
      </c>
      <c r="K1480" t="s">
        <v>8131</v>
      </c>
    </row>
    <row r="1481" spans="1:11" x14ac:dyDescent="0.25">
      <c r="A1481" t="s">
        <v>5091</v>
      </c>
      <c r="B1481" t="s">
        <v>5092</v>
      </c>
      <c r="C1481" t="s">
        <v>5093</v>
      </c>
      <c r="D1481" t="s">
        <v>5094</v>
      </c>
      <c r="E1481" t="s">
        <v>14</v>
      </c>
      <c r="F1481" t="s">
        <v>15</v>
      </c>
      <c r="G1481">
        <v>15221</v>
      </c>
      <c r="H1481" t="s">
        <v>16</v>
      </c>
      <c r="I1481">
        <v>35</v>
      </c>
      <c r="J1481">
        <v>1</v>
      </c>
      <c r="K1481" t="s">
        <v>8120</v>
      </c>
    </row>
    <row r="1482" spans="1:11" x14ac:dyDescent="0.25">
      <c r="A1482" t="s">
        <v>5095</v>
      </c>
      <c r="B1482" t="s">
        <v>5096</v>
      </c>
      <c r="C1482" t="s">
        <v>5097</v>
      </c>
      <c r="D1482" t="s">
        <v>5098</v>
      </c>
      <c r="E1482" t="s">
        <v>14</v>
      </c>
      <c r="F1482" t="s">
        <v>15</v>
      </c>
      <c r="G1482">
        <v>15232</v>
      </c>
      <c r="H1482" t="s">
        <v>34</v>
      </c>
      <c r="I1482">
        <v>8</v>
      </c>
      <c r="J1482">
        <v>1</v>
      </c>
      <c r="K1482" t="s">
        <v>8131</v>
      </c>
    </row>
    <row r="1483" spans="1:11" x14ac:dyDescent="0.25">
      <c r="A1483" t="s">
        <v>5099</v>
      </c>
      <c r="B1483" t="s">
        <v>578</v>
      </c>
      <c r="C1483" t="s">
        <v>5100</v>
      </c>
      <c r="D1483" t="s">
        <v>5101</v>
      </c>
      <c r="E1483" t="s">
        <v>14</v>
      </c>
      <c r="F1483" t="s">
        <v>15</v>
      </c>
      <c r="G1483">
        <v>15236</v>
      </c>
      <c r="H1483" t="s">
        <v>34</v>
      </c>
      <c r="I1483">
        <v>4</v>
      </c>
      <c r="J1483">
        <v>0</v>
      </c>
      <c r="K1483" t="s">
        <v>8131</v>
      </c>
    </row>
    <row r="1484" spans="1:11" x14ac:dyDescent="0.25">
      <c r="A1484" t="s">
        <v>5102</v>
      </c>
      <c r="B1484" t="s">
        <v>5103</v>
      </c>
      <c r="C1484" t="s">
        <v>5104</v>
      </c>
      <c r="D1484" t="s">
        <v>1238</v>
      </c>
      <c r="E1484" t="s">
        <v>14</v>
      </c>
      <c r="F1484" t="s">
        <v>15</v>
      </c>
      <c r="G1484">
        <v>15212</v>
      </c>
      <c r="H1484" t="s">
        <v>34</v>
      </c>
      <c r="I1484">
        <v>93</v>
      </c>
      <c r="J1484">
        <v>1</v>
      </c>
      <c r="K1484" t="s">
        <v>8131</v>
      </c>
    </row>
    <row r="1485" spans="1:11" x14ac:dyDescent="0.25">
      <c r="A1485" t="s">
        <v>5105</v>
      </c>
      <c r="B1485" t="s">
        <v>5106</v>
      </c>
      <c r="C1485" t="s">
        <v>5107</v>
      </c>
      <c r="D1485" t="s">
        <v>5108</v>
      </c>
      <c r="E1485" t="s">
        <v>14</v>
      </c>
      <c r="F1485" t="s">
        <v>15</v>
      </c>
      <c r="G1485">
        <v>15212</v>
      </c>
      <c r="H1485" t="s">
        <v>34</v>
      </c>
      <c r="I1485">
        <v>95</v>
      </c>
      <c r="J1485">
        <v>0</v>
      </c>
      <c r="K1485" t="s">
        <v>8120</v>
      </c>
    </row>
    <row r="1486" spans="1:11" x14ac:dyDescent="0.25">
      <c r="A1486" t="s">
        <v>5109</v>
      </c>
      <c r="B1486" t="s">
        <v>5110</v>
      </c>
      <c r="C1486" t="s">
        <v>5111</v>
      </c>
      <c r="D1486" t="s">
        <v>5112</v>
      </c>
      <c r="E1486" t="s">
        <v>14</v>
      </c>
      <c r="F1486" t="s">
        <v>15</v>
      </c>
      <c r="G1486">
        <v>15213</v>
      </c>
      <c r="H1486" t="s">
        <v>16</v>
      </c>
      <c r="I1486">
        <v>6</v>
      </c>
      <c r="J1486">
        <v>0</v>
      </c>
      <c r="K1486" t="s">
        <v>8131</v>
      </c>
    </row>
    <row r="1487" spans="1:11" x14ac:dyDescent="0.25">
      <c r="A1487" t="s">
        <v>5113</v>
      </c>
      <c r="B1487" t="s">
        <v>5114</v>
      </c>
      <c r="C1487" t="s">
        <v>5115</v>
      </c>
      <c r="D1487" t="s">
        <v>1748</v>
      </c>
      <c r="E1487" t="s">
        <v>14</v>
      </c>
      <c r="F1487" t="s">
        <v>15</v>
      </c>
      <c r="G1487">
        <v>15222</v>
      </c>
      <c r="H1487" t="s">
        <v>21</v>
      </c>
      <c r="I1487">
        <v>3</v>
      </c>
      <c r="J1487">
        <v>0</v>
      </c>
      <c r="K1487" t="s">
        <v>8131</v>
      </c>
    </row>
    <row r="1488" spans="1:11" x14ac:dyDescent="0.25">
      <c r="A1488" t="s">
        <v>5116</v>
      </c>
      <c r="B1488" t="s">
        <v>377</v>
      </c>
      <c r="C1488" t="s">
        <v>5117</v>
      </c>
      <c r="D1488" t="s">
        <v>4782</v>
      </c>
      <c r="E1488" t="s">
        <v>14</v>
      </c>
      <c r="F1488" t="s">
        <v>15</v>
      </c>
      <c r="G1488">
        <v>15228</v>
      </c>
      <c r="H1488" t="s">
        <v>43</v>
      </c>
      <c r="I1488">
        <v>17</v>
      </c>
      <c r="J1488">
        <v>0</v>
      </c>
      <c r="K1488" t="s">
        <v>8124</v>
      </c>
    </row>
    <row r="1489" spans="1:11" x14ac:dyDescent="0.25">
      <c r="A1489" t="s">
        <v>5118</v>
      </c>
      <c r="B1489" t="s">
        <v>5119</v>
      </c>
      <c r="C1489" t="s">
        <v>5120</v>
      </c>
      <c r="D1489" t="s">
        <v>5121</v>
      </c>
      <c r="E1489" t="s">
        <v>14</v>
      </c>
      <c r="F1489" t="s">
        <v>15</v>
      </c>
      <c r="G1489">
        <v>15226</v>
      </c>
      <c r="H1489" t="s">
        <v>21</v>
      </c>
      <c r="I1489">
        <v>10</v>
      </c>
      <c r="J1489">
        <v>0</v>
      </c>
      <c r="K1489" t="s">
        <v>8131</v>
      </c>
    </row>
    <row r="1490" spans="1:11" x14ac:dyDescent="0.25">
      <c r="A1490" t="s">
        <v>5122</v>
      </c>
      <c r="B1490" t="s">
        <v>5123</v>
      </c>
      <c r="C1490" t="s">
        <v>5124</v>
      </c>
      <c r="D1490" t="s">
        <v>5125</v>
      </c>
      <c r="E1490" t="s">
        <v>14</v>
      </c>
      <c r="F1490" t="s">
        <v>15</v>
      </c>
      <c r="G1490">
        <v>15217</v>
      </c>
      <c r="H1490" t="s">
        <v>16</v>
      </c>
      <c r="I1490">
        <v>208</v>
      </c>
      <c r="J1490">
        <v>1</v>
      </c>
      <c r="K1490" t="s">
        <v>8120</v>
      </c>
    </row>
    <row r="1491" spans="1:11" x14ac:dyDescent="0.25">
      <c r="A1491" t="s">
        <v>5126</v>
      </c>
      <c r="B1491" t="s">
        <v>5127</v>
      </c>
      <c r="C1491" t="s">
        <v>5128</v>
      </c>
      <c r="D1491" t="s">
        <v>5129</v>
      </c>
      <c r="E1491" t="s">
        <v>14</v>
      </c>
      <c r="F1491" t="s">
        <v>15</v>
      </c>
      <c r="G1491">
        <v>15237</v>
      </c>
      <c r="H1491" t="s">
        <v>48</v>
      </c>
      <c r="I1491">
        <v>212</v>
      </c>
      <c r="J1491">
        <v>1</v>
      </c>
      <c r="K1491" t="s">
        <v>8131</v>
      </c>
    </row>
    <row r="1492" spans="1:11" x14ac:dyDescent="0.25">
      <c r="A1492" t="s">
        <v>5130</v>
      </c>
      <c r="B1492" t="s">
        <v>65</v>
      </c>
      <c r="C1492" t="s">
        <v>5131</v>
      </c>
      <c r="D1492" t="s">
        <v>5132</v>
      </c>
      <c r="E1492" t="s">
        <v>14</v>
      </c>
      <c r="F1492" t="s">
        <v>15</v>
      </c>
      <c r="G1492">
        <v>15236</v>
      </c>
      <c r="H1492" t="s">
        <v>48</v>
      </c>
      <c r="I1492">
        <v>14</v>
      </c>
      <c r="J1492">
        <v>1</v>
      </c>
      <c r="K1492" t="s">
        <v>8131</v>
      </c>
    </row>
    <row r="1493" spans="1:11" x14ac:dyDescent="0.25">
      <c r="A1493" t="s">
        <v>5133</v>
      </c>
      <c r="B1493" t="s">
        <v>5134</v>
      </c>
      <c r="C1493" t="s">
        <v>260</v>
      </c>
      <c r="D1493" t="s">
        <v>5135</v>
      </c>
      <c r="E1493" t="s">
        <v>14</v>
      </c>
      <c r="F1493" t="s">
        <v>15</v>
      </c>
      <c r="G1493">
        <v>15222</v>
      </c>
      <c r="H1493" t="s">
        <v>34</v>
      </c>
      <c r="I1493">
        <v>60</v>
      </c>
      <c r="J1493">
        <v>1</v>
      </c>
      <c r="K1493" t="s">
        <v>8122</v>
      </c>
    </row>
    <row r="1494" spans="1:11" x14ac:dyDescent="0.25">
      <c r="A1494" t="s">
        <v>5136</v>
      </c>
      <c r="B1494" t="s">
        <v>586</v>
      </c>
      <c r="C1494" t="s">
        <v>5137</v>
      </c>
      <c r="D1494" t="s">
        <v>5138</v>
      </c>
      <c r="E1494" t="s">
        <v>14</v>
      </c>
      <c r="F1494" t="s">
        <v>15</v>
      </c>
      <c r="G1494">
        <v>15219</v>
      </c>
      <c r="H1494" t="s">
        <v>113</v>
      </c>
      <c r="I1494">
        <v>3</v>
      </c>
      <c r="J1494">
        <v>0</v>
      </c>
      <c r="K1494" t="s">
        <v>8120</v>
      </c>
    </row>
    <row r="1495" spans="1:11" x14ac:dyDescent="0.25">
      <c r="A1495" t="s">
        <v>5139</v>
      </c>
      <c r="B1495" t="s">
        <v>5140</v>
      </c>
      <c r="C1495" t="s">
        <v>5141</v>
      </c>
      <c r="D1495" t="s">
        <v>5142</v>
      </c>
      <c r="E1495" t="s">
        <v>14</v>
      </c>
      <c r="F1495" t="s">
        <v>15</v>
      </c>
      <c r="G1495">
        <v>15219</v>
      </c>
      <c r="H1495" t="s">
        <v>34</v>
      </c>
      <c r="I1495">
        <v>5</v>
      </c>
      <c r="J1495">
        <v>0</v>
      </c>
      <c r="K1495" t="s">
        <v>8131</v>
      </c>
    </row>
    <row r="1496" spans="1:11" x14ac:dyDescent="0.25">
      <c r="A1496" t="s">
        <v>5143</v>
      </c>
      <c r="B1496" t="s">
        <v>5144</v>
      </c>
      <c r="C1496" t="s">
        <v>5145</v>
      </c>
      <c r="D1496" t="s">
        <v>5146</v>
      </c>
      <c r="E1496" t="s">
        <v>14</v>
      </c>
      <c r="F1496" t="s">
        <v>15</v>
      </c>
      <c r="G1496">
        <v>15220</v>
      </c>
      <c r="H1496" t="s">
        <v>34</v>
      </c>
      <c r="I1496">
        <v>81</v>
      </c>
      <c r="J1496">
        <v>1</v>
      </c>
      <c r="K1496" t="s">
        <v>8117</v>
      </c>
    </row>
    <row r="1497" spans="1:11" x14ac:dyDescent="0.25">
      <c r="A1497" t="s">
        <v>5147</v>
      </c>
      <c r="B1497" t="s">
        <v>106</v>
      </c>
      <c r="C1497" t="s">
        <v>1633</v>
      </c>
      <c r="D1497" t="s">
        <v>5148</v>
      </c>
      <c r="E1497" t="s">
        <v>14</v>
      </c>
      <c r="F1497" t="s">
        <v>15</v>
      </c>
      <c r="G1497">
        <v>15232</v>
      </c>
      <c r="H1497" t="s">
        <v>16</v>
      </c>
      <c r="I1497">
        <v>280</v>
      </c>
      <c r="J1497">
        <v>1</v>
      </c>
      <c r="K1497" t="s">
        <v>8131</v>
      </c>
    </row>
    <row r="1498" spans="1:11" x14ac:dyDescent="0.25">
      <c r="A1498" t="s">
        <v>5149</v>
      </c>
      <c r="B1498" t="s">
        <v>578</v>
      </c>
      <c r="C1498" t="s">
        <v>5150</v>
      </c>
      <c r="D1498" t="s">
        <v>2861</v>
      </c>
      <c r="E1498" t="s">
        <v>14</v>
      </c>
      <c r="F1498" t="s">
        <v>15</v>
      </c>
      <c r="G1498">
        <v>15213</v>
      </c>
      <c r="H1498" t="s">
        <v>43</v>
      </c>
      <c r="I1498">
        <v>20</v>
      </c>
      <c r="J1498">
        <v>1</v>
      </c>
      <c r="K1498" t="s">
        <v>8131</v>
      </c>
    </row>
    <row r="1499" spans="1:11" x14ac:dyDescent="0.25">
      <c r="A1499" t="s">
        <v>5151</v>
      </c>
      <c r="B1499" t="s">
        <v>5152</v>
      </c>
      <c r="C1499" t="s">
        <v>5153</v>
      </c>
      <c r="D1499" t="s">
        <v>5154</v>
      </c>
      <c r="E1499" t="s">
        <v>14</v>
      </c>
      <c r="F1499" t="s">
        <v>15</v>
      </c>
      <c r="G1499">
        <v>15206</v>
      </c>
      <c r="H1499" t="s">
        <v>21</v>
      </c>
      <c r="I1499">
        <v>128</v>
      </c>
      <c r="J1499">
        <v>1</v>
      </c>
      <c r="K1499" t="s">
        <v>8120</v>
      </c>
    </row>
    <row r="1500" spans="1:11" x14ac:dyDescent="0.25">
      <c r="A1500" t="s">
        <v>5155</v>
      </c>
      <c r="B1500" t="s">
        <v>586</v>
      </c>
      <c r="C1500" t="s">
        <v>5156</v>
      </c>
      <c r="D1500" t="s">
        <v>5157</v>
      </c>
      <c r="E1500" t="s">
        <v>14</v>
      </c>
      <c r="F1500" t="s">
        <v>15</v>
      </c>
      <c r="G1500">
        <v>15218</v>
      </c>
      <c r="H1500" t="s">
        <v>48</v>
      </c>
      <c r="I1500">
        <v>46</v>
      </c>
      <c r="J1500">
        <v>0</v>
      </c>
      <c r="K1500" t="s">
        <v>8120</v>
      </c>
    </row>
    <row r="1501" spans="1:11" x14ac:dyDescent="0.25">
      <c r="A1501" t="s">
        <v>5158</v>
      </c>
      <c r="B1501" t="s">
        <v>94</v>
      </c>
      <c r="C1501" t="s">
        <v>5159</v>
      </c>
      <c r="D1501" t="s">
        <v>1234</v>
      </c>
      <c r="E1501" t="s">
        <v>14</v>
      </c>
      <c r="F1501" t="s">
        <v>15</v>
      </c>
      <c r="G1501">
        <v>15237</v>
      </c>
      <c r="H1501" t="s">
        <v>157</v>
      </c>
      <c r="I1501">
        <v>6</v>
      </c>
      <c r="J1501">
        <v>1</v>
      </c>
      <c r="K1501" t="s">
        <v>8131</v>
      </c>
    </row>
    <row r="1502" spans="1:11" x14ac:dyDescent="0.25">
      <c r="A1502" t="s">
        <v>5160</v>
      </c>
      <c r="B1502" t="s">
        <v>5161</v>
      </c>
      <c r="C1502" t="s">
        <v>5162</v>
      </c>
      <c r="E1502" t="s">
        <v>14</v>
      </c>
      <c r="F1502" t="s">
        <v>15</v>
      </c>
      <c r="G1502">
        <v>15219</v>
      </c>
      <c r="H1502" t="s">
        <v>92</v>
      </c>
      <c r="I1502">
        <v>4</v>
      </c>
      <c r="J1502">
        <v>1</v>
      </c>
      <c r="K1502" t="s">
        <v>8131</v>
      </c>
    </row>
    <row r="1503" spans="1:11" x14ac:dyDescent="0.25">
      <c r="A1503" t="s">
        <v>5163</v>
      </c>
      <c r="B1503" t="s">
        <v>2058</v>
      </c>
      <c r="C1503" t="s">
        <v>260</v>
      </c>
      <c r="D1503" t="s">
        <v>5164</v>
      </c>
      <c r="E1503" t="s">
        <v>14</v>
      </c>
      <c r="F1503" t="s">
        <v>15</v>
      </c>
      <c r="G1503">
        <v>15213</v>
      </c>
      <c r="H1503" t="s">
        <v>48</v>
      </c>
      <c r="I1503">
        <v>50</v>
      </c>
      <c r="J1503">
        <v>1</v>
      </c>
      <c r="K1503" t="s">
        <v>8122</v>
      </c>
    </row>
    <row r="1504" spans="1:11" x14ac:dyDescent="0.25">
      <c r="A1504" t="s">
        <v>5165</v>
      </c>
      <c r="B1504" t="s">
        <v>5166</v>
      </c>
      <c r="C1504" t="s">
        <v>5167</v>
      </c>
      <c r="D1504" t="s">
        <v>599</v>
      </c>
      <c r="E1504" t="s">
        <v>14</v>
      </c>
      <c r="F1504" t="s">
        <v>15</v>
      </c>
      <c r="G1504">
        <v>15219</v>
      </c>
      <c r="H1504" t="s">
        <v>16</v>
      </c>
      <c r="I1504">
        <v>282</v>
      </c>
      <c r="J1504">
        <v>1</v>
      </c>
      <c r="K1504" t="s">
        <v>8131</v>
      </c>
    </row>
    <row r="1505" spans="1:11" x14ac:dyDescent="0.25">
      <c r="A1505" t="s">
        <v>5168</v>
      </c>
      <c r="B1505" t="s">
        <v>5169</v>
      </c>
      <c r="C1505" t="s">
        <v>5170</v>
      </c>
      <c r="E1505" t="s">
        <v>14</v>
      </c>
      <c r="F1505" t="s">
        <v>15</v>
      </c>
      <c r="G1505">
        <v>15222</v>
      </c>
      <c r="H1505" t="s">
        <v>48</v>
      </c>
      <c r="I1505">
        <v>5</v>
      </c>
      <c r="J1505">
        <v>1</v>
      </c>
      <c r="K1505" t="s">
        <v>8131</v>
      </c>
    </row>
    <row r="1506" spans="1:11" x14ac:dyDescent="0.25">
      <c r="A1506" t="s">
        <v>5171</v>
      </c>
      <c r="B1506" t="s">
        <v>5172</v>
      </c>
      <c r="C1506" t="s">
        <v>5173</v>
      </c>
      <c r="D1506" t="s">
        <v>5174</v>
      </c>
      <c r="E1506" t="s">
        <v>14</v>
      </c>
      <c r="F1506" t="s">
        <v>15</v>
      </c>
      <c r="G1506">
        <v>15216</v>
      </c>
      <c r="H1506" t="s">
        <v>21</v>
      </c>
      <c r="I1506">
        <v>34</v>
      </c>
      <c r="J1506">
        <v>1</v>
      </c>
      <c r="K1506" t="s">
        <v>8131</v>
      </c>
    </row>
    <row r="1507" spans="1:11" x14ac:dyDescent="0.25">
      <c r="A1507" t="s">
        <v>5175</v>
      </c>
      <c r="B1507" t="s">
        <v>5176</v>
      </c>
      <c r="C1507" t="s">
        <v>5177</v>
      </c>
      <c r="D1507" t="s">
        <v>1234</v>
      </c>
      <c r="E1507" t="s">
        <v>14</v>
      </c>
      <c r="F1507" t="s">
        <v>15</v>
      </c>
      <c r="G1507">
        <v>15237</v>
      </c>
      <c r="H1507" t="s">
        <v>113</v>
      </c>
      <c r="I1507">
        <v>7</v>
      </c>
      <c r="J1507">
        <v>1</v>
      </c>
      <c r="K1507" t="s">
        <v>8131</v>
      </c>
    </row>
    <row r="1508" spans="1:11" x14ac:dyDescent="0.25">
      <c r="A1508" t="s">
        <v>5178</v>
      </c>
      <c r="B1508" t="s">
        <v>5179</v>
      </c>
      <c r="C1508" t="s">
        <v>419</v>
      </c>
      <c r="D1508" t="s">
        <v>5180</v>
      </c>
      <c r="E1508" t="s">
        <v>14</v>
      </c>
      <c r="F1508" t="s">
        <v>15</v>
      </c>
      <c r="G1508">
        <v>15235</v>
      </c>
      <c r="H1508" t="s">
        <v>157</v>
      </c>
      <c r="I1508">
        <v>4</v>
      </c>
      <c r="J1508">
        <v>1</v>
      </c>
      <c r="K1508" t="s">
        <v>8131</v>
      </c>
    </row>
    <row r="1509" spans="1:11" x14ac:dyDescent="0.25">
      <c r="A1509" t="s">
        <v>5181</v>
      </c>
      <c r="B1509" t="s">
        <v>115</v>
      </c>
      <c r="C1509" t="s">
        <v>5182</v>
      </c>
      <c r="D1509" t="s">
        <v>5183</v>
      </c>
      <c r="E1509" t="s">
        <v>14</v>
      </c>
      <c r="F1509" t="s">
        <v>15</v>
      </c>
      <c r="G1509">
        <v>15239</v>
      </c>
      <c r="H1509" t="s">
        <v>21</v>
      </c>
      <c r="I1509">
        <v>5</v>
      </c>
      <c r="J1509">
        <v>0</v>
      </c>
      <c r="K1509" t="s">
        <v>8120</v>
      </c>
    </row>
    <row r="1510" spans="1:11" x14ac:dyDescent="0.25">
      <c r="A1510" t="s">
        <v>5184</v>
      </c>
      <c r="B1510" t="s">
        <v>5185</v>
      </c>
      <c r="C1510" t="s">
        <v>5186</v>
      </c>
      <c r="D1510" t="s">
        <v>2018</v>
      </c>
      <c r="E1510" t="s">
        <v>14</v>
      </c>
      <c r="F1510" t="s">
        <v>15</v>
      </c>
      <c r="G1510">
        <v>15213</v>
      </c>
      <c r="H1510" t="s">
        <v>34</v>
      </c>
      <c r="I1510">
        <v>14</v>
      </c>
      <c r="J1510">
        <v>0</v>
      </c>
      <c r="K1510" t="s">
        <v>8122</v>
      </c>
    </row>
    <row r="1511" spans="1:11" x14ac:dyDescent="0.25">
      <c r="A1511" t="s">
        <v>5187</v>
      </c>
      <c r="B1511" t="s">
        <v>578</v>
      </c>
      <c r="C1511" t="s">
        <v>5188</v>
      </c>
      <c r="D1511" t="s">
        <v>5189</v>
      </c>
      <c r="E1511" t="s">
        <v>14</v>
      </c>
      <c r="F1511" t="s">
        <v>15</v>
      </c>
      <c r="G1511">
        <v>15238</v>
      </c>
      <c r="H1511" t="s">
        <v>48</v>
      </c>
      <c r="I1511">
        <v>50</v>
      </c>
      <c r="J1511">
        <v>1</v>
      </c>
      <c r="K1511" t="s">
        <v>8131</v>
      </c>
    </row>
    <row r="1512" spans="1:11" x14ac:dyDescent="0.25">
      <c r="A1512" t="s">
        <v>5190</v>
      </c>
      <c r="B1512" t="s">
        <v>1929</v>
      </c>
      <c r="C1512" t="s">
        <v>5191</v>
      </c>
      <c r="D1512" t="s">
        <v>2510</v>
      </c>
      <c r="E1512" t="s">
        <v>14</v>
      </c>
      <c r="F1512" t="s">
        <v>15</v>
      </c>
      <c r="G1512">
        <v>15213</v>
      </c>
      <c r="H1512" t="s">
        <v>34</v>
      </c>
      <c r="I1512">
        <v>22</v>
      </c>
      <c r="J1512">
        <v>0</v>
      </c>
      <c r="K1512" t="s">
        <v>8133</v>
      </c>
    </row>
    <row r="1513" spans="1:11" x14ac:dyDescent="0.25">
      <c r="A1513" t="s">
        <v>5192</v>
      </c>
      <c r="B1513" t="s">
        <v>5193</v>
      </c>
      <c r="C1513" t="s">
        <v>5194</v>
      </c>
      <c r="D1513" t="s">
        <v>4062</v>
      </c>
      <c r="E1513" t="s">
        <v>14</v>
      </c>
      <c r="F1513" t="s">
        <v>15</v>
      </c>
      <c r="G1513">
        <v>15232</v>
      </c>
      <c r="H1513" t="s">
        <v>48</v>
      </c>
      <c r="I1513">
        <v>71</v>
      </c>
      <c r="J1513">
        <v>1</v>
      </c>
      <c r="K1513" t="s">
        <v>8131</v>
      </c>
    </row>
    <row r="1514" spans="1:11" x14ac:dyDescent="0.25">
      <c r="A1514" t="s">
        <v>5195</v>
      </c>
      <c r="B1514" t="s">
        <v>720</v>
      </c>
      <c r="C1514" t="s">
        <v>5196</v>
      </c>
      <c r="D1514" t="s">
        <v>2903</v>
      </c>
      <c r="E1514" t="s">
        <v>14</v>
      </c>
      <c r="F1514" t="s">
        <v>15</v>
      </c>
      <c r="G1514">
        <v>15201</v>
      </c>
      <c r="H1514" t="s">
        <v>48</v>
      </c>
      <c r="I1514">
        <v>19</v>
      </c>
      <c r="J1514">
        <v>1</v>
      </c>
      <c r="K1514" t="s">
        <v>8131</v>
      </c>
    </row>
    <row r="1515" spans="1:11" x14ac:dyDescent="0.25">
      <c r="A1515" t="s">
        <v>5197</v>
      </c>
      <c r="B1515" t="s">
        <v>1950</v>
      </c>
      <c r="C1515" t="s">
        <v>2013</v>
      </c>
      <c r="D1515" t="s">
        <v>5198</v>
      </c>
      <c r="E1515" t="s">
        <v>14</v>
      </c>
      <c r="F1515" t="s">
        <v>15</v>
      </c>
      <c r="G1515">
        <v>15227</v>
      </c>
      <c r="H1515" t="s">
        <v>34</v>
      </c>
      <c r="I1515">
        <v>3</v>
      </c>
      <c r="J1515">
        <v>0</v>
      </c>
      <c r="K1515" t="s">
        <v>8131</v>
      </c>
    </row>
    <row r="1516" spans="1:11" x14ac:dyDescent="0.25">
      <c r="A1516" t="s">
        <v>5199</v>
      </c>
      <c r="B1516" t="s">
        <v>5200</v>
      </c>
      <c r="C1516" t="s">
        <v>5201</v>
      </c>
      <c r="D1516" t="s">
        <v>5202</v>
      </c>
      <c r="E1516" t="s">
        <v>14</v>
      </c>
      <c r="F1516" t="s">
        <v>15</v>
      </c>
      <c r="G1516">
        <v>15222</v>
      </c>
      <c r="H1516" t="s">
        <v>48</v>
      </c>
      <c r="I1516">
        <v>247</v>
      </c>
      <c r="J1516">
        <v>1</v>
      </c>
      <c r="K1516" t="s">
        <v>8122</v>
      </c>
    </row>
    <row r="1517" spans="1:11" x14ac:dyDescent="0.25">
      <c r="A1517" t="s">
        <v>5203</v>
      </c>
      <c r="B1517" t="s">
        <v>5204</v>
      </c>
      <c r="C1517" t="s">
        <v>5205</v>
      </c>
      <c r="D1517" t="s">
        <v>5206</v>
      </c>
      <c r="E1517" t="s">
        <v>14</v>
      </c>
      <c r="F1517" t="s">
        <v>15</v>
      </c>
      <c r="G1517">
        <v>15203</v>
      </c>
      <c r="H1517" t="s">
        <v>16</v>
      </c>
      <c r="I1517">
        <v>36</v>
      </c>
      <c r="J1517">
        <v>1</v>
      </c>
      <c r="K1517" t="s">
        <v>8131</v>
      </c>
    </row>
    <row r="1518" spans="1:11" x14ac:dyDescent="0.25">
      <c r="A1518" t="s">
        <v>5207</v>
      </c>
      <c r="B1518" t="s">
        <v>5208</v>
      </c>
      <c r="C1518" t="s">
        <v>5209</v>
      </c>
      <c r="D1518" t="s">
        <v>5210</v>
      </c>
      <c r="E1518" t="s">
        <v>14</v>
      </c>
      <c r="F1518" t="s">
        <v>15</v>
      </c>
      <c r="G1518">
        <v>15238</v>
      </c>
      <c r="H1518" t="s">
        <v>48</v>
      </c>
      <c r="I1518">
        <v>36</v>
      </c>
      <c r="J1518">
        <v>1</v>
      </c>
      <c r="K1518" t="s">
        <v>8131</v>
      </c>
    </row>
    <row r="1519" spans="1:11" x14ac:dyDescent="0.25">
      <c r="A1519" t="s">
        <v>5211</v>
      </c>
      <c r="B1519" t="s">
        <v>578</v>
      </c>
      <c r="C1519" t="s">
        <v>5212</v>
      </c>
      <c r="D1519" t="s">
        <v>5213</v>
      </c>
      <c r="E1519" t="s">
        <v>14</v>
      </c>
      <c r="F1519" t="s">
        <v>15</v>
      </c>
      <c r="G1519">
        <v>15203</v>
      </c>
      <c r="H1519" t="s">
        <v>48</v>
      </c>
      <c r="I1519">
        <v>14</v>
      </c>
      <c r="J1519">
        <v>1</v>
      </c>
      <c r="K1519" t="s">
        <v>8131</v>
      </c>
    </row>
    <row r="1520" spans="1:11" x14ac:dyDescent="0.25">
      <c r="A1520" t="s">
        <v>5214</v>
      </c>
      <c r="B1520" t="s">
        <v>5215</v>
      </c>
      <c r="C1520" t="s">
        <v>5216</v>
      </c>
      <c r="D1520" t="s">
        <v>5217</v>
      </c>
      <c r="E1520" t="s">
        <v>14</v>
      </c>
      <c r="F1520" t="s">
        <v>15</v>
      </c>
      <c r="G1520">
        <v>15237</v>
      </c>
      <c r="H1520" t="s">
        <v>21</v>
      </c>
      <c r="I1520">
        <v>6</v>
      </c>
      <c r="J1520">
        <v>1</v>
      </c>
      <c r="K1520" t="s">
        <v>8123</v>
      </c>
    </row>
    <row r="1521" spans="1:11" x14ac:dyDescent="0.25">
      <c r="A1521" t="s">
        <v>5218</v>
      </c>
      <c r="B1521" t="s">
        <v>5219</v>
      </c>
      <c r="C1521" t="s">
        <v>5220</v>
      </c>
      <c r="D1521" t="s">
        <v>5221</v>
      </c>
      <c r="E1521" t="s">
        <v>14</v>
      </c>
      <c r="F1521" t="s">
        <v>15</v>
      </c>
      <c r="G1521">
        <v>15203</v>
      </c>
      <c r="H1521" t="s">
        <v>48</v>
      </c>
      <c r="I1521">
        <v>7</v>
      </c>
      <c r="J1521">
        <v>1</v>
      </c>
      <c r="K1521" t="s">
        <v>8131</v>
      </c>
    </row>
    <row r="1522" spans="1:11" x14ac:dyDescent="0.25">
      <c r="A1522" t="s">
        <v>5222</v>
      </c>
      <c r="B1522" t="s">
        <v>65</v>
      </c>
      <c r="C1522" t="s">
        <v>4803</v>
      </c>
      <c r="D1522" t="s">
        <v>5223</v>
      </c>
      <c r="E1522" t="s">
        <v>14</v>
      </c>
      <c r="F1522" t="s">
        <v>15</v>
      </c>
      <c r="G1522">
        <v>15233</v>
      </c>
      <c r="H1522" t="s">
        <v>43</v>
      </c>
      <c r="I1522">
        <v>9</v>
      </c>
      <c r="J1522">
        <v>0</v>
      </c>
      <c r="K1522" t="s">
        <v>8131</v>
      </c>
    </row>
    <row r="1523" spans="1:11" x14ac:dyDescent="0.25">
      <c r="A1523" t="s">
        <v>5224</v>
      </c>
      <c r="B1523" t="s">
        <v>5225</v>
      </c>
      <c r="C1523" t="s">
        <v>5226</v>
      </c>
      <c r="D1523" t="s">
        <v>4387</v>
      </c>
      <c r="E1523" t="s">
        <v>14</v>
      </c>
      <c r="F1523" t="s">
        <v>15</v>
      </c>
      <c r="G1523">
        <v>15275</v>
      </c>
      <c r="H1523" t="s">
        <v>48</v>
      </c>
      <c r="I1523">
        <v>180</v>
      </c>
      <c r="J1523">
        <v>1</v>
      </c>
      <c r="K1523" t="s">
        <v>8131</v>
      </c>
    </row>
    <row r="1524" spans="1:11" x14ac:dyDescent="0.25">
      <c r="A1524" t="s">
        <v>5227</v>
      </c>
      <c r="B1524" t="s">
        <v>5228</v>
      </c>
      <c r="C1524" t="s">
        <v>5229</v>
      </c>
      <c r="D1524" t="s">
        <v>5230</v>
      </c>
      <c r="E1524" t="s">
        <v>14</v>
      </c>
      <c r="F1524" t="s">
        <v>15</v>
      </c>
      <c r="G1524">
        <v>15224</v>
      </c>
      <c r="H1524" t="s">
        <v>16</v>
      </c>
      <c r="I1524">
        <v>299</v>
      </c>
      <c r="J1524">
        <v>1</v>
      </c>
      <c r="K1524" t="s">
        <v>8126</v>
      </c>
    </row>
    <row r="1525" spans="1:11" x14ac:dyDescent="0.25">
      <c r="A1525" t="s">
        <v>5231</v>
      </c>
      <c r="B1525" t="s">
        <v>5232</v>
      </c>
      <c r="C1525" t="s">
        <v>62</v>
      </c>
      <c r="D1525" t="s">
        <v>5233</v>
      </c>
      <c r="E1525" t="s">
        <v>14</v>
      </c>
      <c r="F1525" t="s">
        <v>15</v>
      </c>
      <c r="G1525">
        <v>15215</v>
      </c>
      <c r="H1525" t="s">
        <v>21</v>
      </c>
      <c r="I1525">
        <v>3</v>
      </c>
      <c r="J1525">
        <v>0</v>
      </c>
      <c r="K1525" t="s">
        <v>8133</v>
      </c>
    </row>
    <row r="1526" spans="1:11" x14ac:dyDescent="0.25">
      <c r="A1526" t="s">
        <v>5234</v>
      </c>
      <c r="B1526" t="s">
        <v>5235</v>
      </c>
      <c r="C1526" t="s">
        <v>5236</v>
      </c>
      <c r="D1526" t="s">
        <v>3007</v>
      </c>
      <c r="E1526" t="s">
        <v>14</v>
      </c>
      <c r="F1526" t="s">
        <v>15</v>
      </c>
      <c r="G1526">
        <v>15217</v>
      </c>
      <c r="H1526" t="s">
        <v>48</v>
      </c>
      <c r="I1526">
        <v>79</v>
      </c>
      <c r="J1526">
        <v>0</v>
      </c>
      <c r="K1526" t="s">
        <v>8133</v>
      </c>
    </row>
    <row r="1527" spans="1:11" x14ac:dyDescent="0.25">
      <c r="A1527" t="s">
        <v>5237</v>
      </c>
      <c r="B1527" t="s">
        <v>5238</v>
      </c>
      <c r="C1527" t="s">
        <v>5239</v>
      </c>
      <c r="D1527" t="s">
        <v>5240</v>
      </c>
      <c r="E1527" t="s">
        <v>14</v>
      </c>
      <c r="F1527" t="s">
        <v>15</v>
      </c>
      <c r="G1527">
        <v>15108</v>
      </c>
      <c r="H1527" t="s">
        <v>48</v>
      </c>
      <c r="I1527">
        <v>47</v>
      </c>
      <c r="J1527">
        <v>1</v>
      </c>
      <c r="K1527" t="s">
        <v>8131</v>
      </c>
    </row>
    <row r="1528" spans="1:11" x14ac:dyDescent="0.25">
      <c r="A1528" t="s">
        <v>5241</v>
      </c>
      <c r="B1528" t="s">
        <v>5242</v>
      </c>
      <c r="C1528" t="s">
        <v>5243</v>
      </c>
      <c r="D1528" t="s">
        <v>2045</v>
      </c>
      <c r="E1528" t="s">
        <v>14</v>
      </c>
      <c r="F1528" t="s">
        <v>15</v>
      </c>
      <c r="G1528">
        <v>15221</v>
      </c>
      <c r="H1528" t="s">
        <v>34</v>
      </c>
      <c r="I1528">
        <v>20</v>
      </c>
      <c r="J1528">
        <v>1</v>
      </c>
      <c r="K1528" t="s">
        <v>8131</v>
      </c>
    </row>
    <row r="1529" spans="1:11" x14ac:dyDescent="0.25">
      <c r="A1529" t="s">
        <v>5244</v>
      </c>
      <c r="B1529" t="s">
        <v>5245</v>
      </c>
      <c r="C1529" t="s">
        <v>4015</v>
      </c>
      <c r="D1529" t="s">
        <v>1879</v>
      </c>
      <c r="E1529" t="s">
        <v>14</v>
      </c>
      <c r="F1529" t="s">
        <v>15</v>
      </c>
      <c r="G1529">
        <v>15213</v>
      </c>
      <c r="H1529" t="s">
        <v>34</v>
      </c>
      <c r="I1529">
        <v>19</v>
      </c>
      <c r="J1529">
        <v>0</v>
      </c>
      <c r="K1529" t="s">
        <v>8131</v>
      </c>
    </row>
    <row r="1530" spans="1:11" x14ac:dyDescent="0.25">
      <c r="A1530" t="s">
        <v>5246</v>
      </c>
      <c r="B1530" t="s">
        <v>5247</v>
      </c>
      <c r="C1530" t="s">
        <v>419</v>
      </c>
      <c r="D1530" t="s">
        <v>5248</v>
      </c>
      <c r="E1530" t="s">
        <v>14</v>
      </c>
      <c r="F1530" t="s">
        <v>15</v>
      </c>
      <c r="G1530">
        <v>15205</v>
      </c>
      <c r="H1530" t="s">
        <v>157</v>
      </c>
      <c r="I1530">
        <v>9</v>
      </c>
      <c r="J1530">
        <v>1</v>
      </c>
      <c r="K1530" t="s">
        <v>8131</v>
      </c>
    </row>
    <row r="1531" spans="1:11" x14ac:dyDescent="0.25">
      <c r="A1531" t="s">
        <v>5249</v>
      </c>
      <c r="B1531" t="s">
        <v>5250</v>
      </c>
      <c r="C1531" t="s">
        <v>5251</v>
      </c>
      <c r="D1531" t="s">
        <v>3007</v>
      </c>
      <c r="E1531" t="s">
        <v>14</v>
      </c>
      <c r="F1531" t="s">
        <v>15</v>
      </c>
      <c r="G1531">
        <v>15217</v>
      </c>
      <c r="H1531" t="s">
        <v>48</v>
      </c>
      <c r="I1531">
        <v>67</v>
      </c>
      <c r="J1531">
        <v>1</v>
      </c>
      <c r="K1531" t="s">
        <v>8131</v>
      </c>
    </row>
    <row r="1532" spans="1:11" x14ac:dyDescent="0.25">
      <c r="A1532" t="s">
        <v>5252</v>
      </c>
      <c r="B1532" t="s">
        <v>5253</v>
      </c>
      <c r="C1532" t="s">
        <v>1318</v>
      </c>
      <c r="D1532" t="s">
        <v>3592</v>
      </c>
      <c r="E1532" t="s">
        <v>14</v>
      </c>
      <c r="F1532" t="s">
        <v>15</v>
      </c>
      <c r="G1532">
        <v>15219</v>
      </c>
      <c r="H1532" t="s">
        <v>34</v>
      </c>
      <c r="I1532">
        <v>83</v>
      </c>
      <c r="J1532">
        <v>0</v>
      </c>
      <c r="K1532" t="s">
        <v>8131</v>
      </c>
    </row>
    <row r="1533" spans="1:11" x14ac:dyDescent="0.25">
      <c r="A1533" t="s">
        <v>5254</v>
      </c>
      <c r="B1533" t="s">
        <v>5255</v>
      </c>
      <c r="C1533" t="s">
        <v>5256</v>
      </c>
      <c r="D1533" t="s">
        <v>5257</v>
      </c>
      <c r="E1533" t="s">
        <v>14</v>
      </c>
      <c r="F1533" t="s">
        <v>15</v>
      </c>
      <c r="G1533">
        <v>15289</v>
      </c>
      <c r="H1533" t="s">
        <v>34</v>
      </c>
      <c r="I1533">
        <v>18</v>
      </c>
      <c r="J1533">
        <v>0</v>
      </c>
      <c r="K1533" t="s">
        <v>8131</v>
      </c>
    </row>
    <row r="1534" spans="1:11" x14ac:dyDescent="0.25">
      <c r="A1534" t="s">
        <v>5258</v>
      </c>
      <c r="B1534" t="s">
        <v>5259</v>
      </c>
      <c r="C1534" t="s">
        <v>3158</v>
      </c>
      <c r="D1534" t="s">
        <v>2818</v>
      </c>
      <c r="E1534" t="s">
        <v>14</v>
      </c>
      <c r="F1534" t="s">
        <v>15</v>
      </c>
      <c r="G1534">
        <v>15222</v>
      </c>
      <c r="H1534" t="s">
        <v>16</v>
      </c>
      <c r="I1534">
        <v>24</v>
      </c>
      <c r="J1534">
        <v>1</v>
      </c>
      <c r="K1534" t="s">
        <v>8127</v>
      </c>
    </row>
    <row r="1535" spans="1:11" x14ac:dyDescent="0.25">
      <c r="A1535" t="s">
        <v>5260</v>
      </c>
      <c r="B1535" t="s">
        <v>5261</v>
      </c>
      <c r="C1535" t="s">
        <v>460</v>
      </c>
      <c r="D1535" t="s">
        <v>5262</v>
      </c>
      <c r="E1535" t="s">
        <v>14</v>
      </c>
      <c r="F1535" t="s">
        <v>15</v>
      </c>
      <c r="G1535">
        <v>15275</v>
      </c>
      <c r="H1535" t="s">
        <v>43</v>
      </c>
      <c r="I1535">
        <v>3</v>
      </c>
      <c r="J1535">
        <v>0</v>
      </c>
      <c r="K1535" t="s">
        <v>8131</v>
      </c>
    </row>
    <row r="1536" spans="1:11" x14ac:dyDescent="0.25">
      <c r="A1536" t="s">
        <v>5263</v>
      </c>
      <c r="B1536" t="s">
        <v>5264</v>
      </c>
      <c r="C1536" t="s">
        <v>5265</v>
      </c>
      <c r="D1536" t="s">
        <v>5266</v>
      </c>
      <c r="E1536" t="s">
        <v>14</v>
      </c>
      <c r="F1536" t="s">
        <v>15</v>
      </c>
      <c r="G1536">
        <v>15205</v>
      </c>
      <c r="H1536" t="s">
        <v>48</v>
      </c>
      <c r="I1536">
        <v>163</v>
      </c>
      <c r="J1536">
        <v>1</v>
      </c>
      <c r="K1536" t="s">
        <v>8118</v>
      </c>
    </row>
    <row r="1537" spans="1:11" x14ac:dyDescent="0.25">
      <c r="A1537" t="s">
        <v>5267</v>
      </c>
      <c r="B1537" t="s">
        <v>5268</v>
      </c>
      <c r="C1537" t="s">
        <v>5269</v>
      </c>
      <c r="D1537" t="s">
        <v>5270</v>
      </c>
      <c r="E1537" t="s">
        <v>14</v>
      </c>
      <c r="F1537" t="s">
        <v>15</v>
      </c>
      <c r="G1537">
        <v>15219</v>
      </c>
      <c r="H1537" t="s">
        <v>48</v>
      </c>
      <c r="I1537">
        <v>381</v>
      </c>
      <c r="J1537">
        <v>1</v>
      </c>
      <c r="K1537" t="s">
        <v>8131</v>
      </c>
    </row>
    <row r="1538" spans="1:11" x14ac:dyDescent="0.25">
      <c r="A1538" t="s">
        <v>5271</v>
      </c>
      <c r="B1538" t="s">
        <v>5272</v>
      </c>
      <c r="C1538" t="s">
        <v>5273</v>
      </c>
      <c r="D1538" t="s">
        <v>5274</v>
      </c>
      <c r="E1538" t="s">
        <v>14</v>
      </c>
      <c r="F1538" t="s">
        <v>15</v>
      </c>
      <c r="G1538">
        <v>15203</v>
      </c>
      <c r="H1538" t="s">
        <v>48</v>
      </c>
      <c r="I1538">
        <v>10</v>
      </c>
      <c r="J1538">
        <v>1</v>
      </c>
      <c r="K1538" t="s">
        <v>8131</v>
      </c>
    </row>
    <row r="1539" spans="1:11" x14ac:dyDescent="0.25">
      <c r="A1539" t="s">
        <v>5275</v>
      </c>
      <c r="B1539" t="s">
        <v>377</v>
      </c>
      <c r="C1539" t="s">
        <v>5276</v>
      </c>
      <c r="D1539" t="s">
        <v>5277</v>
      </c>
      <c r="E1539" t="s">
        <v>14</v>
      </c>
      <c r="F1539" t="s">
        <v>15</v>
      </c>
      <c r="G1539">
        <v>15213</v>
      </c>
      <c r="H1539" t="s">
        <v>43</v>
      </c>
      <c r="I1539">
        <v>26</v>
      </c>
      <c r="J1539">
        <v>1</v>
      </c>
      <c r="K1539" t="s">
        <v>8124</v>
      </c>
    </row>
    <row r="1540" spans="1:11" x14ac:dyDescent="0.25">
      <c r="A1540" t="s">
        <v>5278</v>
      </c>
      <c r="B1540" t="s">
        <v>5279</v>
      </c>
      <c r="C1540" t="s">
        <v>5280</v>
      </c>
      <c r="D1540" t="s">
        <v>5281</v>
      </c>
      <c r="E1540" t="s">
        <v>14</v>
      </c>
      <c r="F1540" t="s">
        <v>15</v>
      </c>
      <c r="G1540">
        <v>15203</v>
      </c>
      <c r="H1540" t="s">
        <v>16</v>
      </c>
      <c r="I1540">
        <v>90</v>
      </c>
      <c r="J1540">
        <v>1</v>
      </c>
      <c r="K1540" t="s">
        <v>8131</v>
      </c>
    </row>
    <row r="1541" spans="1:11" x14ac:dyDescent="0.25">
      <c r="A1541" t="s">
        <v>5282</v>
      </c>
      <c r="B1541" t="s">
        <v>5283</v>
      </c>
      <c r="C1541" t="s">
        <v>5284</v>
      </c>
      <c r="D1541" t="s">
        <v>5285</v>
      </c>
      <c r="E1541" t="s">
        <v>14</v>
      </c>
      <c r="F1541" t="s">
        <v>15</v>
      </c>
      <c r="G1541">
        <v>15238</v>
      </c>
      <c r="H1541" t="s">
        <v>48</v>
      </c>
      <c r="I1541">
        <v>19</v>
      </c>
      <c r="J1541">
        <v>0</v>
      </c>
      <c r="K1541" t="s">
        <v>8131</v>
      </c>
    </row>
    <row r="1542" spans="1:11" x14ac:dyDescent="0.25">
      <c r="A1542" t="s">
        <v>5286</v>
      </c>
      <c r="B1542" t="s">
        <v>5287</v>
      </c>
      <c r="C1542" t="s">
        <v>5288</v>
      </c>
      <c r="D1542" t="s">
        <v>5289</v>
      </c>
      <c r="E1542" t="s">
        <v>14</v>
      </c>
      <c r="F1542" t="s">
        <v>15</v>
      </c>
      <c r="G1542">
        <v>15216</v>
      </c>
      <c r="H1542" t="s">
        <v>21</v>
      </c>
      <c r="I1542">
        <v>5</v>
      </c>
      <c r="J1542">
        <v>1</v>
      </c>
      <c r="K1542" t="s">
        <v>8131</v>
      </c>
    </row>
    <row r="1543" spans="1:11" x14ac:dyDescent="0.25">
      <c r="A1543" t="s">
        <v>5290</v>
      </c>
      <c r="B1543" t="s">
        <v>36</v>
      </c>
      <c r="C1543" t="s">
        <v>5291</v>
      </c>
      <c r="D1543" t="s">
        <v>5292</v>
      </c>
      <c r="E1543" t="s">
        <v>14</v>
      </c>
      <c r="F1543" t="s">
        <v>15</v>
      </c>
      <c r="G1543">
        <v>15207</v>
      </c>
      <c r="H1543" t="s">
        <v>48</v>
      </c>
      <c r="I1543">
        <v>3</v>
      </c>
      <c r="J1543">
        <v>1</v>
      </c>
      <c r="K1543" t="s">
        <v>8131</v>
      </c>
    </row>
    <row r="1544" spans="1:11" x14ac:dyDescent="0.25">
      <c r="A1544" t="s">
        <v>5293</v>
      </c>
      <c r="B1544" t="s">
        <v>5294</v>
      </c>
      <c r="C1544" t="s">
        <v>5295</v>
      </c>
      <c r="D1544" t="s">
        <v>5296</v>
      </c>
      <c r="E1544" t="s">
        <v>14</v>
      </c>
      <c r="F1544" t="s">
        <v>15</v>
      </c>
      <c r="G1544">
        <v>15219</v>
      </c>
      <c r="H1544" t="s">
        <v>92</v>
      </c>
      <c r="I1544">
        <v>5</v>
      </c>
      <c r="J1544">
        <v>0</v>
      </c>
      <c r="K1544" t="s">
        <v>8131</v>
      </c>
    </row>
    <row r="1545" spans="1:11" x14ac:dyDescent="0.25">
      <c r="A1545" t="s">
        <v>5297</v>
      </c>
      <c r="B1545" t="s">
        <v>298</v>
      </c>
      <c r="C1545" t="s">
        <v>32</v>
      </c>
      <c r="D1545" t="s">
        <v>5298</v>
      </c>
      <c r="E1545" t="s">
        <v>14</v>
      </c>
      <c r="F1545" t="s">
        <v>15</v>
      </c>
      <c r="G1545">
        <v>15221</v>
      </c>
      <c r="H1545" t="s">
        <v>48</v>
      </c>
      <c r="I1545">
        <v>4</v>
      </c>
      <c r="J1545">
        <v>1</v>
      </c>
      <c r="K1545" t="s">
        <v>8131</v>
      </c>
    </row>
    <row r="1546" spans="1:11" x14ac:dyDescent="0.25">
      <c r="A1546" t="s">
        <v>5299</v>
      </c>
      <c r="B1546" t="s">
        <v>578</v>
      </c>
      <c r="C1546" t="s">
        <v>5300</v>
      </c>
      <c r="D1546" t="s">
        <v>1282</v>
      </c>
      <c r="E1546" t="s">
        <v>14</v>
      </c>
      <c r="F1546" t="s">
        <v>15</v>
      </c>
      <c r="G1546">
        <v>15222</v>
      </c>
      <c r="H1546" t="s">
        <v>34</v>
      </c>
      <c r="I1546">
        <v>48</v>
      </c>
      <c r="J1546">
        <v>0</v>
      </c>
      <c r="K1546" t="s">
        <v>8131</v>
      </c>
    </row>
    <row r="1547" spans="1:11" x14ac:dyDescent="0.25">
      <c r="A1547" t="s">
        <v>5301</v>
      </c>
      <c r="B1547" t="s">
        <v>2016</v>
      </c>
      <c r="C1547" t="s">
        <v>5302</v>
      </c>
      <c r="D1547" t="s">
        <v>2899</v>
      </c>
      <c r="E1547" t="s">
        <v>14</v>
      </c>
      <c r="F1547" t="s">
        <v>15</v>
      </c>
      <c r="G1547">
        <v>15216</v>
      </c>
      <c r="H1547" t="s">
        <v>34</v>
      </c>
      <c r="I1547">
        <v>5</v>
      </c>
      <c r="J1547">
        <v>0</v>
      </c>
      <c r="K1547" t="s">
        <v>8119</v>
      </c>
    </row>
    <row r="1548" spans="1:11" x14ac:dyDescent="0.25">
      <c r="A1548" t="s">
        <v>5303</v>
      </c>
      <c r="B1548" t="s">
        <v>5304</v>
      </c>
      <c r="C1548" t="s">
        <v>5305</v>
      </c>
      <c r="D1548" t="s">
        <v>5306</v>
      </c>
      <c r="E1548" t="s">
        <v>14</v>
      </c>
      <c r="F1548" t="s">
        <v>15</v>
      </c>
      <c r="G1548">
        <v>15235</v>
      </c>
      <c r="H1548" t="s">
        <v>16</v>
      </c>
      <c r="I1548">
        <v>42</v>
      </c>
      <c r="J1548">
        <v>1</v>
      </c>
      <c r="K1548" t="s">
        <v>8131</v>
      </c>
    </row>
    <row r="1549" spans="1:11" x14ac:dyDescent="0.25">
      <c r="A1549" t="s">
        <v>5307</v>
      </c>
      <c r="B1549" t="s">
        <v>5308</v>
      </c>
      <c r="C1549" t="s">
        <v>5309</v>
      </c>
      <c r="D1549" t="s">
        <v>5310</v>
      </c>
      <c r="E1549" t="s">
        <v>14</v>
      </c>
      <c r="F1549" t="s">
        <v>15</v>
      </c>
      <c r="G1549">
        <v>15210</v>
      </c>
      <c r="H1549" t="s">
        <v>48</v>
      </c>
      <c r="I1549">
        <v>14</v>
      </c>
      <c r="J1549">
        <v>1</v>
      </c>
      <c r="K1549" t="s">
        <v>8131</v>
      </c>
    </row>
    <row r="1550" spans="1:11" x14ac:dyDescent="0.25">
      <c r="A1550" t="s">
        <v>5311</v>
      </c>
      <c r="B1550" t="s">
        <v>282</v>
      </c>
      <c r="C1550" t="s">
        <v>5312</v>
      </c>
      <c r="D1550" t="s">
        <v>5313</v>
      </c>
      <c r="E1550" t="s">
        <v>14</v>
      </c>
      <c r="F1550" t="s">
        <v>15</v>
      </c>
      <c r="G1550">
        <v>15235</v>
      </c>
      <c r="H1550" t="s">
        <v>16</v>
      </c>
      <c r="I1550">
        <v>5</v>
      </c>
      <c r="J1550">
        <v>1</v>
      </c>
      <c r="K1550" t="s">
        <v>8124</v>
      </c>
    </row>
    <row r="1551" spans="1:11" x14ac:dyDescent="0.25">
      <c r="A1551" t="s">
        <v>5314</v>
      </c>
      <c r="B1551" t="s">
        <v>2755</v>
      </c>
      <c r="C1551" t="s">
        <v>228</v>
      </c>
      <c r="D1551" t="s">
        <v>5315</v>
      </c>
      <c r="E1551" t="s">
        <v>14</v>
      </c>
      <c r="F1551" t="s">
        <v>15</v>
      </c>
      <c r="G1551">
        <v>15221</v>
      </c>
      <c r="H1551" t="s">
        <v>113</v>
      </c>
      <c r="I1551">
        <v>9</v>
      </c>
      <c r="J1551">
        <v>1</v>
      </c>
      <c r="K1551" t="s">
        <v>8131</v>
      </c>
    </row>
    <row r="1552" spans="1:11" x14ac:dyDescent="0.25">
      <c r="A1552" t="s">
        <v>5316</v>
      </c>
      <c r="B1552" t="s">
        <v>36</v>
      </c>
      <c r="C1552" t="s">
        <v>5317</v>
      </c>
      <c r="D1552" t="s">
        <v>1323</v>
      </c>
      <c r="E1552" t="s">
        <v>14</v>
      </c>
      <c r="F1552" t="s">
        <v>15</v>
      </c>
      <c r="G1552">
        <v>15212</v>
      </c>
      <c r="H1552" t="s">
        <v>16</v>
      </c>
      <c r="I1552">
        <v>5</v>
      </c>
      <c r="J1552">
        <v>0</v>
      </c>
      <c r="K1552" t="s">
        <v>8131</v>
      </c>
    </row>
    <row r="1553" spans="1:11" x14ac:dyDescent="0.25">
      <c r="A1553" t="s">
        <v>5318</v>
      </c>
      <c r="B1553" t="s">
        <v>5319</v>
      </c>
      <c r="C1553" t="s">
        <v>5320</v>
      </c>
      <c r="D1553" t="s">
        <v>5321</v>
      </c>
      <c r="E1553" t="s">
        <v>14</v>
      </c>
      <c r="F1553" t="s">
        <v>15</v>
      </c>
      <c r="G1553">
        <v>15218</v>
      </c>
      <c r="H1553" t="s">
        <v>113</v>
      </c>
      <c r="I1553">
        <v>5</v>
      </c>
      <c r="J1553">
        <v>0</v>
      </c>
      <c r="K1553" t="s">
        <v>8124</v>
      </c>
    </row>
    <row r="1554" spans="1:11" x14ac:dyDescent="0.25">
      <c r="A1554" t="s">
        <v>5322</v>
      </c>
      <c r="B1554" t="s">
        <v>5323</v>
      </c>
      <c r="C1554" t="s">
        <v>419</v>
      </c>
      <c r="D1554" t="s">
        <v>5324</v>
      </c>
      <c r="E1554" t="s">
        <v>14</v>
      </c>
      <c r="F1554" t="s">
        <v>15</v>
      </c>
      <c r="G1554">
        <v>15241</v>
      </c>
      <c r="H1554" t="s">
        <v>113</v>
      </c>
      <c r="I1554">
        <v>13</v>
      </c>
      <c r="J1554">
        <v>1</v>
      </c>
      <c r="K1554" t="s">
        <v>8131</v>
      </c>
    </row>
    <row r="1555" spans="1:11" x14ac:dyDescent="0.25">
      <c r="A1555" t="s">
        <v>5325</v>
      </c>
      <c r="B1555" t="s">
        <v>5326</v>
      </c>
      <c r="C1555" t="s">
        <v>147</v>
      </c>
      <c r="D1555" t="s">
        <v>5327</v>
      </c>
      <c r="E1555" t="s">
        <v>14</v>
      </c>
      <c r="F1555" t="s">
        <v>15</v>
      </c>
      <c r="G1555">
        <v>15222</v>
      </c>
      <c r="H1555" t="s">
        <v>48</v>
      </c>
      <c r="I1555">
        <v>690</v>
      </c>
      <c r="J1555">
        <v>1</v>
      </c>
      <c r="K1555" t="s">
        <v>8131</v>
      </c>
    </row>
    <row r="1556" spans="1:11" x14ac:dyDescent="0.25">
      <c r="A1556" t="s">
        <v>5328</v>
      </c>
      <c r="B1556" t="s">
        <v>31</v>
      </c>
      <c r="C1556" t="s">
        <v>32</v>
      </c>
      <c r="D1556" t="s">
        <v>5329</v>
      </c>
      <c r="E1556" t="s">
        <v>14</v>
      </c>
      <c r="F1556" t="s">
        <v>15</v>
      </c>
      <c r="G1556">
        <v>15219</v>
      </c>
      <c r="H1556" t="s">
        <v>34</v>
      </c>
      <c r="I1556">
        <v>4</v>
      </c>
      <c r="J1556">
        <v>1</v>
      </c>
      <c r="K1556" t="s">
        <v>8131</v>
      </c>
    </row>
    <row r="1557" spans="1:11" x14ac:dyDescent="0.25">
      <c r="A1557" t="s">
        <v>5330</v>
      </c>
      <c r="B1557" t="s">
        <v>5331</v>
      </c>
      <c r="C1557" t="s">
        <v>4360</v>
      </c>
      <c r="D1557" t="s">
        <v>5332</v>
      </c>
      <c r="E1557" t="s">
        <v>14</v>
      </c>
      <c r="F1557" t="s">
        <v>15</v>
      </c>
      <c r="G1557">
        <v>15212</v>
      </c>
      <c r="H1557" t="s">
        <v>16</v>
      </c>
      <c r="I1557">
        <v>267</v>
      </c>
      <c r="J1557">
        <v>1</v>
      </c>
      <c r="K1557" t="s">
        <v>8131</v>
      </c>
    </row>
    <row r="1558" spans="1:11" x14ac:dyDescent="0.25">
      <c r="A1558" t="s">
        <v>5333</v>
      </c>
      <c r="B1558" t="s">
        <v>5334</v>
      </c>
      <c r="C1558" t="s">
        <v>5335</v>
      </c>
      <c r="D1558" t="s">
        <v>5336</v>
      </c>
      <c r="E1558" t="s">
        <v>14</v>
      </c>
      <c r="F1558" t="s">
        <v>15</v>
      </c>
      <c r="G1558">
        <v>15216</v>
      </c>
      <c r="H1558" t="s">
        <v>34</v>
      </c>
      <c r="I1558">
        <v>20</v>
      </c>
      <c r="J1558">
        <v>1</v>
      </c>
      <c r="K1558" t="s">
        <v>8120</v>
      </c>
    </row>
    <row r="1559" spans="1:11" x14ac:dyDescent="0.25">
      <c r="A1559" t="s">
        <v>5337</v>
      </c>
      <c r="B1559" t="s">
        <v>5338</v>
      </c>
      <c r="C1559" t="s">
        <v>5339</v>
      </c>
      <c r="D1559" t="s">
        <v>5340</v>
      </c>
      <c r="E1559" t="s">
        <v>14</v>
      </c>
      <c r="F1559" t="s">
        <v>15</v>
      </c>
      <c r="G1559">
        <v>15217</v>
      </c>
      <c r="H1559" t="s">
        <v>16</v>
      </c>
      <c r="I1559">
        <v>87</v>
      </c>
      <c r="J1559">
        <v>1</v>
      </c>
      <c r="K1559" t="s">
        <v>8131</v>
      </c>
    </row>
    <row r="1560" spans="1:11" x14ac:dyDescent="0.25">
      <c r="A1560" t="s">
        <v>5341</v>
      </c>
      <c r="B1560" t="s">
        <v>5342</v>
      </c>
      <c r="C1560" t="s">
        <v>5343</v>
      </c>
      <c r="D1560" t="s">
        <v>4820</v>
      </c>
      <c r="E1560" t="s">
        <v>14</v>
      </c>
      <c r="F1560" t="s">
        <v>15</v>
      </c>
      <c r="G1560">
        <v>15222</v>
      </c>
      <c r="H1560" t="s">
        <v>16</v>
      </c>
      <c r="I1560">
        <v>335</v>
      </c>
      <c r="J1560">
        <v>0</v>
      </c>
      <c r="K1560" t="s">
        <v>8118</v>
      </c>
    </row>
    <row r="1561" spans="1:11" x14ac:dyDescent="0.25">
      <c r="A1561" t="s">
        <v>5344</v>
      </c>
      <c r="B1561" t="s">
        <v>5345</v>
      </c>
      <c r="C1561" t="s">
        <v>5346</v>
      </c>
      <c r="D1561" t="s">
        <v>5347</v>
      </c>
      <c r="E1561" t="s">
        <v>14</v>
      </c>
      <c r="F1561" t="s">
        <v>15</v>
      </c>
      <c r="G1561">
        <v>15220</v>
      </c>
      <c r="H1561" t="s">
        <v>48</v>
      </c>
      <c r="I1561">
        <v>95</v>
      </c>
      <c r="J1561">
        <v>1</v>
      </c>
      <c r="K1561" t="s">
        <v>8120</v>
      </c>
    </row>
    <row r="1562" spans="1:11" x14ac:dyDescent="0.25">
      <c r="A1562" t="s">
        <v>5348</v>
      </c>
      <c r="B1562" t="s">
        <v>5349</v>
      </c>
      <c r="C1562" t="s">
        <v>5350</v>
      </c>
      <c r="D1562" t="s">
        <v>5351</v>
      </c>
      <c r="E1562" t="s">
        <v>14</v>
      </c>
      <c r="F1562" t="s">
        <v>15</v>
      </c>
      <c r="G1562">
        <v>15233</v>
      </c>
      <c r="H1562" t="s">
        <v>21</v>
      </c>
      <c r="I1562">
        <v>7</v>
      </c>
      <c r="J1562">
        <v>1</v>
      </c>
      <c r="K1562" t="s">
        <v>8131</v>
      </c>
    </row>
    <row r="1563" spans="1:11" x14ac:dyDescent="0.25">
      <c r="A1563" t="s">
        <v>5352</v>
      </c>
      <c r="B1563" t="s">
        <v>3498</v>
      </c>
      <c r="C1563" t="s">
        <v>5353</v>
      </c>
      <c r="D1563" t="s">
        <v>1931</v>
      </c>
      <c r="E1563" t="s">
        <v>14</v>
      </c>
      <c r="F1563" t="s">
        <v>15</v>
      </c>
      <c r="G1563">
        <v>15222</v>
      </c>
      <c r="H1563" t="s">
        <v>21</v>
      </c>
      <c r="I1563">
        <v>22</v>
      </c>
      <c r="J1563">
        <v>0</v>
      </c>
      <c r="K1563" t="s">
        <v>8131</v>
      </c>
    </row>
    <row r="1564" spans="1:11" x14ac:dyDescent="0.25">
      <c r="A1564" t="s">
        <v>5354</v>
      </c>
      <c r="B1564" t="s">
        <v>188</v>
      </c>
      <c r="C1564" t="s">
        <v>5355</v>
      </c>
      <c r="D1564" t="s">
        <v>5356</v>
      </c>
      <c r="E1564" t="s">
        <v>14</v>
      </c>
      <c r="F1564" t="s">
        <v>15</v>
      </c>
      <c r="G1564">
        <v>15234</v>
      </c>
      <c r="H1564" t="s">
        <v>48</v>
      </c>
      <c r="I1564">
        <v>28</v>
      </c>
      <c r="J1564">
        <v>1</v>
      </c>
      <c r="K1564" t="s">
        <v>8131</v>
      </c>
    </row>
    <row r="1565" spans="1:11" x14ac:dyDescent="0.25">
      <c r="A1565" t="s">
        <v>5357</v>
      </c>
      <c r="B1565" t="s">
        <v>36</v>
      </c>
      <c r="C1565" t="s">
        <v>762</v>
      </c>
      <c r="D1565" t="s">
        <v>2721</v>
      </c>
      <c r="E1565" t="s">
        <v>14</v>
      </c>
      <c r="F1565" t="s">
        <v>15</v>
      </c>
      <c r="G1565">
        <v>15224</v>
      </c>
      <c r="H1565" t="s">
        <v>48</v>
      </c>
      <c r="I1565">
        <v>9</v>
      </c>
      <c r="J1565">
        <v>0</v>
      </c>
      <c r="K1565" t="s">
        <v>8131</v>
      </c>
    </row>
    <row r="1566" spans="1:11" x14ac:dyDescent="0.25">
      <c r="A1566" t="s">
        <v>5358</v>
      </c>
      <c r="B1566" t="s">
        <v>5359</v>
      </c>
      <c r="C1566" t="s">
        <v>5360</v>
      </c>
      <c r="D1566" t="s">
        <v>5361</v>
      </c>
      <c r="E1566" t="s">
        <v>14</v>
      </c>
      <c r="F1566" t="s">
        <v>15</v>
      </c>
      <c r="G1566">
        <v>15224</v>
      </c>
      <c r="H1566" t="s">
        <v>21</v>
      </c>
      <c r="I1566">
        <v>22</v>
      </c>
      <c r="J1566">
        <v>1</v>
      </c>
      <c r="K1566" t="s">
        <v>8131</v>
      </c>
    </row>
    <row r="1567" spans="1:11" x14ac:dyDescent="0.25">
      <c r="A1567" t="s">
        <v>5362</v>
      </c>
      <c r="B1567" t="s">
        <v>5363</v>
      </c>
      <c r="C1567" t="s">
        <v>5364</v>
      </c>
      <c r="D1567" t="s">
        <v>5365</v>
      </c>
      <c r="E1567" t="s">
        <v>14</v>
      </c>
      <c r="F1567" t="s">
        <v>15</v>
      </c>
      <c r="G1567">
        <v>15217</v>
      </c>
      <c r="H1567" t="s">
        <v>16</v>
      </c>
      <c r="I1567">
        <v>62</v>
      </c>
      <c r="J1567">
        <v>1</v>
      </c>
      <c r="K1567" t="s">
        <v>8120</v>
      </c>
    </row>
    <row r="1568" spans="1:11" x14ac:dyDescent="0.25">
      <c r="A1568" t="s">
        <v>5366</v>
      </c>
      <c r="B1568" t="s">
        <v>578</v>
      </c>
      <c r="C1568" t="s">
        <v>2668</v>
      </c>
      <c r="D1568" t="s">
        <v>321</v>
      </c>
      <c r="E1568" t="s">
        <v>14</v>
      </c>
      <c r="F1568" t="s">
        <v>15</v>
      </c>
      <c r="G1568">
        <v>15219</v>
      </c>
      <c r="H1568" t="s">
        <v>34</v>
      </c>
      <c r="I1568">
        <v>4</v>
      </c>
      <c r="J1568">
        <v>0</v>
      </c>
      <c r="K1568" t="s">
        <v>8131</v>
      </c>
    </row>
    <row r="1569" spans="1:11" x14ac:dyDescent="0.25">
      <c r="A1569" t="s">
        <v>5367</v>
      </c>
      <c r="B1569" t="s">
        <v>267</v>
      </c>
      <c r="C1569" t="s">
        <v>5368</v>
      </c>
      <c r="D1569" t="s">
        <v>5369</v>
      </c>
      <c r="E1569" t="s">
        <v>14</v>
      </c>
      <c r="F1569" t="s">
        <v>15</v>
      </c>
      <c r="G1569">
        <v>15203</v>
      </c>
      <c r="H1569" t="s">
        <v>34</v>
      </c>
      <c r="I1569">
        <v>10</v>
      </c>
      <c r="J1569">
        <v>0</v>
      </c>
      <c r="K1569" t="s">
        <v>8131</v>
      </c>
    </row>
    <row r="1570" spans="1:11" x14ac:dyDescent="0.25">
      <c r="A1570" t="s">
        <v>5370</v>
      </c>
      <c r="B1570" t="s">
        <v>5371</v>
      </c>
      <c r="C1570" t="s">
        <v>5372</v>
      </c>
      <c r="D1570" t="s">
        <v>1336</v>
      </c>
      <c r="E1570" t="s">
        <v>14</v>
      </c>
      <c r="F1570" t="s">
        <v>15</v>
      </c>
      <c r="G1570">
        <v>15216</v>
      </c>
      <c r="H1570" t="s">
        <v>48</v>
      </c>
      <c r="I1570">
        <v>23</v>
      </c>
      <c r="J1570">
        <v>0</v>
      </c>
      <c r="K1570" t="s">
        <v>8117</v>
      </c>
    </row>
    <row r="1571" spans="1:11" x14ac:dyDescent="0.25">
      <c r="A1571" t="e">
        <f>-cKjQJsU73tLKFA4unJbww</f>
        <v>#NAME?</v>
      </c>
      <c r="B1571" t="s">
        <v>5373</v>
      </c>
      <c r="C1571" t="s">
        <v>1020</v>
      </c>
      <c r="D1571" t="s">
        <v>5374</v>
      </c>
      <c r="E1571" t="s">
        <v>14</v>
      </c>
      <c r="F1571" t="s">
        <v>15</v>
      </c>
      <c r="G1571">
        <v>15213</v>
      </c>
      <c r="H1571" t="s">
        <v>43</v>
      </c>
      <c r="I1571">
        <v>19</v>
      </c>
      <c r="J1571">
        <v>0</v>
      </c>
      <c r="K1571" t="s">
        <v>8122</v>
      </c>
    </row>
    <row r="1572" spans="1:11" x14ac:dyDescent="0.25">
      <c r="A1572" t="s">
        <v>5375</v>
      </c>
      <c r="B1572" t="s">
        <v>65</v>
      </c>
      <c r="C1572" t="s">
        <v>5376</v>
      </c>
      <c r="D1572" t="s">
        <v>5377</v>
      </c>
      <c r="E1572" t="s">
        <v>14</v>
      </c>
      <c r="F1572" t="s">
        <v>15</v>
      </c>
      <c r="G1572">
        <v>15237</v>
      </c>
      <c r="H1572" t="s">
        <v>16</v>
      </c>
      <c r="I1572">
        <v>12</v>
      </c>
      <c r="J1572">
        <v>1</v>
      </c>
      <c r="K1572" t="s">
        <v>8131</v>
      </c>
    </row>
    <row r="1573" spans="1:11" x14ac:dyDescent="0.25">
      <c r="A1573" t="s">
        <v>5378</v>
      </c>
      <c r="B1573" t="s">
        <v>447</v>
      </c>
      <c r="C1573" t="s">
        <v>5379</v>
      </c>
      <c r="D1573" t="s">
        <v>5380</v>
      </c>
      <c r="E1573" t="s">
        <v>14</v>
      </c>
      <c r="F1573" t="s">
        <v>15</v>
      </c>
      <c r="G1573">
        <v>15213</v>
      </c>
      <c r="H1573" t="s">
        <v>21</v>
      </c>
      <c r="I1573">
        <v>201</v>
      </c>
      <c r="J1573">
        <v>1</v>
      </c>
      <c r="K1573" t="s">
        <v>8122</v>
      </c>
    </row>
    <row r="1574" spans="1:11" x14ac:dyDescent="0.25">
      <c r="A1574" t="s">
        <v>5381</v>
      </c>
      <c r="B1574" t="s">
        <v>5382</v>
      </c>
      <c r="C1574" t="s">
        <v>5383</v>
      </c>
      <c r="D1574" t="s">
        <v>965</v>
      </c>
      <c r="E1574" t="s">
        <v>14</v>
      </c>
      <c r="F1574" t="s">
        <v>15</v>
      </c>
      <c r="G1574">
        <v>15289</v>
      </c>
      <c r="H1574" t="s">
        <v>113</v>
      </c>
      <c r="I1574">
        <v>6</v>
      </c>
      <c r="J1574">
        <v>0</v>
      </c>
      <c r="K1574" t="s">
        <v>8131</v>
      </c>
    </row>
    <row r="1575" spans="1:11" x14ac:dyDescent="0.25">
      <c r="A1575" t="s">
        <v>5384</v>
      </c>
      <c r="B1575" t="s">
        <v>5385</v>
      </c>
      <c r="C1575" t="s">
        <v>3436</v>
      </c>
      <c r="D1575" t="s">
        <v>5386</v>
      </c>
      <c r="E1575" t="s">
        <v>14</v>
      </c>
      <c r="F1575" t="s">
        <v>15</v>
      </c>
      <c r="G1575">
        <v>15232</v>
      </c>
      <c r="H1575" t="s">
        <v>48</v>
      </c>
      <c r="I1575">
        <v>122</v>
      </c>
      <c r="J1575">
        <v>1</v>
      </c>
      <c r="K1575" t="s">
        <v>8131</v>
      </c>
    </row>
    <row r="1576" spans="1:11" x14ac:dyDescent="0.25">
      <c r="A1576" t="s">
        <v>5387</v>
      </c>
      <c r="B1576" t="s">
        <v>5388</v>
      </c>
      <c r="C1576" t="s">
        <v>244</v>
      </c>
      <c r="D1576" t="s">
        <v>5389</v>
      </c>
      <c r="E1576" t="s">
        <v>14</v>
      </c>
      <c r="F1576" t="s">
        <v>15</v>
      </c>
      <c r="G1576">
        <v>15231</v>
      </c>
      <c r="H1576" t="s">
        <v>48</v>
      </c>
      <c r="I1576">
        <v>22</v>
      </c>
      <c r="J1576">
        <v>1</v>
      </c>
      <c r="K1576" t="s">
        <v>8131</v>
      </c>
    </row>
    <row r="1577" spans="1:11" x14ac:dyDescent="0.25">
      <c r="A1577" t="s">
        <v>5390</v>
      </c>
      <c r="B1577" t="s">
        <v>5391</v>
      </c>
      <c r="C1577" t="s">
        <v>5392</v>
      </c>
      <c r="D1577" t="s">
        <v>5393</v>
      </c>
      <c r="E1577" t="s">
        <v>14</v>
      </c>
      <c r="F1577" t="s">
        <v>15</v>
      </c>
      <c r="G1577">
        <v>15236</v>
      </c>
      <c r="H1577" t="s">
        <v>48</v>
      </c>
      <c r="I1577">
        <v>116</v>
      </c>
      <c r="J1577">
        <v>1</v>
      </c>
      <c r="K1577" t="s">
        <v>8131</v>
      </c>
    </row>
    <row r="1578" spans="1:11" x14ac:dyDescent="0.25">
      <c r="A1578" t="s">
        <v>5394</v>
      </c>
      <c r="B1578" t="s">
        <v>407</v>
      </c>
      <c r="C1578" t="s">
        <v>5395</v>
      </c>
      <c r="D1578" t="s">
        <v>5396</v>
      </c>
      <c r="E1578" t="s">
        <v>14</v>
      </c>
      <c r="F1578" t="s">
        <v>15</v>
      </c>
      <c r="G1578">
        <v>15236</v>
      </c>
      <c r="H1578" t="s">
        <v>43</v>
      </c>
      <c r="I1578">
        <v>3</v>
      </c>
      <c r="J1578">
        <v>1</v>
      </c>
      <c r="K1578" t="s">
        <v>8131</v>
      </c>
    </row>
    <row r="1579" spans="1:11" x14ac:dyDescent="0.25">
      <c r="A1579" t="s">
        <v>5397</v>
      </c>
      <c r="B1579" t="s">
        <v>5398</v>
      </c>
      <c r="C1579" t="s">
        <v>5399</v>
      </c>
      <c r="D1579" t="s">
        <v>5400</v>
      </c>
      <c r="E1579" t="s">
        <v>14</v>
      </c>
      <c r="F1579" t="s">
        <v>15</v>
      </c>
      <c r="G1579">
        <v>15211</v>
      </c>
      <c r="H1579" t="s">
        <v>16</v>
      </c>
      <c r="I1579">
        <v>42</v>
      </c>
      <c r="J1579">
        <v>1</v>
      </c>
      <c r="K1579" t="s">
        <v>8131</v>
      </c>
    </row>
    <row r="1580" spans="1:11" x14ac:dyDescent="0.25">
      <c r="A1580" t="s">
        <v>5401</v>
      </c>
      <c r="B1580" t="s">
        <v>5402</v>
      </c>
      <c r="C1580" t="s">
        <v>5403</v>
      </c>
      <c r="D1580" t="s">
        <v>3441</v>
      </c>
      <c r="E1580" t="s">
        <v>14</v>
      </c>
      <c r="F1580" t="s">
        <v>15</v>
      </c>
      <c r="G1580">
        <v>15213</v>
      </c>
      <c r="H1580" t="s">
        <v>21</v>
      </c>
      <c r="I1580">
        <v>373</v>
      </c>
      <c r="J1580">
        <v>1</v>
      </c>
      <c r="K1580" t="s">
        <v>8131</v>
      </c>
    </row>
    <row r="1581" spans="1:11" x14ac:dyDescent="0.25">
      <c r="A1581" t="s">
        <v>5404</v>
      </c>
      <c r="B1581" t="s">
        <v>5405</v>
      </c>
      <c r="C1581" t="s">
        <v>5406</v>
      </c>
      <c r="D1581" t="s">
        <v>5407</v>
      </c>
      <c r="E1581" t="s">
        <v>14</v>
      </c>
      <c r="F1581" t="s">
        <v>15</v>
      </c>
      <c r="G1581">
        <v>15222</v>
      </c>
      <c r="H1581" t="s">
        <v>34</v>
      </c>
      <c r="I1581">
        <v>23</v>
      </c>
      <c r="J1581">
        <v>1</v>
      </c>
      <c r="K1581" t="s">
        <v>8131</v>
      </c>
    </row>
    <row r="1582" spans="1:11" x14ac:dyDescent="0.25">
      <c r="A1582" t="s">
        <v>5408</v>
      </c>
      <c r="B1582" t="s">
        <v>5409</v>
      </c>
      <c r="C1582" t="s">
        <v>5410</v>
      </c>
      <c r="D1582" t="s">
        <v>5411</v>
      </c>
      <c r="E1582" t="s">
        <v>14</v>
      </c>
      <c r="F1582" t="s">
        <v>15</v>
      </c>
      <c r="G1582">
        <v>15224</v>
      </c>
      <c r="H1582" t="s">
        <v>21</v>
      </c>
      <c r="I1582">
        <v>53</v>
      </c>
      <c r="J1582">
        <v>1</v>
      </c>
      <c r="K1582" t="s">
        <v>8131</v>
      </c>
    </row>
    <row r="1583" spans="1:11" x14ac:dyDescent="0.25">
      <c r="A1583" t="s">
        <v>5412</v>
      </c>
      <c r="B1583" t="s">
        <v>335</v>
      </c>
      <c r="C1583" t="s">
        <v>5413</v>
      </c>
      <c r="D1583" t="s">
        <v>5414</v>
      </c>
      <c r="E1583" t="s">
        <v>14</v>
      </c>
      <c r="F1583" t="s">
        <v>15</v>
      </c>
      <c r="G1583">
        <v>15212</v>
      </c>
      <c r="H1583" t="s">
        <v>43</v>
      </c>
      <c r="I1583">
        <v>3</v>
      </c>
      <c r="J1583">
        <v>1</v>
      </c>
      <c r="K1583" t="s">
        <v>8131</v>
      </c>
    </row>
    <row r="1584" spans="1:11" x14ac:dyDescent="0.25">
      <c r="A1584" t="s">
        <v>5415</v>
      </c>
      <c r="B1584" t="s">
        <v>2752</v>
      </c>
      <c r="C1584" t="s">
        <v>5416</v>
      </c>
      <c r="D1584" t="s">
        <v>5417</v>
      </c>
      <c r="E1584" t="s">
        <v>14</v>
      </c>
      <c r="F1584" t="s">
        <v>15</v>
      </c>
      <c r="G1584">
        <v>15226</v>
      </c>
      <c r="H1584" t="s">
        <v>16</v>
      </c>
      <c r="I1584">
        <v>26</v>
      </c>
      <c r="J1584">
        <v>1</v>
      </c>
      <c r="K1584" t="s">
        <v>8131</v>
      </c>
    </row>
    <row r="1585" spans="1:11" x14ac:dyDescent="0.25">
      <c r="A1585" t="s">
        <v>5418</v>
      </c>
      <c r="B1585" t="s">
        <v>36</v>
      </c>
      <c r="C1585" t="s">
        <v>5419</v>
      </c>
      <c r="D1585" t="s">
        <v>5420</v>
      </c>
      <c r="E1585" t="s">
        <v>14</v>
      </c>
      <c r="F1585" t="s">
        <v>15</v>
      </c>
      <c r="G1585">
        <v>15237</v>
      </c>
      <c r="H1585" t="s">
        <v>16</v>
      </c>
      <c r="I1585">
        <v>36</v>
      </c>
      <c r="J1585">
        <v>1</v>
      </c>
      <c r="K1585" t="s">
        <v>8131</v>
      </c>
    </row>
    <row r="1586" spans="1:11" x14ac:dyDescent="0.25">
      <c r="A1586" t="s">
        <v>5421</v>
      </c>
      <c r="B1586" t="s">
        <v>5422</v>
      </c>
      <c r="C1586" t="s">
        <v>1150</v>
      </c>
      <c r="D1586" t="s">
        <v>549</v>
      </c>
      <c r="E1586" t="s">
        <v>14</v>
      </c>
      <c r="F1586" t="s">
        <v>15</v>
      </c>
      <c r="G1586">
        <v>15241</v>
      </c>
      <c r="H1586" t="s">
        <v>43</v>
      </c>
      <c r="I1586">
        <v>30</v>
      </c>
      <c r="J1586">
        <v>1</v>
      </c>
      <c r="K1586" t="s">
        <v>8131</v>
      </c>
    </row>
    <row r="1587" spans="1:11" x14ac:dyDescent="0.25">
      <c r="A1587" t="s">
        <v>5423</v>
      </c>
      <c r="B1587" t="s">
        <v>188</v>
      </c>
      <c r="C1587" t="s">
        <v>2440</v>
      </c>
      <c r="D1587" t="s">
        <v>5424</v>
      </c>
      <c r="E1587" t="s">
        <v>14</v>
      </c>
      <c r="F1587" t="s">
        <v>15</v>
      </c>
      <c r="G1587">
        <v>15216</v>
      </c>
      <c r="H1587" t="s">
        <v>16</v>
      </c>
      <c r="I1587">
        <v>36</v>
      </c>
      <c r="J1587">
        <v>1</v>
      </c>
      <c r="K1587" t="s">
        <v>8131</v>
      </c>
    </row>
    <row r="1588" spans="1:11" x14ac:dyDescent="0.25">
      <c r="A1588" t="s">
        <v>5425</v>
      </c>
      <c r="B1588" t="s">
        <v>5426</v>
      </c>
      <c r="C1588" t="s">
        <v>479</v>
      </c>
      <c r="D1588" t="s">
        <v>5427</v>
      </c>
      <c r="E1588" t="s">
        <v>14</v>
      </c>
      <c r="F1588" t="s">
        <v>15</v>
      </c>
      <c r="G1588">
        <v>15220</v>
      </c>
      <c r="H1588" t="s">
        <v>34</v>
      </c>
      <c r="I1588">
        <v>22</v>
      </c>
      <c r="J1588">
        <v>1</v>
      </c>
      <c r="K1588" t="s">
        <v>8131</v>
      </c>
    </row>
    <row r="1589" spans="1:11" x14ac:dyDescent="0.25">
      <c r="A1589" t="s">
        <v>5428</v>
      </c>
      <c r="B1589" t="s">
        <v>5429</v>
      </c>
      <c r="C1589" t="s">
        <v>5430</v>
      </c>
      <c r="D1589" t="s">
        <v>5431</v>
      </c>
      <c r="E1589" t="s">
        <v>14</v>
      </c>
      <c r="F1589" t="s">
        <v>15</v>
      </c>
      <c r="G1589">
        <v>15207</v>
      </c>
      <c r="H1589" t="s">
        <v>16</v>
      </c>
      <c r="I1589">
        <v>186</v>
      </c>
      <c r="J1589">
        <v>1</v>
      </c>
      <c r="K1589" t="s">
        <v>8131</v>
      </c>
    </row>
    <row r="1590" spans="1:11" x14ac:dyDescent="0.25">
      <c r="A1590" t="s">
        <v>5432</v>
      </c>
      <c r="B1590" t="s">
        <v>578</v>
      </c>
      <c r="C1590" t="s">
        <v>5433</v>
      </c>
      <c r="D1590" t="s">
        <v>5434</v>
      </c>
      <c r="E1590" t="s">
        <v>14</v>
      </c>
      <c r="F1590" t="s">
        <v>15</v>
      </c>
      <c r="G1590">
        <v>15232</v>
      </c>
      <c r="H1590" t="s">
        <v>21</v>
      </c>
      <c r="I1590">
        <v>71</v>
      </c>
      <c r="J1590">
        <v>1</v>
      </c>
      <c r="K1590" t="s">
        <v>8131</v>
      </c>
    </row>
    <row r="1591" spans="1:11" x14ac:dyDescent="0.25">
      <c r="A1591" t="s">
        <v>5435</v>
      </c>
      <c r="B1591" t="s">
        <v>5436</v>
      </c>
      <c r="C1591" t="s">
        <v>5437</v>
      </c>
      <c r="D1591" t="s">
        <v>5438</v>
      </c>
      <c r="E1591" t="s">
        <v>14</v>
      </c>
      <c r="F1591" t="s">
        <v>15</v>
      </c>
      <c r="G1591">
        <v>15224</v>
      </c>
      <c r="H1591" t="s">
        <v>48</v>
      </c>
      <c r="I1591">
        <v>48</v>
      </c>
      <c r="J1591">
        <v>1</v>
      </c>
      <c r="K1591" t="s">
        <v>8131</v>
      </c>
    </row>
    <row r="1592" spans="1:11" x14ac:dyDescent="0.25">
      <c r="A1592" t="s">
        <v>5439</v>
      </c>
      <c r="B1592" t="s">
        <v>720</v>
      </c>
      <c r="C1592" t="s">
        <v>5440</v>
      </c>
      <c r="D1592" t="s">
        <v>1192</v>
      </c>
      <c r="E1592" t="s">
        <v>14</v>
      </c>
      <c r="F1592" t="s">
        <v>15</v>
      </c>
      <c r="G1592">
        <v>15218</v>
      </c>
      <c r="H1592" t="s">
        <v>21</v>
      </c>
      <c r="I1592">
        <v>22</v>
      </c>
      <c r="J1592">
        <v>1</v>
      </c>
      <c r="K1592" t="s">
        <v>8131</v>
      </c>
    </row>
    <row r="1593" spans="1:11" x14ac:dyDescent="0.25">
      <c r="A1593" t="s">
        <v>5441</v>
      </c>
      <c r="B1593" t="s">
        <v>5442</v>
      </c>
      <c r="C1593" t="s">
        <v>5443</v>
      </c>
      <c r="D1593" t="s">
        <v>5444</v>
      </c>
      <c r="E1593" t="s">
        <v>14</v>
      </c>
      <c r="F1593" t="s">
        <v>15</v>
      </c>
      <c r="G1593">
        <v>15213</v>
      </c>
      <c r="H1593" t="s">
        <v>48</v>
      </c>
      <c r="I1593">
        <v>23</v>
      </c>
      <c r="J1593">
        <v>0</v>
      </c>
      <c r="K1593" t="s">
        <v>8131</v>
      </c>
    </row>
    <row r="1594" spans="1:11" x14ac:dyDescent="0.25">
      <c r="A1594" t="s">
        <v>5445</v>
      </c>
      <c r="B1594" t="s">
        <v>1384</v>
      </c>
      <c r="C1594" t="s">
        <v>5446</v>
      </c>
      <c r="D1594" t="s">
        <v>5189</v>
      </c>
      <c r="E1594" t="s">
        <v>14</v>
      </c>
      <c r="F1594" t="s">
        <v>15</v>
      </c>
      <c r="G1594">
        <v>15238</v>
      </c>
      <c r="H1594" t="s">
        <v>48</v>
      </c>
      <c r="I1594">
        <v>6</v>
      </c>
      <c r="J1594">
        <v>0</v>
      </c>
      <c r="K1594" t="s">
        <v>8131</v>
      </c>
    </row>
    <row r="1595" spans="1:11" x14ac:dyDescent="0.25">
      <c r="A1595" t="s">
        <v>5447</v>
      </c>
      <c r="B1595" t="s">
        <v>5448</v>
      </c>
      <c r="C1595" t="s">
        <v>5449</v>
      </c>
      <c r="D1595" t="s">
        <v>5450</v>
      </c>
      <c r="E1595" t="s">
        <v>14</v>
      </c>
      <c r="F1595" t="s">
        <v>15</v>
      </c>
      <c r="G1595">
        <v>15212</v>
      </c>
      <c r="H1595" t="s">
        <v>21</v>
      </c>
      <c r="I1595">
        <v>79</v>
      </c>
      <c r="J1595">
        <v>1</v>
      </c>
      <c r="K1595" t="s">
        <v>8131</v>
      </c>
    </row>
    <row r="1596" spans="1:11" x14ac:dyDescent="0.25">
      <c r="A1596" t="s">
        <v>5451</v>
      </c>
      <c r="B1596" t="s">
        <v>36</v>
      </c>
      <c r="C1596" t="s">
        <v>856</v>
      </c>
      <c r="D1596" t="s">
        <v>5452</v>
      </c>
      <c r="E1596" t="s">
        <v>14</v>
      </c>
      <c r="F1596" t="s">
        <v>15</v>
      </c>
      <c r="G1596">
        <v>15236</v>
      </c>
      <c r="H1596" t="s">
        <v>16</v>
      </c>
      <c r="I1596">
        <v>4</v>
      </c>
      <c r="J1596">
        <v>0</v>
      </c>
      <c r="K1596" t="s">
        <v>8131</v>
      </c>
    </row>
    <row r="1597" spans="1:11" x14ac:dyDescent="0.25">
      <c r="A1597" t="s">
        <v>5453</v>
      </c>
      <c r="B1597" t="s">
        <v>2897</v>
      </c>
      <c r="C1597" t="s">
        <v>5454</v>
      </c>
      <c r="D1597" t="s">
        <v>5455</v>
      </c>
      <c r="E1597" t="s">
        <v>14</v>
      </c>
      <c r="F1597" t="s">
        <v>15</v>
      </c>
      <c r="G1597">
        <v>15224</v>
      </c>
      <c r="H1597" t="s">
        <v>16</v>
      </c>
      <c r="I1597">
        <v>112</v>
      </c>
      <c r="J1597">
        <v>1</v>
      </c>
      <c r="K1597" t="s">
        <v>8131</v>
      </c>
    </row>
    <row r="1598" spans="1:11" x14ac:dyDescent="0.25">
      <c r="A1598" t="s">
        <v>5456</v>
      </c>
      <c r="B1598" t="s">
        <v>447</v>
      </c>
      <c r="C1598" t="s">
        <v>4846</v>
      </c>
      <c r="D1598" t="s">
        <v>5457</v>
      </c>
      <c r="E1598" t="s">
        <v>14</v>
      </c>
      <c r="F1598" t="s">
        <v>15</v>
      </c>
      <c r="G1598">
        <v>15232</v>
      </c>
      <c r="H1598" t="s">
        <v>43</v>
      </c>
      <c r="I1598">
        <v>298</v>
      </c>
      <c r="J1598">
        <v>1</v>
      </c>
      <c r="K1598" t="s">
        <v>8131</v>
      </c>
    </row>
    <row r="1599" spans="1:11" x14ac:dyDescent="0.25">
      <c r="A1599" t="s">
        <v>5458</v>
      </c>
      <c r="B1599" t="s">
        <v>5459</v>
      </c>
      <c r="C1599" t="s">
        <v>5460</v>
      </c>
      <c r="D1599" t="s">
        <v>979</v>
      </c>
      <c r="E1599" t="s">
        <v>14</v>
      </c>
      <c r="F1599" t="s">
        <v>15</v>
      </c>
      <c r="G1599">
        <v>15222</v>
      </c>
      <c r="H1599" t="s">
        <v>34</v>
      </c>
      <c r="I1599">
        <v>7</v>
      </c>
      <c r="J1599">
        <v>0</v>
      </c>
      <c r="K1599" t="s">
        <v>8131</v>
      </c>
    </row>
    <row r="1600" spans="1:11" x14ac:dyDescent="0.25">
      <c r="A1600" t="s">
        <v>5461</v>
      </c>
      <c r="B1600" t="s">
        <v>3259</v>
      </c>
      <c r="C1600" t="s">
        <v>4360</v>
      </c>
      <c r="D1600" t="s">
        <v>3726</v>
      </c>
      <c r="E1600" t="s">
        <v>14</v>
      </c>
      <c r="F1600" t="s">
        <v>15</v>
      </c>
      <c r="G1600">
        <v>15219</v>
      </c>
      <c r="H1600" t="s">
        <v>34</v>
      </c>
      <c r="I1600">
        <v>16</v>
      </c>
      <c r="J1600">
        <v>1</v>
      </c>
      <c r="K1600" t="s">
        <v>8131</v>
      </c>
    </row>
    <row r="1601" spans="1:11" x14ac:dyDescent="0.25">
      <c r="A1601" t="s">
        <v>5462</v>
      </c>
      <c r="B1601" t="s">
        <v>451</v>
      </c>
      <c r="C1601" t="s">
        <v>5463</v>
      </c>
      <c r="D1601" t="s">
        <v>5464</v>
      </c>
      <c r="E1601" t="s">
        <v>14</v>
      </c>
      <c r="F1601" t="s">
        <v>15</v>
      </c>
      <c r="G1601">
        <v>15213</v>
      </c>
      <c r="H1601" t="s">
        <v>34</v>
      </c>
      <c r="I1601">
        <v>37</v>
      </c>
      <c r="J1601">
        <v>1</v>
      </c>
      <c r="K1601" t="s">
        <v>8131</v>
      </c>
    </row>
    <row r="1602" spans="1:11" x14ac:dyDescent="0.25">
      <c r="A1602" t="e">
        <f>-S_Ln95liXJAccWi7ItUGw</f>
        <v>#NAME?</v>
      </c>
      <c r="B1602" t="s">
        <v>5465</v>
      </c>
      <c r="C1602" t="s">
        <v>208</v>
      </c>
      <c r="D1602" t="s">
        <v>5466</v>
      </c>
      <c r="E1602" t="s">
        <v>14</v>
      </c>
      <c r="F1602" t="s">
        <v>15</v>
      </c>
      <c r="G1602">
        <v>15201</v>
      </c>
      <c r="H1602" t="s">
        <v>34</v>
      </c>
      <c r="I1602">
        <v>6</v>
      </c>
      <c r="J1602">
        <v>0</v>
      </c>
      <c r="K1602" t="s">
        <v>8131</v>
      </c>
    </row>
    <row r="1603" spans="1:11" x14ac:dyDescent="0.25">
      <c r="A1603" t="s">
        <v>5467</v>
      </c>
      <c r="B1603" t="s">
        <v>5468</v>
      </c>
      <c r="C1603" t="s">
        <v>5469</v>
      </c>
      <c r="D1603" t="s">
        <v>5470</v>
      </c>
      <c r="E1603" t="s">
        <v>14</v>
      </c>
      <c r="F1603" t="s">
        <v>15</v>
      </c>
      <c r="G1603">
        <v>15203</v>
      </c>
      <c r="H1603" t="s">
        <v>34</v>
      </c>
      <c r="I1603">
        <v>14</v>
      </c>
      <c r="J1603">
        <v>0</v>
      </c>
      <c r="K1603" t="s">
        <v>8131</v>
      </c>
    </row>
    <row r="1604" spans="1:11" x14ac:dyDescent="0.25">
      <c r="A1604" t="s">
        <v>5471</v>
      </c>
      <c r="B1604" t="s">
        <v>3576</v>
      </c>
      <c r="C1604" t="s">
        <v>5472</v>
      </c>
      <c r="D1604" t="s">
        <v>5473</v>
      </c>
      <c r="E1604" t="s">
        <v>14</v>
      </c>
      <c r="F1604" t="s">
        <v>15</v>
      </c>
      <c r="G1604">
        <v>15222</v>
      </c>
      <c r="H1604" t="s">
        <v>48</v>
      </c>
      <c r="I1604">
        <v>62</v>
      </c>
      <c r="J1604">
        <v>1</v>
      </c>
      <c r="K1604" t="s">
        <v>8131</v>
      </c>
    </row>
    <row r="1605" spans="1:11" x14ac:dyDescent="0.25">
      <c r="A1605" t="s">
        <v>5474</v>
      </c>
      <c r="B1605" t="s">
        <v>5475</v>
      </c>
      <c r="C1605" t="s">
        <v>5476</v>
      </c>
      <c r="D1605" t="s">
        <v>5477</v>
      </c>
      <c r="E1605" t="s">
        <v>14</v>
      </c>
      <c r="F1605" t="s">
        <v>15</v>
      </c>
      <c r="G1605">
        <v>15201</v>
      </c>
      <c r="H1605" t="s">
        <v>16</v>
      </c>
      <c r="I1605">
        <v>81</v>
      </c>
      <c r="J1605">
        <v>1</v>
      </c>
      <c r="K1605" t="s">
        <v>8131</v>
      </c>
    </row>
    <row r="1606" spans="1:11" x14ac:dyDescent="0.25">
      <c r="A1606" t="s">
        <v>5478</v>
      </c>
      <c r="B1606" t="s">
        <v>65</v>
      </c>
      <c r="C1606" t="s">
        <v>5479</v>
      </c>
      <c r="D1606" t="s">
        <v>5480</v>
      </c>
      <c r="E1606" t="s">
        <v>14</v>
      </c>
      <c r="F1606" t="s">
        <v>15</v>
      </c>
      <c r="G1606">
        <v>15235</v>
      </c>
      <c r="H1606" t="s">
        <v>21</v>
      </c>
      <c r="I1606">
        <v>31</v>
      </c>
      <c r="J1606">
        <v>1</v>
      </c>
      <c r="K1606" t="s">
        <v>8131</v>
      </c>
    </row>
    <row r="1607" spans="1:11" x14ac:dyDescent="0.25">
      <c r="A1607" t="s">
        <v>5481</v>
      </c>
      <c r="B1607" t="s">
        <v>65</v>
      </c>
      <c r="C1607" t="s">
        <v>208</v>
      </c>
      <c r="D1607" t="s">
        <v>5482</v>
      </c>
      <c r="E1607" t="s">
        <v>14</v>
      </c>
      <c r="F1607" t="s">
        <v>15</v>
      </c>
      <c r="G1607">
        <v>15222</v>
      </c>
      <c r="H1607" t="s">
        <v>43</v>
      </c>
      <c r="I1607">
        <v>5</v>
      </c>
      <c r="J1607">
        <v>0</v>
      </c>
      <c r="K1607" t="s">
        <v>8131</v>
      </c>
    </row>
    <row r="1608" spans="1:11" x14ac:dyDescent="0.25">
      <c r="A1608" t="s">
        <v>5483</v>
      </c>
      <c r="B1608" t="s">
        <v>5484</v>
      </c>
      <c r="C1608" t="s">
        <v>5485</v>
      </c>
      <c r="D1608" t="s">
        <v>5486</v>
      </c>
      <c r="E1608" t="s">
        <v>14</v>
      </c>
      <c r="F1608" t="s">
        <v>15</v>
      </c>
      <c r="G1608">
        <v>15201</v>
      </c>
      <c r="H1608" t="s">
        <v>16</v>
      </c>
      <c r="I1608">
        <v>425</v>
      </c>
      <c r="J1608">
        <v>1</v>
      </c>
      <c r="K1608" t="s">
        <v>8131</v>
      </c>
    </row>
    <row r="1609" spans="1:11" x14ac:dyDescent="0.25">
      <c r="A1609" t="s">
        <v>5487</v>
      </c>
      <c r="B1609" t="s">
        <v>5488</v>
      </c>
      <c r="C1609" t="s">
        <v>5489</v>
      </c>
      <c r="D1609" t="s">
        <v>3966</v>
      </c>
      <c r="E1609" t="s">
        <v>14</v>
      </c>
      <c r="F1609" t="s">
        <v>15</v>
      </c>
      <c r="G1609">
        <v>15206</v>
      </c>
      <c r="H1609" t="s">
        <v>48</v>
      </c>
      <c r="I1609">
        <v>25</v>
      </c>
      <c r="J1609">
        <v>0</v>
      </c>
      <c r="K1609" t="s">
        <v>8131</v>
      </c>
    </row>
    <row r="1610" spans="1:11" x14ac:dyDescent="0.25">
      <c r="A1610" t="s">
        <v>5490</v>
      </c>
      <c r="B1610" t="s">
        <v>5491</v>
      </c>
      <c r="C1610" t="s">
        <v>5492</v>
      </c>
      <c r="D1610" t="s">
        <v>4683</v>
      </c>
      <c r="E1610" t="s">
        <v>14</v>
      </c>
      <c r="F1610" t="s">
        <v>15</v>
      </c>
      <c r="G1610">
        <v>15222</v>
      </c>
      <c r="H1610" t="s">
        <v>34</v>
      </c>
      <c r="I1610">
        <v>182</v>
      </c>
      <c r="J1610">
        <v>1</v>
      </c>
      <c r="K1610" t="s">
        <v>8131</v>
      </c>
    </row>
    <row r="1611" spans="1:11" x14ac:dyDescent="0.25">
      <c r="A1611" t="s">
        <v>5493</v>
      </c>
      <c r="B1611" t="s">
        <v>5494</v>
      </c>
      <c r="C1611" t="s">
        <v>419</v>
      </c>
      <c r="D1611" t="s">
        <v>5495</v>
      </c>
      <c r="E1611" t="s">
        <v>14</v>
      </c>
      <c r="F1611" t="s">
        <v>15</v>
      </c>
      <c r="G1611">
        <v>15206</v>
      </c>
      <c r="H1611" t="s">
        <v>43</v>
      </c>
      <c r="I1611">
        <v>8</v>
      </c>
      <c r="J1611">
        <v>0</v>
      </c>
      <c r="K1611" t="s">
        <v>8131</v>
      </c>
    </row>
    <row r="1612" spans="1:11" x14ac:dyDescent="0.25">
      <c r="A1612" t="s">
        <v>5496</v>
      </c>
      <c r="B1612" t="s">
        <v>5497</v>
      </c>
      <c r="C1612" t="s">
        <v>5498</v>
      </c>
      <c r="D1612" t="s">
        <v>1972</v>
      </c>
      <c r="E1612" t="s">
        <v>14</v>
      </c>
      <c r="F1612" t="s">
        <v>15</v>
      </c>
      <c r="G1612">
        <v>15213</v>
      </c>
      <c r="H1612" t="s">
        <v>48</v>
      </c>
      <c r="I1612">
        <v>94</v>
      </c>
      <c r="J1612">
        <v>1</v>
      </c>
      <c r="K1612" t="s">
        <v>8131</v>
      </c>
    </row>
    <row r="1613" spans="1:11" x14ac:dyDescent="0.25">
      <c r="A1613" t="s">
        <v>5499</v>
      </c>
      <c r="B1613" t="s">
        <v>5500</v>
      </c>
      <c r="C1613" t="s">
        <v>5501</v>
      </c>
      <c r="D1613" t="s">
        <v>3592</v>
      </c>
      <c r="E1613" t="s">
        <v>14</v>
      </c>
      <c r="F1613" t="s">
        <v>15</v>
      </c>
      <c r="G1613">
        <v>15219</v>
      </c>
      <c r="H1613" t="s">
        <v>16</v>
      </c>
      <c r="I1613">
        <v>12</v>
      </c>
      <c r="J1613">
        <v>1</v>
      </c>
      <c r="K1613" t="s">
        <v>8131</v>
      </c>
    </row>
    <row r="1614" spans="1:11" x14ac:dyDescent="0.25">
      <c r="A1614" t="s">
        <v>5502</v>
      </c>
      <c r="B1614" t="s">
        <v>5503</v>
      </c>
      <c r="C1614" t="s">
        <v>5504</v>
      </c>
      <c r="D1614" t="s">
        <v>5505</v>
      </c>
      <c r="E1614" t="s">
        <v>14</v>
      </c>
      <c r="F1614" t="s">
        <v>15</v>
      </c>
      <c r="G1614">
        <v>15217</v>
      </c>
      <c r="H1614" t="s">
        <v>34</v>
      </c>
      <c r="I1614">
        <v>114</v>
      </c>
      <c r="J1614">
        <v>1</v>
      </c>
      <c r="K1614" t="s">
        <v>8131</v>
      </c>
    </row>
    <row r="1615" spans="1:11" x14ac:dyDescent="0.25">
      <c r="A1615" t="s">
        <v>5506</v>
      </c>
      <c r="B1615" t="s">
        <v>447</v>
      </c>
      <c r="C1615" t="s">
        <v>5507</v>
      </c>
      <c r="D1615" t="s">
        <v>1562</v>
      </c>
      <c r="E1615" t="s">
        <v>14</v>
      </c>
      <c r="F1615" t="s">
        <v>15</v>
      </c>
      <c r="G1615">
        <v>15234</v>
      </c>
      <c r="H1615" t="s">
        <v>48</v>
      </c>
      <c r="I1615">
        <v>76</v>
      </c>
      <c r="J1615">
        <v>1</v>
      </c>
      <c r="K1615" t="s">
        <v>8131</v>
      </c>
    </row>
    <row r="1616" spans="1:11" x14ac:dyDescent="0.25">
      <c r="A1616" t="s">
        <v>5508</v>
      </c>
      <c r="B1616" t="s">
        <v>5509</v>
      </c>
      <c r="C1616" t="s">
        <v>5510</v>
      </c>
      <c r="D1616" t="s">
        <v>5511</v>
      </c>
      <c r="E1616" t="s">
        <v>14</v>
      </c>
      <c r="F1616" t="s">
        <v>15</v>
      </c>
      <c r="G1616">
        <v>15220</v>
      </c>
      <c r="H1616" t="s">
        <v>48</v>
      </c>
      <c r="I1616">
        <v>39</v>
      </c>
      <c r="J1616">
        <v>1</v>
      </c>
      <c r="K1616" t="s">
        <v>8131</v>
      </c>
    </row>
    <row r="1617" spans="1:11" x14ac:dyDescent="0.25">
      <c r="A1617" t="s">
        <v>5512</v>
      </c>
      <c r="B1617" t="s">
        <v>5513</v>
      </c>
      <c r="C1617" t="s">
        <v>5514</v>
      </c>
      <c r="D1617" t="s">
        <v>5515</v>
      </c>
      <c r="E1617" t="s">
        <v>14</v>
      </c>
      <c r="F1617" t="s">
        <v>15</v>
      </c>
      <c r="G1617">
        <v>15219</v>
      </c>
      <c r="H1617" t="s">
        <v>16</v>
      </c>
      <c r="I1617">
        <v>6</v>
      </c>
      <c r="J1617">
        <v>1</v>
      </c>
      <c r="K1617" t="s">
        <v>8131</v>
      </c>
    </row>
    <row r="1618" spans="1:11" x14ac:dyDescent="0.25">
      <c r="A1618" t="s">
        <v>5516</v>
      </c>
      <c r="B1618" t="s">
        <v>4419</v>
      </c>
      <c r="C1618" t="s">
        <v>5517</v>
      </c>
      <c r="D1618" t="s">
        <v>5518</v>
      </c>
      <c r="E1618" t="s">
        <v>14</v>
      </c>
      <c r="F1618" t="s">
        <v>15</v>
      </c>
      <c r="G1618">
        <v>15221</v>
      </c>
      <c r="H1618" t="s">
        <v>34</v>
      </c>
      <c r="I1618">
        <v>6</v>
      </c>
      <c r="J1618">
        <v>0</v>
      </c>
      <c r="K1618" t="s">
        <v>8131</v>
      </c>
    </row>
    <row r="1619" spans="1:11" x14ac:dyDescent="0.25">
      <c r="A1619" t="s">
        <v>5519</v>
      </c>
      <c r="B1619" t="s">
        <v>5520</v>
      </c>
      <c r="C1619" t="s">
        <v>5521</v>
      </c>
      <c r="D1619" t="s">
        <v>4782</v>
      </c>
      <c r="E1619" t="s">
        <v>14</v>
      </c>
      <c r="F1619" t="s">
        <v>15</v>
      </c>
      <c r="G1619">
        <v>15228</v>
      </c>
      <c r="H1619" t="s">
        <v>34</v>
      </c>
      <c r="I1619">
        <v>12</v>
      </c>
      <c r="J1619">
        <v>1</v>
      </c>
      <c r="K1619" t="s">
        <v>8131</v>
      </c>
    </row>
    <row r="1620" spans="1:11" x14ac:dyDescent="0.25">
      <c r="A1620" t="s">
        <v>5522</v>
      </c>
      <c r="B1620" t="s">
        <v>2930</v>
      </c>
      <c r="C1620" t="s">
        <v>2040</v>
      </c>
      <c r="D1620" t="s">
        <v>5523</v>
      </c>
      <c r="E1620" t="s">
        <v>14</v>
      </c>
      <c r="F1620" t="s">
        <v>15</v>
      </c>
      <c r="G1620">
        <v>15222</v>
      </c>
      <c r="H1620" t="s">
        <v>34</v>
      </c>
      <c r="I1620">
        <v>30</v>
      </c>
      <c r="J1620">
        <v>0</v>
      </c>
      <c r="K1620" t="s">
        <v>8131</v>
      </c>
    </row>
    <row r="1621" spans="1:11" x14ac:dyDescent="0.25">
      <c r="A1621" t="s">
        <v>5524</v>
      </c>
      <c r="B1621" t="s">
        <v>5525</v>
      </c>
      <c r="C1621" t="s">
        <v>5526</v>
      </c>
      <c r="D1621" t="s">
        <v>5527</v>
      </c>
      <c r="E1621" t="s">
        <v>14</v>
      </c>
      <c r="F1621" t="s">
        <v>15</v>
      </c>
      <c r="G1621">
        <v>15216</v>
      </c>
      <c r="H1621" t="s">
        <v>16</v>
      </c>
      <c r="I1621">
        <v>26</v>
      </c>
      <c r="J1621">
        <v>1</v>
      </c>
      <c r="K1621" t="s">
        <v>8131</v>
      </c>
    </row>
    <row r="1622" spans="1:11" x14ac:dyDescent="0.25">
      <c r="A1622" t="s">
        <v>5528</v>
      </c>
      <c r="B1622" t="s">
        <v>5529</v>
      </c>
      <c r="C1622" t="s">
        <v>4846</v>
      </c>
      <c r="D1622" t="s">
        <v>5530</v>
      </c>
      <c r="E1622" t="s">
        <v>14</v>
      </c>
      <c r="F1622" t="s">
        <v>15</v>
      </c>
      <c r="G1622">
        <v>15203</v>
      </c>
      <c r="H1622" t="s">
        <v>34</v>
      </c>
      <c r="I1622">
        <v>143</v>
      </c>
      <c r="J1622">
        <v>1</v>
      </c>
      <c r="K1622" t="s">
        <v>8131</v>
      </c>
    </row>
    <row r="1623" spans="1:11" x14ac:dyDescent="0.25">
      <c r="A1623" t="s">
        <v>5531</v>
      </c>
      <c r="B1623" t="s">
        <v>5532</v>
      </c>
      <c r="C1623" t="s">
        <v>5533</v>
      </c>
      <c r="D1623" t="s">
        <v>803</v>
      </c>
      <c r="E1623" t="s">
        <v>14</v>
      </c>
      <c r="F1623" t="s">
        <v>15</v>
      </c>
      <c r="G1623">
        <v>15203</v>
      </c>
      <c r="H1623" t="s">
        <v>43</v>
      </c>
      <c r="I1623">
        <v>8</v>
      </c>
      <c r="J1623">
        <v>0</v>
      </c>
      <c r="K1623" t="s">
        <v>8131</v>
      </c>
    </row>
    <row r="1624" spans="1:11" x14ac:dyDescent="0.25">
      <c r="A1624" t="s">
        <v>5534</v>
      </c>
      <c r="B1624" t="s">
        <v>5535</v>
      </c>
      <c r="C1624" t="s">
        <v>260</v>
      </c>
      <c r="D1624" t="s">
        <v>5536</v>
      </c>
      <c r="E1624" t="s">
        <v>14</v>
      </c>
      <c r="F1624" t="s">
        <v>15</v>
      </c>
      <c r="G1624">
        <v>15237</v>
      </c>
      <c r="H1624" t="s">
        <v>34</v>
      </c>
      <c r="I1624">
        <v>37</v>
      </c>
      <c r="J1624">
        <v>1</v>
      </c>
      <c r="K1624" t="s">
        <v>8131</v>
      </c>
    </row>
    <row r="1625" spans="1:11" x14ac:dyDescent="0.25">
      <c r="A1625" t="s">
        <v>5537</v>
      </c>
      <c r="B1625" t="s">
        <v>3498</v>
      </c>
      <c r="C1625" t="s">
        <v>5538</v>
      </c>
      <c r="D1625" t="s">
        <v>5539</v>
      </c>
      <c r="E1625" t="s">
        <v>14</v>
      </c>
      <c r="F1625" t="s">
        <v>15</v>
      </c>
      <c r="G1625">
        <v>15224</v>
      </c>
      <c r="H1625" t="s">
        <v>34</v>
      </c>
      <c r="I1625">
        <v>4</v>
      </c>
      <c r="J1625">
        <v>0</v>
      </c>
      <c r="K1625" t="s">
        <v>8131</v>
      </c>
    </row>
    <row r="1626" spans="1:11" x14ac:dyDescent="0.25">
      <c r="A1626" t="s">
        <v>5540</v>
      </c>
      <c r="B1626" t="s">
        <v>5541</v>
      </c>
      <c r="C1626" t="s">
        <v>5542</v>
      </c>
      <c r="D1626" t="s">
        <v>4660</v>
      </c>
      <c r="E1626" t="s">
        <v>14</v>
      </c>
      <c r="F1626" t="s">
        <v>15</v>
      </c>
      <c r="G1626">
        <v>15211</v>
      </c>
      <c r="H1626" t="s">
        <v>34</v>
      </c>
      <c r="I1626">
        <v>5</v>
      </c>
      <c r="J1626">
        <v>1</v>
      </c>
      <c r="K1626" t="s">
        <v>8131</v>
      </c>
    </row>
    <row r="1627" spans="1:11" x14ac:dyDescent="0.25">
      <c r="A1627" t="s">
        <v>5543</v>
      </c>
      <c r="B1627" t="s">
        <v>5544</v>
      </c>
      <c r="C1627" t="s">
        <v>5545</v>
      </c>
      <c r="D1627" t="s">
        <v>5546</v>
      </c>
      <c r="E1627" t="s">
        <v>14</v>
      </c>
      <c r="F1627" t="s">
        <v>15</v>
      </c>
      <c r="G1627">
        <v>15229</v>
      </c>
      <c r="H1627" t="s">
        <v>48</v>
      </c>
      <c r="I1627">
        <v>30</v>
      </c>
      <c r="J1627">
        <v>1</v>
      </c>
      <c r="K1627" t="s">
        <v>8131</v>
      </c>
    </row>
    <row r="1628" spans="1:11" x14ac:dyDescent="0.25">
      <c r="A1628" t="s">
        <v>5547</v>
      </c>
      <c r="B1628" t="s">
        <v>36</v>
      </c>
      <c r="C1628" t="s">
        <v>5548</v>
      </c>
      <c r="D1628" t="s">
        <v>5549</v>
      </c>
      <c r="E1628" t="s">
        <v>14</v>
      </c>
      <c r="F1628" t="s">
        <v>15</v>
      </c>
      <c r="G1628">
        <v>15213</v>
      </c>
      <c r="H1628" t="s">
        <v>34</v>
      </c>
      <c r="I1628">
        <v>32</v>
      </c>
      <c r="J1628">
        <v>1</v>
      </c>
      <c r="K1628" t="s">
        <v>8131</v>
      </c>
    </row>
    <row r="1629" spans="1:11" x14ac:dyDescent="0.25">
      <c r="A1629" t="s">
        <v>5550</v>
      </c>
      <c r="B1629" t="s">
        <v>5551</v>
      </c>
      <c r="C1629" t="s">
        <v>5552</v>
      </c>
      <c r="D1629" t="s">
        <v>5553</v>
      </c>
      <c r="E1629" t="s">
        <v>14</v>
      </c>
      <c r="F1629" t="s">
        <v>15</v>
      </c>
      <c r="G1629">
        <v>15218</v>
      </c>
      <c r="H1629" t="s">
        <v>16</v>
      </c>
      <c r="I1629">
        <v>17</v>
      </c>
      <c r="J1629">
        <v>1</v>
      </c>
      <c r="K1629" t="s">
        <v>8131</v>
      </c>
    </row>
    <row r="1630" spans="1:11" x14ac:dyDescent="0.25">
      <c r="A1630" t="s">
        <v>5554</v>
      </c>
      <c r="B1630" t="s">
        <v>5555</v>
      </c>
      <c r="C1630" t="s">
        <v>5556</v>
      </c>
      <c r="D1630" t="s">
        <v>5557</v>
      </c>
      <c r="E1630" t="s">
        <v>14</v>
      </c>
      <c r="F1630" t="s">
        <v>15</v>
      </c>
      <c r="G1630">
        <v>15217</v>
      </c>
      <c r="H1630" t="s">
        <v>48</v>
      </c>
      <c r="I1630">
        <v>69</v>
      </c>
      <c r="J1630">
        <v>1</v>
      </c>
      <c r="K1630" t="s">
        <v>8131</v>
      </c>
    </row>
    <row r="1631" spans="1:11" x14ac:dyDescent="0.25">
      <c r="A1631" t="s">
        <v>5558</v>
      </c>
      <c r="B1631" t="s">
        <v>5559</v>
      </c>
      <c r="C1631" t="s">
        <v>5560</v>
      </c>
      <c r="D1631" t="s">
        <v>5561</v>
      </c>
      <c r="E1631" t="s">
        <v>14</v>
      </c>
      <c r="F1631" t="s">
        <v>15</v>
      </c>
      <c r="G1631">
        <v>15237</v>
      </c>
      <c r="H1631" t="s">
        <v>16</v>
      </c>
      <c r="I1631">
        <v>42</v>
      </c>
      <c r="J1631">
        <v>1</v>
      </c>
      <c r="K1631" t="s">
        <v>8131</v>
      </c>
    </row>
    <row r="1632" spans="1:11" x14ac:dyDescent="0.25">
      <c r="A1632" t="s">
        <v>5562</v>
      </c>
      <c r="B1632" t="s">
        <v>5563</v>
      </c>
      <c r="C1632" t="s">
        <v>5564</v>
      </c>
      <c r="D1632" t="s">
        <v>3007</v>
      </c>
      <c r="E1632" t="s">
        <v>14</v>
      </c>
      <c r="F1632" t="s">
        <v>15</v>
      </c>
      <c r="G1632">
        <v>15217</v>
      </c>
      <c r="H1632" t="s">
        <v>16</v>
      </c>
      <c r="I1632">
        <v>30</v>
      </c>
      <c r="J1632">
        <v>0</v>
      </c>
      <c r="K1632" t="s">
        <v>8131</v>
      </c>
    </row>
    <row r="1633" spans="1:11" x14ac:dyDescent="0.25">
      <c r="A1633" t="s">
        <v>5565</v>
      </c>
      <c r="B1633" t="s">
        <v>2090</v>
      </c>
      <c r="C1633" t="s">
        <v>32</v>
      </c>
      <c r="D1633" t="s">
        <v>5566</v>
      </c>
      <c r="E1633" t="s">
        <v>14</v>
      </c>
      <c r="F1633" t="s">
        <v>15</v>
      </c>
      <c r="G1633">
        <v>15217</v>
      </c>
      <c r="H1633" t="s">
        <v>16</v>
      </c>
      <c r="I1633">
        <v>3</v>
      </c>
      <c r="J1633">
        <v>1</v>
      </c>
      <c r="K1633" t="s">
        <v>8131</v>
      </c>
    </row>
    <row r="1634" spans="1:11" x14ac:dyDescent="0.25">
      <c r="A1634" t="s">
        <v>5567</v>
      </c>
      <c r="B1634" t="s">
        <v>5568</v>
      </c>
      <c r="C1634" t="s">
        <v>5004</v>
      </c>
      <c r="D1634" t="s">
        <v>5569</v>
      </c>
      <c r="E1634" t="s">
        <v>14</v>
      </c>
      <c r="F1634" t="s">
        <v>15</v>
      </c>
      <c r="G1634">
        <v>15201</v>
      </c>
      <c r="H1634" t="s">
        <v>48</v>
      </c>
      <c r="I1634">
        <v>20</v>
      </c>
      <c r="J1634">
        <v>1</v>
      </c>
      <c r="K1634" t="s">
        <v>8131</v>
      </c>
    </row>
    <row r="1635" spans="1:11" x14ac:dyDescent="0.25">
      <c r="A1635" t="s">
        <v>5570</v>
      </c>
      <c r="B1635" t="s">
        <v>5571</v>
      </c>
      <c r="C1635" t="s">
        <v>5572</v>
      </c>
      <c r="D1635" t="s">
        <v>5573</v>
      </c>
      <c r="E1635" t="s">
        <v>14</v>
      </c>
      <c r="F1635" t="s">
        <v>15</v>
      </c>
      <c r="G1635">
        <v>15222</v>
      </c>
      <c r="H1635" t="s">
        <v>48</v>
      </c>
      <c r="I1635">
        <v>10</v>
      </c>
      <c r="J1635">
        <v>1</v>
      </c>
      <c r="K1635" t="s">
        <v>8131</v>
      </c>
    </row>
    <row r="1636" spans="1:11" x14ac:dyDescent="0.25">
      <c r="A1636" t="s">
        <v>5574</v>
      </c>
      <c r="B1636" t="s">
        <v>5575</v>
      </c>
      <c r="C1636" t="s">
        <v>5576</v>
      </c>
      <c r="D1636" t="s">
        <v>1770</v>
      </c>
      <c r="E1636" t="s">
        <v>14</v>
      </c>
      <c r="F1636" t="s">
        <v>15</v>
      </c>
      <c r="G1636">
        <v>15228</v>
      </c>
      <c r="H1636" t="s">
        <v>16</v>
      </c>
      <c r="I1636">
        <v>6</v>
      </c>
      <c r="J1636">
        <v>0</v>
      </c>
      <c r="K1636" t="s">
        <v>8131</v>
      </c>
    </row>
    <row r="1637" spans="1:11" x14ac:dyDescent="0.25">
      <c r="A1637" t="s">
        <v>5577</v>
      </c>
      <c r="B1637" t="s">
        <v>5578</v>
      </c>
      <c r="C1637" t="s">
        <v>5579</v>
      </c>
      <c r="D1637" t="s">
        <v>5580</v>
      </c>
      <c r="E1637" t="s">
        <v>14</v>
      </c>
      <c r="F1637" t="s">
        <v>15</v>
      </c>
      <c r="G1637">
        <v>15212</v>
      </c>
      <c r="H1637" t="s">
        <v>21</v>
      </c>
      <c r="I1637">
        <v>6</v>
      </c>
      <c r="J1637">
        <v>1</v>
      </c>
      <c r="K1637" t="s">
        <v>8131</v>
      </c>
    </row>
    <row r="1638" spans="1:11" x14ac:dyDescent="0.25">
      <c r="A1638" t="s">
        <v>5581</v>
      </c>
      <c r="B1638" t="s">
        <v>5582</v>
      </c>
      <c r="C1638" t="s">
        <v>5583</v>
      </c>
      <c r="D1638" t="s">
        <v>1599</v>
      </c>
      <c r="E1638" t="s">
        <v>14</v>
      </c>
      <c r="F1638" t="s">
        <v>15</v>
      </c>
      <c r="G1638">
        <v>15215</v>
      </c>
      <c r="H1638" t="s">
        <v>34</v>
      </c>
      <c r="I1638">
        <v>9</v>
      </c>
      <c r="J1638">
        <v>0</v>
      </c>
      <c r="K1638" t="s">
        <v>8131</v>
      </c>
    </row>
    <row r="1639" spans="1:11" x14ac:dyDescent="0.25">
      <c r="A1639" t="s">
        <v>5584</v>
      </c>
      <c r="B1639" t="s">
        <v>377</v>
      </c>
      <c r="C1639" t="s">
        <v>5585</v>
      </c>
      <c r="D1639" t="s">
        <v>5586</v>
      </c>
      <c r="E1639" t="s">
        <v>14</v>
      </c>
      <c r="F1639" t="s">
        <v>15</v>
      </c>
      <c r="G1639">
        <v>15211</v>
      </c>
      <c r="H1639" t="s">
        <v>16</v>
      </c>
      <c r="I1639">
        <v>68</v>
      </c>
      <c r="J1639">
        <v>1</v>
      </c>
      <c r="K1639" t="s">
        <v>8131</v>
      </c>
    </row>
    <row r="1640" spans="1:11" x14ac:dyDescent="0.25">
      <c r="A1640" t="s">
        <v>5587</v>
      </c>
      <c r="B1640" t="s">
        <v>1172</v>
      </c>
      <c r="C1640" t="s">
        <v>1819</v>
      </c>
      <c r="D1640" t="s">
        <v>5112</v>
      </c>
      <c r="E1640" t="s">
        <v>14</v>
      </c>
      <c r="F1640" t="s">
        <v>15</v>
      </c>
      <c r="G1640">
        <v>15213</v>
      </c>
      <c r="H1640" t="s">
        <v>21</v>
      </c>
      <c r="I1640">
        <v>7</v>
      </c>
      <c r="J1640">
        <v>0</v>
      </c>
      <c r="K1640" t="s">
        <v>8131</v>
      </c>
    </row>
    <row r="1641" spans="1:11" x14ac:dyDescent="0.25">
      <c r="A1641" t="s">
        <v>5588</v>
      </c>
      <c r="B1641" t="s">
        <v>5589</v>
      </c>
      <c r="C1641" t="s">
        <v>4244</v>
      </c>
      <c r="D1641" t="s">
        <v>523</v>
      </c>
      <c r="E1641" t="s">
        <v>14</v>
      </c>
      <c r="F1641" t="s">
        <v>15</v>
      </c>
      <c r="G1641">
        <v>15217</v>
      </c>
      <c r="H1641" t="s">
        <v>48</v>
      </c>
      <c r="I1641">
        <v>330</v>
      </c>
      <c r="J1641">
        <v>1</v>
      </c>
      <c r="K1641" t="s">
        <v>8131</v>
      </c>
    </row>
    <row r="1642" spans="1:11" x14ac:dyDescent="0.25">
      <c r="A1642" t="s">
        <v>5590</v>
      </c>
      <c r="B1642" t="s">
        <v>5591</v>
      </c>
      <c r="C1642" t="s">
        <v>419</v>
      </c>
      <c r="D1642" t="s">
        <v>5592</v>
      </c>
      <c r="E1642" t="s">
        <v>14</v>
      </c>
      <c r="F1642" t="s">
        <v>15</v>
      </c>
      <c r="G1642">
        <v>15222</v>
      </c>
      <c r="H1642" t="s">
        <v>113</v>
      </c>
      <c r="I1642">
        <v>11</v>
      </c>
      <c r="J1642">
        <v>1</v>
      </c>
      <c r="K1642" t="s">
        <v>8131</v>
      </c>
    </row>
    <row r="1643" spans="1:11" x14ac:dyDescent="0.25">
      <c r="A1643" t="s">
        <v>5593</v>
      </c>
      <c r="B1643" t="s">
        <v>5594</v>
      </c>
      <c r="C1643" t="s">
        <v>4015</v>
      </c>
      <c r="D1643" t="s">
        <v>5595</v>
      </c>
      <c r="E1643" t="s">
        <v>14</v>
      </c>
      <c r="F1643" t="s">
        <v>15</v>
      </c>
      <c r="G1643">
        <v>15203</v>
      </c>
      <c r="H1643" t="s">
        <v>48</v>
      </c>
      <c r="I1643">
        <v>156</v>
      </c>
      <c r="J1643">
        <v>1</v>
      </c>
      <c r="K1643" t="s">
        <v>8131</v>
      </c>
    </row>
    <row r="1644" spans="1:11" x14ac:dyDescent="0.25">
      <c r="A1644" t="s">
        <v>5596</v>
      </c>
      <c r="B1644" t="s">
        <v>5597</v>
      </c>
      <c r="C1644" t="s">
        <v>5598</v>
      </c>
      <c r="D1644" t="s">
        <v>5599</v>
      </c>
      <c r="E1644" t="s">
        <v>14</v>
      </c>
      <c r="F1644" t="s">
        <v>15</v>
      </c>
      <c r="G1644">
        <v>15224</v>
      </c>
      <c r="H1644" t="s">
        <v>21</v>
      </c>
      <c r="I1644">
        <v>92</v>
      </c>
      <c r="J1644">
        <v>1</v>
      </c>
      <c r="K1644" t="s">
        <v>8131</v>
      </c>
    </row>
    <row r="1645" spans="1:11" x14ac:dyDescent="0.25">
      <c r="A1645" t="s">
        <v>5600</v>
      </c>
      <c r="B1645" t="s">
        <v>5601</v>
      </c>
      <c r="C1645" t="s">
        <v>5602</v>
      </c>
      <c r="D1645" t="s">
        <v>5603</v>
      </c>
      <c r="E1645" t="s">
        <v>14</v>
      </c>
      <c r="F1645" t="s">
        <v>15</v>
      </c>
      <c r="G1645">
        <v>15202</v>
      </c>
      <c r="H1645" t="s">
        <v>48</v>
      </c>
      <c r="I1645">
        <v>19</v>
      </c>
      <c r="J1645">
        <v>1</v>
      </c>
      <c r="K1645" t="s">
        <v>8131</v>
      </c>
    </row>
    <row r="1646" spans="1:11" x14ac:dyDescent="0.25">
      <c r="A1646" t="s">
        <v>5604</v>
      </c>
      <c r="B1646" t="s">
        <v>5605</v>
      </c>
      <c r="C1646" t="s">
        <v>2013</v>
      </c>
      <c r="D1646" t="s">
        <v>1021</v>
      </c>
      <c r="E1646" t="s">
        <v>14</v>
      </c>
      <c r="F1646" t="s">
        <v>15</v>
      </c>
      <c r="G1646">
        <v>15222</v>
      </c>
      <c r="H1646" t="s">
        <v>21</v>
      </c>
      <c r="I1646">
        <v>12</v>
      </c>
      <c r="J1646">
        <v>1</v>
      </c>
      <c r="K1646" t="s">
        <v>8131</v>
      </c>
    </row>
    <row r="1647" spans="1:11" x14ac:dyDescent="0.25">
      <c r="A1647" t="s">
        <v>5606</v>
      </c>
      <c r="B1647" t="s">
        <v>578</v>
      </c>
      <c r="C1647" t="s">
        <v>5607</v>
      </c>
      <c r="D1647" t="s">
        <v>5608</v>
      </c>
      <c r="E1647" t="s">
        <v>14</v>
      </c>
      <c r="F1647" t="s">
        <v>15</v>
      </c>
      <c r="G1647">
        <v>15289</v>
      </c>
      <c r="H1647" t="s">
        <v>43</v>
      </c>
      <c r="I1647">
        <v>11</v>
      </c>
      <c r="J1647">
        <v>0</v>
      </c>
      <c r="K1647" t="s">
        <v>8131</v>
      </c>
    </row>
    <row r="1648" spans="1:11" x14ac:dyDescent="0.25">
      <c r="A1648" t="s">
        <v>5609</v>
      </c>
      <c r="B1648" t="s">
        <v>5610</v>
      </c>
      <c r="C1648" t="s">
        <v>5611</v>
      </c>
      <c r="D1648" t="s">
        <v>5612</v>
      </c>
      <c r="E1648" t="s">
        <v>14</v>
      </c>
      <c r="F1648" t="s">
        <v>15</v>
      </c>
      <c r="G1648">
        <v>15217</v>
      </c>
      <c r="H1648" t="s">
        <v>34</v>
      </c>
      <c r="I1648">
        <v>220</v>
      </c>
      <c r="J1648">
        <v>1</v>
      </c>
      <c r="K1648" t="s">
        <v>8131</v>
      </c>
    </row>
    <row r="1649" spans="1:11" x14ac:dyDescent="0.25">
      <c r="A1649" t="s">
        <v>5613</v>
      </c>
      <c r="B1649" t="s">
        <v>720</v>
      </c>
      <c r="C1649" t="s">
        <v>5614</v>
      </c>
      <c r="D1649" t="s">
        <v>5434</v>
      </c>
      <c r="E1649" t="s">
        <v>14</v>
      </c>
      <c r="F1649" t="s">
        <v>15</v>
      </c>
      <c r="G1649">
        <v>15232</v>
      </c>
      <c r="H1649" t="s">
        <v>34</v>
      </c>
      <c r="I1649">
        <v>103</v>
      </c>
      <c r="J1649">
        <v>0</v>
      </c>
      <c r="K1649" t="s">
        <v>8131</v>
      </c>
    </row>
    <row r="1650" spans="1:11" x14ac:dyDescent="0.25">
      <c r="A1650" t="s">
        <v>5615</v>
      </c>
      <c r="B1650" t="s">
        <v>5616</v>
      </c>
      <c r="C1650" t="s">
        <v>5617</v>
      </c>
      <c r="D1650" t="s">
        <v>5618</v>
      </c>
      <c r="E1650" t="s">
        <v>14</v>
      </c>
      <c r="F1650" t="s">
        <v>15</v>
      </c>
      <c r="G1650">
        <v>15237</v>
      </c>
      <c r="H1650" t="s">
        <v>113</v>
      </c>
      <c r="I1650">
        <v>62</v>
      </c>
      <c r="J1650">
        <v>1</v>
      </c>
      <c r="K1650" t="s">
        <v>8131</v>
      </c>
    </row>
    <row r="1651" spans="1:11" x14ac:dyDescent="0.25">
      <c r="A1651" t="s">
        <v>5619</v>
      </c>
      <c r="B1651" t="s">
        <v>5620</v>
      </c>
      <c r="C1651" t="s">
        <v>5621</v>
      </c>
      <c r="D1651" t="s">
        <v>5622</v>
      </c>
      <c r="E1651" t="s">
        <v>14</v>
      </c>
      <c r="F1651" t="s">
        <v>15</v>
      </c>
      <c r="G1651">
        <v>15219</v>
      </c>
      <c r="H1651" t="s">
        <v>48</v>
      </c>
      <c r="I1651">
        <v>33</v>
      </c>
      <c r="J1651">
        <v>1</v>
      </c>
      <c r="K1651" t="s">
        <v>8131</v>
      </c>
    </row>
    <row r="1652" spans="1:11" x14ac:dyDescent="0.25">
      <c r="A1652" t="s">
        <v>5623</v>
      </c>
      <c r="B1652" t="s">
        <v>5624</v>
      </c>
      <c r="C1652" t="s">
        <v>5625</v>
      </c>
      <c r="D1652" t="s">
        <v>5626</v>
      </c>
      <c r="E1652" t="s">
        <v>14</v>
      </c>
      <c r="F1652" t="s">
        <v>15</v>
      </c>
      <c r="G1652">
        <v>15220</v>
      </c>
      <c r="H1652" t="s">
        <v>21</v>
      </c>
      <c r="I1652">
        <v>12</v>
      </c>
      <c r="J1652">
        <v>1</v>
      </c>
      <c r="K1652" t="s">
        <v>8131</v>
      </c>
    </row>
    <row r="1653" spans="1:11" x14ac:dyDescent="0.25">
      <c r="A1653" t="s">
        <v>5627</v>
      </c>
      <c r="B1653" t="s">
        <v>5568</v>
      </c>
      <c r="C1653" t="s">
        <v>5628</v>
      </c>
      <c r="D1653" t="s">
        <v>329</v>
      </c>
      <c r="E1653" t="s">
        <v>14</v>
      </c>
      <c r="F1653" t="s">
        <v>15</v>
      </c>
      <c r="G1653">
        <v>15213</v>
      </c>
      <c r="H1653" t="s">
        <v>34</v>
      </c>
      <c r="I1653">
        <v>9</v>
      </c>
      <c r="J1653">
        <v>1</v>
      </c>
      <c r="K1653" t="s">
        <v>8131</v>
      </c>
    </row>
    <row r="1654" spans="1:11" x14ac:dyDescent="0.25">
      <c r="A1654" t="s">
        <v>5629</v>
      </c>
      <c r="B1654" t="s">
        <v>5630</v>
      </c>
      <c r="C1654" t="s">
        <v>5631</v>
      </c>
      <c r="D1654" t="s">
        <v>5632</v>
      </c>
      <c r="E1654" t="s">
        <v>14</v>
      </c>
      <c r="F1654" t="s">
        <v>15</v>
      </c>
      <c r="G1654">
        <v>15217</v>
      </c>
      <c r="H1654" t="s">
        <v>16</v>
      </c>
      <c r="I1654">
        <v>52</v>
      </c>
      <c r="J1654">
        <v>0</v>
      </c>
      <c r="K1654" t="s">
        <v>8131</v>
      </c>
    </row>
    <row r="1655" spans="1:11" x14ac:dyDescent="0.25">
      <c r="A1655" t="s">
        <v>5633</v>
      </c>
      <c r="B1655" t="s">
        <v>5634</v>
      </c>
      <c r="C1655" t="s">
        <v>5635</v>
      </c>
      <c r="D1655" t="s">
        <v>5636</v>
      </c>
      <c r="E1655" t="s">
        <v>14</v>
      </c>
      <c r="F1655" t="s">
        <v>15</v>
      </c>
      <c r="G1655">
        <v>15206</v>
      </c>
      <c r="H1655" t="s">
        <v>21</v>
      </c>
      <c r="I1655">
        <v>549</v>
      </c>
      <c r="J1655">
        <v>1</v>
      </c>
      <c r="K1655" t="s">
        <v>8131</v>
      </c>
    </row>
    <row r="1656" spans="1:11" x14ac:dyDescent="0.25">
      <c r="A1656" t="s">
        <v>5637</v>
      </c>
      <c r="B1656" t="s">
        <v>5638</v>
      </c>
      <c r="C1656" t="s">
        <v>5639</v>
      </c>
      <c r="D1656" t="s">
        <v>5640</v>
      </c>
      <c r="E1656" t="s">
        <v>14</v>
      </c>
      <c r="F1656" t="s">
        <v>15</v>
      </c>
      <c r="G1656">
        <v>15227</v>
      </c>
      <c r="H1656" t="s">
        <v>48</v>
      </c>
      <c r="I1656">
        <v>11</v>
      </c>
      <c r="J1656">
        <v>1</v>
      </c>
      <c r="K1656" t="s">
        <v>8131</v>
      </c>
    </row>
    <row r="1657" spans="1:11" x14ac:dyDescent="0.25">
      <c r="A1657" t="s">
        <v>5641</v>
      </c>
      <c r="B1657" t="s">
        <v>447</v>
      </c>
      <c r="C1657" t="s">
        <v>5642</v>
      </c>
      <c r="D1657" t="s">
        <v>4341</v>
      </c>
      <c r="E1657" t="s">
        <v>14</v>
      </c>
      <c r="F1657" t="s">
        <v>15</v>
      </c>
      <c r="G1657">
        <v>15217</v>
      </c>
      <c r="H1657" t="s">
        <v>34</v>
      </c>
      <c r="I1657">
        <v>5</v>
      </c>
      <c r="J1657">
        <v>0</v>
      </c>
      <c r="K1657" t="s">
        <v>8131</v>
      </c>
    </row>
    <row r="1658" spans="1:11" x14ac:dyDescent="0.25">
      <c r="A1658" t="s">
        <v>5643</v>
      </c>
      <c r="B1658" t="s">
        <v>2439</v>
      </c>
      <c r="C1658" t="s">
        <v>5644</v>
      </c>
      <c r="D1658" t="s">
        <v>5645</v>
      </c>
      <c r="E1658" t="s">
        <v>14</v>
      </c>
      <c r="F1658" t="s">
        <v>15</v>
      </c>
      <c r="G1658">
        <v>15217</v>
      </c>
      <c r="H1658" t="s">
        <v>21</v>
      </c>
      <c r="I1658">
        <v>73</v>
      </c>
      <c r="J1658">
        <v>1</v>
      </c>
      <c r="K1658" t="s">
        <v>8131</v>
      </c>
    </row>
    <row r="1659" spans="1:11" x14ac:dyDescent="0.25">
      <c r="A1659" t="s">
        <v>5646</v>
      </c>
      <c r="B1659" t="s">
        <v>5647</v>
      </c>
      <c r="C1659" t="s">
        <v>5648</v>
      </c>
      <c r="D1659" t="s">
        <v>1374</v>
      </c>
      <c r="E1659" t="s">
        <v>14</v>
      </c>
      <c r="F1659" t="s">
        <v>15</v>
      </c>
      <c r="G1659">
        <v>15219</v>
      </c>
      <c r="H1659" t="s">
        <v>16</v>
      </c>
      <c r="I1659">
        <v>66</v>
      </c>
      <c r="J1659">
        <v>0</v>
      </c>
      <c r="K1659" t="s">
        <v>8131</v>
      </c>
    </row>
    <row r="1660" spans="1:11" x14ac:dyDescent="0.25">
      <c r="A1660" t="s">
        <v>5649</v>
      </c>
      <c r="B1660" t="s">
        <v>5650</v>
      </c>
      <c r="C1660" t="s">
        <v>5651</v>
      </c>
      <c r="D1660" t="s">
        <v>5652</v>
      </c>
      <c r="E1660" t="s">
        <v>14</v>
      </c>
      <c r="F1660" t="s">
        <v>15</v>
      </c>
      <c r="G1660">
        <v>15236</v>
      </c>
      <c r="H1660" t="s">
        <v>48</v>
      </c>
      <c r="I1660">
        <v>30</v>
      </c>
      <c r="J1660">
        <v>1</v>
      </c>
      <c r="K1660" t="s">
        <v>8131</v>
      </c>
    </row>
    <row r="1661" spans="1:11" x14ac:dyDescent="0.25">
      <c r="A1661" t="s">
        <v>5653</v>
      </c>
      <c r="B1661" t="s">
        <v>319</v>
      </c>
      <c r="C1661" t="s">
        <v>5654</v>
      </c>
      <c r="D1661" t="s">
        <v>5655</v>
      </c>
      <c r="E1661" t="s">
        <v>14</v>
      </c>
      <c r="F1661" t="s">
        <v>15</v>
      </c>
      <c r="G1661">
        <v>15205</v>
      </c>
      <c r="H1661" t="s">
        <v>43</v>
      </c>
      <c r="I1661">
        <v>36</v>
      </c>
      <c r="J1661">
        <v>0</v>
      </c>
      <c r="K1661" t="s">
        <v>8131</v>
      </c>
    </row>
    <row r="1662" spans="1:11" x14ac:dyDescent="0.25">
      <c r="A1662" t="s">
        <v>5656</v>
      </c>
      <c r="B1662" t="s">
        <v>586</v>
      </c>
      <c r="C1662" t="s">
        <v>5657</v>
      </c>
      <c r="D1662" t="s">
        <v>5658</v>
      </c>
      <c r="E1662" t="s">
        <v>14</v>
      </c>
      <c r="F1662" t="s">
        <v>15</v>
      </c>
      <c r="G1662">
        <v>15210</v>
      </c>
      <c r="H1662" t="s">
        <v>21</v>
      </c>
      <c r="I1662">
        <v>202</v>
      </c>
      <c r="J1662">
        <v>1</v>
      </c>
      <c r="K1662" t="s">
        <v>8131</v>
      </c>
    </row>
    <row r="1663" spans="1:11" x14ac:dyDescent="0.25">
      <c r="A1663" t="s">
        <v>5659</v>
      </c>
      <c r="B1663" t="s">
        <v>5660</v>
      </c>
      <c r="C1663" t="s">
        <v>5661</v>
      </c>
      <c r="D1663" t="s">
        <v>5662</v>
      </c>
      <c r="E1663" t="s">
        <v>14</v>
      </c>
      <c r="F1663" t="s">
        <v>15</v>
      </c>
      <c r="G1663">
        <v>15201</v>
      </c>
      <c r="H1663" t="s">
        <v>21</v>
      </c>
      <c r="I1663">
        <v>198</v>
      </c>
      <c r="J1663">
        <v>1</v>
      </c>
      <c r="K1663" t="s">
        <v>8131</v>
      </c>
    </row>
    <row r="1664" spans="1:11" x14ac:dyDescent="0.25">
      <c r="A1664" t="s">
        <v>5663</v>
      </c>
      <c r="B1664" t="s">
        <v>2897</v>
      </c>
      <c r="C1664" t="s">
        <v>5664</v>
      </c>
      <c r="D1664" t="s">
        <v>767</v>
      </c>
      <c r="E1664" t="s">
        <v>14</v>
      </c>
      <c r="F1664" t="s">
        <v>15</v>
      </c>
      <c r="G1664">
        <v>15213</v>
      </c>
      <c r="H1664" t="s">
        <v>16</v>
      </c>
      <c r="I1664">
        <v>6</v>
      </c>
      <c r="J1664">
        <v>0</v>
      </c>
      <c r="K1664" t="s">
        <v>8131</v>
      </c>
    </row>
    <row r="1665" spans="1:11" x14ac:dyDescent="0.25">
      <c r="A1665" t="s">
        <v>5665</v>
      </c>
      <c r="B1665" t="s">
        <v>5666</v>
      </c>
      <c r="C1665" t="s">
        <v>5667</v>
      </c>
      <c r="D1665" t="s">
        <v>5668</v>
      </c>
      <c r="E1665" t="s">
        <v>14</v>
      </c>
      <c r="F1665" t="s">
        <v>15</v>
      </c>
      <c r="G1665">
        <v>15217</v>
      </c>
      <c r="H1665" t="s">
        <v>21</v>
      </c>
      <c r="I1665">
        <v>16</v>
      </c>
      <c r="J1665">
        <v>1</v>
      </c>
      <c r="K1665" t="s">
        <v>8131</v>
      </c>
    </row>
    <row r="1666" spans="1:11" x14ac:dyDescent="0.25">
      <c r="A1666" t="s">
        <v>5669</v>
      </c>
      <c r="B1666" t="s">
        <v>5670</v>
      </c>
      <c r="C1666" t="s">
        <v>5671</v>
      </c>
      <c r="D1666" t="s">
        <v>5672</v>
      </c>
      <c r="E1666" t="s">
        <v>14</v>
      </c>
      <c r="F1666" t="s">
        <v>15</v>
      </c>
      <c r="G1666">
        <v>15215</v>
      </c>
      <c r="H1666" t="s">
        <v>16</v>
      </c>
      <c r="I1666">
        <v>26</v>
      </c>
      <c r="J1666">
        <v>0</v>
      </c>
      <c r="K1666" t="s">
        <v>8131</v>
      </c>
    </row>
    <row r="1667" spans="1:11" x14ac:dyDescent="0.25">
      <c r="A1667" t="s">
        <v>5673</v>
      </c>
      <c r="B1667" t="s">
        <v>716</v>
      </c>
      <c r="C1667" t="s">
        <v>5674</v>
      </c>
      <c r="D1667" t="s">
        <v>5675</v>
      </c>
      <c r="E1667" t="s">
        <v>14</v>
      </c>
      <c r="F1667" t="s">
        <v>15</v>
      </c>
      <c r="G1667">
        <v>15222</v>
      </c>
      <c r="H1667" t="s">
        <v>48</v>
      </c>
      <c r="I1667">
        <v>64</v>
      </c>
      <c r="J1667">
        <v>1</v>
      </c>
      <c r="K1667" t="s">
        <v>8131</v>
      </c>
    </row>
    <row r="1668" spans="1:11" x14ac:dyDescent="0.25">
      <c r="A1668" t="s">
        <v>5676</v>
      </c>
      <c r="B1668" t="s">
        <v>5677</v>
      </c>
      <c r="C1668" t="s">
        <v>5678</v>
      </c>
      <c r="D1668" t="s">
        <v>5679</v>
      </c>
      <c r="E1668" t="s">
        <v>14</v>
      </c>
      <c r="F1668" t="s">
        <v>15</v>
      </c>
      <c r="G1668">
        <v>15205</v>
      </c>
      <c r="H1668" t="s">
        <v>34</v>
      </c>
      <c r="I1668">
        <v>62</v>
      </c>
      <c r="J1668">
        <v>1</v>
      </c>
      <c r="K1668" t="s">
        <v>8131</v>
      </c>
    </row>
    <row r="1669" spans="1:11" x14ac:dyDescent="0.25">
      <c r="A1669" t="s">
        <v>5680</v>
      </c>
      <c r="B1669" t="s">
        <v>5681</v>
      </c>
      <c r="C1669" t="s">
        <v>5682</v>
      </c>
      <c r="D1669" t="s">
        <v>5683</v>
      </c>
      <c r="E1669" t="s">
        <v>14</v>
      </c>
      <c r="F1669" t="s">
        <v>15</v>
      </c>
      <c r="G1669">
        <v>15206</v>
      </c>
      <c r="H1669" t="s">
        <v>34</v>
      </c>
      <c r="I1669">
        <v>234</v>
      </c>
      <c r="J1669">
        <v>1</v>
      </c>
      <c r="K1669" t="s">
        <v>8131</v>
      </c>
    </row>
    <row r="1670" spans="1:11" x14ac:dyDescent="0.25">
      <c r="A1670" t="s">
        <v>5684</v>
      </c>
      <c r="B1670" t="s">
        <v>5685</v>
      </c>
      <c r="C1670" t="s">
        <v>5686</v>
      </c>
      <c r="D1670" t="s">
        <v>5687</v>
      </c>
      <c r="E1670" t="s">
        <v>14</v>
      </c>
      <c r="F1670" t="s">
        <v>15</v>
      </c>
      <c r="G1670">
        <v>15213</v>
      </c>
      <c r="H1670" t="s">
        <v>48</v>
      </c>
      <c r="I1670">
        <v>3</v>
      </c>
      <c r="J1670">
        <v>1</v>
      </c>
      <c r="K1670" t="s">
        <v>8131</v>
      </c>
    </row>
    <row r="1671" spans="1:11" x14ac:dyDescent="0.25">
      <c r="A1671" t="s">
        <v>5688</v>
      </c>
      <c r="B1671" t="s">
        <v>586</v>
      </c>
      <c r="C1671" t="s">
        <v>5689</v>
      </c>
      <c r="D1671" t="s">
        <v>3313</v>
      </c>
      <c r="E1671" t="s">
        <v>14</v>
      </c>
      <c r="F1671" t="s">
        <v>15</v>
      </c>
      <c r="G1671">
        <v>15238</v>
      </c>
      <c r="H1671" t="s">
        <v>48</v>
      </c>
      <c r="I1671">
        <v>7</v>
      </c>
      <c r="J1671">
        <v>0</v>
      </c>
      <c r="K1671" t="s">
        <v>8131</v>
      </c>
    </row>
    <row r="1672" spans="1:11" x14ac:dyDescent="0.25">
      <c r="A1672" t="s">
        <v>5690</v>
      </c>
      <c r="B1672" t="s">
        <v>5691</v>
      </c>
      <c r="C1672" t="s">
        <v>5692</v>
      </c>
      <c r="D1672" t="s">
        <v>5693</v>
      </c>
      <c r="E1672" t="s">
        <v>14</v>
      </c>
      <c r="F1672" t="s">
        <v>15</v>
      </c>
      <c r="G1672">
        <v>15219</v>
      </c>
      <c r="H1672" t="s">
        <v>48</v>
      </c>
      <c r="I1672">
        <v>3</v>
      </c>
      <c r="J1672">
        <v>0</v>
      </c>
      <c r="K1672" t="s">
        <v>8131</v>
      </c>
    </row>
    <row r="1673" spans="1:11" x14ac:dyDescent="0.25">
      <c r="A1673" t="s">
        <v>5694</v>
      </c>
      <c r="B1673" t="s">
        <v>967</v>
      </c>
      <c r="C1673" t="s">
        <v>5695</v>
      </c>
      <c r="D1673" t="s">
        <v>5696</v>
      </c>
      <c r="E1673" t="s">
        <v>14</v>
      </c>
      <c r="F1673" t="s">
        <v>15</v>
      </c>
      <c r="G1673">
        <v>15236</v>
      </c>
      <c r="H1673" t="s">
        <v>48</v>
      </c>
      <c r="I1673">
        <v>14</v>
      </c>
      <c r="J1673">
        <v>0</v>
      </c>
      <c r="K1673" t="s">
        <v>8131</v>
      </c>
    </row>
    <row r="1674" spans="1:11" x14ac:dyDescent="0.25">
      <c r="A1674" t="s">
        <v>5697</v>
      </c>
      <c r="B1674" t="s">
        <v>5698</v>
      </c>
      <c r="C1674" t="s">
        <v>4846</v>
      </c>
      <c r="D1674" t="s">
        <v>1924</v>
      </c>
      <c r="E1674" t="s">
        <v>14</v>
      </c>
      <c r="F1674" t="s">
        <v>15</v>
      </c>
      <c r="G1674">
        <v>15231</v>
      </c>
      <c r="H1674" t="s">
        <v>48</v>
      </c>
      <c r="I1674">
        <v>24</v>
      </c>
      <c r="J1674">
        <v>1</v>
      </c>
      <c r="K1674" t="s">
        <v>8131</v>
      </c>
    </row>
    <row r="1675" spans="1:11" x14ac:dyDescent="0.25">
      <c r="A1675" t="s">
        <v>5699</v>
      </c>
      <c r="B1675" t="s">
        <v>5700</v>
      </c>
      <c r="C1675" t="s">
        <v>5701</v>
      </c>
      <c r="D1675" t="s">
        <v>5702</v>
      </c>
      <c r="E1675" t="s">
        <v>14</v>
      </c>
      <c r="F1675" t="s">
        <v>15</v>
      </c>
      <c r="G1675">
        <v>15236</v>
      </c>
      <c r="H1675" t="s">
        <v>34</v>
      </c>
      <c r="I1675">
        <v>91</v>
      </c>
      <c r="J1675">
        <v>1</v>
      </c>
      <c r="K1675" t="s">
        <v>8131</v>
      </c>
    </row>
    <row r="1676" spans="1:11" x14ac:dyDescent="0.25">
      <c r="A1676" t="s">
        <v>5703</v>
      </c>
      <c r="B1676" t="s">
        <v>3498</v>
      </c>
      <c r="C1676" t="s">
        <v>5704</v>
      </c>
      <c r="D1676" t="s">
        <v>5705</v>
      </c>
      <c r="E1676" t="s">
        <v>14</v>
      </c>
      <c r="F1676" t="s">
        <v>15</v>
      </c>
      <c r="G1676">
        <v>15222</v>
      </c>
      <c r="H1676" t="s">
        <v>34</v>
      </c>
      <c r="I1676">
        <v>5</v>
      </c>
      <c r="J1676">
        <v>0</v>
      </c>
      <c r="K1676" t="s">
        <v>8131</v>
      </c>
    </row>
    <row r="1677" spans="1:11" x14ac:dyDescent="0.25">
      <c r="A1677" t="s">
        <v>5706</v>
      </c>
      <c r="B1677" t="s">
        <v>5707</v>
      </c>
      <c r="C1677" t="s">
        <v>479</v>
      </c>
      <c r="D1677" t="s">
        <v>4605</v>
      </c>
      <c r="E1677" t="s">
        <v>14</v>
      </c>
      <c r="F1677" t="s">
        <v>15</v>
      </c>
      <c r="G1677">
        <v>15231</v>
      </c>
      <c r="H1677" t="s">
        <v>34</v>
      </c>
      <c r="I1677">
        <v>18</v>
      </c>
      <c r="J1677">
        <v>1</v>
      </c>
      <c r="K1677" t="s">
        <v>8131</v>
      </c>
    </row>
    <row r="1678" spans="1:11" x14ac:dyDescent="0.25">
      <c r="A1678" t="s">
        <v>5708</v>
      </c>
      <c r="B1678" t="s">
        <v>5709</v>
      </c>
      <c r="C1678" t="s">
        <v>5710</v>
      </c>
      <c r="D1678" t="s">
        <v>5711</v>
      </c>
      <c r="E1678" t="s">
        <v>14</v>
      </c>
      <c r="F1678" t="s">
        <v>15</v>
      </c>
      <c r="G1678">
        <v>15238</v>
      </c>
      <c r="H1678" t="s">
        <v>48</v>
      </c>
      <c r="I1678">
        <v>77</v>
      </c>
      <c r="J1678">
        <v>1</v>
      </c>
      <c r="K1678" t="s">
        <v>8131</v>
      </c>
    </row>
    <row r="1679" spans="1:11" x14ac:dyDescent="0.25">
      <c r="A1679" t="s">
        <v>5712</v>
      </c>
      <c r="B1679" t="s">
        <v>65</v>
      </c>
      <c r="C1679" t="s">
        <v>5713</v>
      </c>
      <c r="D1679" t="s">
        <v>2191</v>
      </c>
      <c r="E1679" t="s">
        <v>14</v>
      </c>
      <c r="F1679" t="s">
        <v>15</v>
      </c>
      <c r="G1679">
        <v>15217</v>
      </c>
      <c r="H1679" t="s">
        <v>48</v>
      </c>
      <c r="I1679">
        <v>44</v>
      </c>
      <c r="J1679">
        <v>0</v>
      </c>
      <c r="K1679" t="s">
        <v>8131</v>
      </c>
    </row>
    <row r="1680" spans="1:11" x14ac:dyDescent="0.25">
      <c r="A1680" t="s">
        <v>5714</v>
      </c>
      <c r="B1680" t="s">
        <v>447</v>
      </c>
      <c r="C1680" t="s">
        <v>5715</v>
      </c>
      <c r="D1680" t="s">
        <v>5716</v>
      </c>
      <c r="E1680" t="s">
        <v>14</v>
      </c>
      <c r="F1680" t="s">
        <v>15</v>
      </c>
      <c r="G1680">
        <v>15241</v>
      </c>
      <c r="H1680" t="s">
        <v>16</v>
      </c>
      <c r="I1680">
        <v>38</v>
      </c>
      <c r="J1680">
        <v>1</v>
      </c>
      <c r="K1680" t="s">
        <v>8131</v>
      </c>
    </row>
    <row r="1681" spans="1:11" x14ac:dyDescent="0.25">
      <c r="A1681" t="s">
        <v>5717</v>
      </c>
      <c r="B1681" t="s">
        <v>5718</v>
      </c>
      <c r="C1681" t="s">
        <v>5719</v>
      </c>
      <c r="D1681" t="s">
        <v>5720</v>
      </c>
      <c r="E1681" t="s">
        <v>14</v>
      </c>
      <c r="F1681" t="s">
        <v>15</v>
      </c>
      <c r="G1681">
        <v>15222</v>
      </c>
      <c r="H1681" t="s">
        <v>48</v>
      </c>
      <c r="I1681">
        <v>20</v>
      </c>
      <c r="J1681">
        <v>0</v>
      </c>
      <c r="K1681" t="s">
        <v>8131</v>
      </c>
    </row>
    <row r="1682" spans="1:11" x14ac:dyDescent="0.25">
      <c r="A1682" t="e">
        <f>-d8gt_XhhUQh2CxlWJe-xw</f>
        <v>#NAME?</v>
      </c>
      <c r="B1682" t="s">
        <v>5721</v>
      </c>
      <c r="C1682" t="s">
        <v>5722</v>
      </c>
      <c r="D1682" t="s">
        <v>5723</v>
      </c>
      <c r="E1682" t="s">
        <v>14</v>
      </c>
      <c r="F1682" t="s">
        <v>15</v>
      </c>
      <c r="G1682">
        <v>15237</v>
      </c>
      <c r="H1682" t="s">
        <v>16</v>
      </c>
      <c r="I1682">
        <v>127</v>
      </c>
      <c r="J1682">
        <v>1</v>
      </c>
      <c r="K1682" t="s">
        <v>8131</v>
      </c>
    </row>
    <row r="1683" spans="1:11" x14ac:dyDescent="0.25">
      <c r="A1683" t="s">
        <v>5724</v>
      </c>
      <c r="B1683" t="s">
        <v>5725</v>
      </c>
      <c r="C1683" t="s">
        <v>5726</v>
      </c>
      <c r="D1683" t="s">
        <v>4909</v>
      </c>
      <c r="E1683" t="s">
        <v>14</v>
      </c>
      <c r="F1683" t="s">
        <v>15</v>
      </c>
      <c r="G1683">
        <v>15222</v>
      </c>
      <c r="H1683" t="s">
        <v>48</v>
      </c>
      <c r="I1683">
        <v>10</v>
      </c>
      <c r="J1683">
        <v>0</v>
      </c>
      <c r="K1683" t="s">
        <v>8131</v>
      </c>
    </row>
    <row r="1684" spans="1:11" x14ac:dyDescent="0.25">
      <c r="A1684" t="s">
        <v>5727</v>
      </c>
      <c r="B1684" t="s">
        <v>36</v>
      </c>
      <c r="C1684" t="s">
        <v>5728</v>
      </c>
      <c r="D1684" t="s">
        <v>5336</v>
      </c>
      <c r="E1684" t="s">
        <v>14</v>
      </c>
      <c r="F1684" t="s">
        <v>15</v>
      </c>
      <c r="G1684">
        <v>15216</v>
      </c>
      <c r="H1684" t="s">
        <v>43</v>
      </c>
      <c r="I1684">
        <v>11</v>
      </c>
      <c r="J1684">
        <v>1</v>
      </c>
      <c r="K1684" t="s">
        <v>8131</v>
      </c>
    </row>
    <row r="1685" spans="1:11" x14ac:dyDescent="0.25">
      <c r="A1685" t="s">
        <v>5729</v>
      </c>
      <c r="B1685" t="s">
        <v>5730</v>
      </c>
      <c r="C1685" t="s">
        <v>5731</v>
      </c>
      <c r="D1685" t="s">
        <v>4909</v>
      </c>
      <c r="E1685" t="s">
        <v>14</v>
      </c>
      <c r="F1685" t="s">
        <v>15</v>
      </c>
      <c r="G1685">
        <v>15222</v>
      </c>
      <c r="H1685" t="s">
        <v>21</v>
      </c>
      <c r="I1685">
        <v>110</v>
      </c>
      <c r="J1685">
        <v>1</v>
      </c>
      <c r="K1685" t="s">
        <v>8131</v>
      </c>
    </row>
    <row r="1686" spans="1:11" x14ac:dyDescent="0.25">
      <c r="A1686" t="s">
        <v>5732</v>
      </c>
      <c r="B1686" t="s">
        <v>5733</v>
      </c>
      <c r="C1686" t="s">
        <v>5734</v>
      </c>
      <c r="D1686" t="s">
        <v>5735</v>
      </c>
      <c r="E1686" t="s">
        <v>14</v>
      </c>
      <c r="F1686" t="s">
        <v>15</v>
      </c>
      <c r="G1686">
        <v>15220</v>
      </c>
      <c r="H1686" t="s">
        <v>92</v>
      </c>
      <c r="I1686">
        <v>4</v>
      </c>
      <c r="J1686">
        <v>1</v>
      </c>
      <c r="K1686" t="s">
        <v>8131</v>
      </c>
    </row>
    <row r="1687" spans="1:11" x14ac:dyDescent="0.25">
      <c r="A1687" t="s">
        <v>5736</v>
      </c>
      <c r="B1687" t="s">
        <v>5737</v>
      </c>
      <c r="C1687" t="s">
        <v>5738</v>
      </c>
      <c r="D1687" t="s">
        <v>2628</v>
      </c>
      <c r="E1687" t="s">
        <v>14</v>
      </c>
      <c r="F1687" t="s">
        <v>15</v>
      </c>
      <c r="G1687">
        <v>15224</v>
      </c>
      <c r="H1687" t="s">
        <v>43</v>
      </c>
      <c r="I1687">
        <v>93</v>
      </c>
      <c r="J1687">
        <v>0</v>
      </c>
      <c r="K1687" t="s">
        <v>8131</v>
      </c>
    </row>
    <row r="1688" spans="1:11" x14ac:dyDescent="0.25">
      <c r="A1688" t="s">
        <v>5739</v>
      </c>
      <c r="B1688" t="s">
        <v>5721</v>
      </c>
      <c r="C1688" t="s">
        <v>5740</v>
      </c>
      <c r="D1688" t="s">
        <v>5741</v>
      </c>
      <c r="E1688" t="s">
        <v>14</v>
      </c>
      <c r="F1688" t="s">
        <v>15</v>
      </c>
      <c r="G1688">
        <v>15229</v>
      </c>
      <c r="H1688" t="s">
        <v>21</v>
      </c>
      <c r="I1688">
        <v>3</v>
      </c>
      <c r="J1688">
        <v>1</v>
      </c>
      <c r="K1688" t="s">
        <v>8131</v>
      </c>
    </row>
    <row r="1689" spans="1:11" x14ac:dyDescent="0.25">
      <c r="A1689" t="s">
        <v>5742</v>
      </c>
      <c r="B1689" t="s">
        <v>282</v>
      </c>
      <c r="C1689" t="s">
        <v>2902</v>
      </c>
      <c r="D1689" t="s">
        <v>2903</v>
      </c>
      <c r="E1689" t="s">
        <v>14</v>
      </c>
      <c r="F1689" t="s">
        <v>15</v>
      </c>
      <c r="G1689">
        <v>15201</v>
      </c>
      <c r="H1689" t="s">
        <v>16</v>
      </c>
      <c r="I1689">
        <v>5</v>
      </c>
      <c r="J1689">
        <v>0</v>
      </c>
      <c r="K1689" t="s">
        <v>8131</v>
      </c>
    </row>
    <row r="1690" spans="1:11" x14ac:dyDescent="0.25">
      <c r="A1690" t="s">
        <v>5743</v>
      </c>
      <c r="B1690" t="s">
        <v>5744</v>
      </c>
      <c r="C1690" t="s">
        <v>5745</v>
      </c>
      <c r="D1690" t="s">
        <v>5746</v>
      </c>
      <c r="E1690" t="s">
        <v>14</v>
      </c>
      <c r="F1690" t="s">
        <v>15</v>
      </c>
      <c r="G1690">
        <v>15202</v>
      </c>
      <c r="H1690" t="s">
        <v>48</v>
      </c>
      <c r="I1690">
        <v>3</v>
      </c>
      <c r="J1690">
        <v>0</v>
      </c>
      <c r="K1690" t="s">
        <v>8131</v>
      </c>
    </row>
    <row r="1691" spans="1:11" x14ac:dyDescent="0.25">
      <c r="A1691" t="s">
        <v>5747</v>
      </c>
      <c r="B1691" t="s">
        <v>5748</v>
      </c>
      <c r="C1691" t="s">
        <v>5749</v>
      </c>
      <c r="D1691" t="s">
        <v>2999</v>
      </c>
      <c r="E1691" t="s">
        <v>14</v>
      </c>
      <c r="F1691" t="s">
        <v>15</v>
      </c>
      <c r="G1691">
        <v>15217</v>
      </c>
      <c r="H1691" t="s">
        <v>34</v>
      </c>
      <c r="I1691">
        <v>5</v>
      </c>
      <c r="J1691">
        <v>0</v>
      </c>
      <c r="K1691" t="s">
        <v>8131</v>
      </c>
    </row>
    <row r="1692" spans="1:11" x14ac:dyDescent="0.25">
      <c r="A1692" t="s">
        <v>5750</v>
      </c>
      <c r="B1692" t="s">
        <v>5751</v>
      </c>
      <c r="C1692" t="s">
        <v>5752</v>
      </c>
      <c r="D1692" t="s">
        <v>5753</v>
      </c>
      <c r="E1692" t="s">
        <v>14</v>
      </c>
      <c r="F1692" t="s">
        <v>15</v>
      </c>
      <c r="G1692">
        <v>15234</v>
      </c>
      <c r="H1692" t="s">
        <v>34</v>
      </c>
      <c r="I1692">
        <v>42</v>
      </c>
      <c r="J1692">
        <v>1</v>
      </c>
      <c r="K1692" t="s">
        <v>8131</v>
      </c>
    </row>
    <row r="1693" spans="1:11" x14ac:dyDescent="0.25">
      <c r="A1693" t="s">
        <v>5754</v>
      </c>
      <c r="B1693" t="s">
        <v>5755</v>
      </c>
      <c r="C1693" t="s">
        <v>5756</v>
      </c>
      <c r="D1693" t="s">
        <v>5757</v>
      </c>
      <c r="E1693" t="s">
        <v>14</v>
      </c>
      <c r="F1693" t="s">
        <v>15</v>
      </c>
      <c r="G1693">
        <v>15219</v>
      </c>
      <c r="H1693" t="s">
        <v>48</v>
      </c>
      <c r="I1693">
        <v>22</v>
      </c>
      <c r="J1693">
        <v>1</v>
      </c>
      <c r="K1693" t="s">
        <v>8131</v>
      </c>
    </row>
    <row r="1694" spans="1:11" x14ac:dyDescent="0.25">
      <c r="A1694" t="s">
        <v>5758</v>
      </c>
      <c r="B1694" t="s">
        <v>239</v>
      </c>
      <c r="C1694" t="s">
        <v>5759</v>
      </c>
      <c r="D1694" t="s">
        <v>5760</v>
      </c>
      <c r="E1694" t="s">
        <v>14</v>
      </c>
      <c r="F1694" t="s">
        <v>15</v>
      </c>
      <c r="G1694">
        <v>15205</v>
      </c>
      <c r="H1694" t="s">
        <v>21</v>
      </c>
      <c r="I1694">
        <v>7</v>
      </c>
      <c r="J1694">
        <v>1</v>
      </c>
      <c r="K1694" t="s">
        <v>8131</v>
      </c>
    </row>
    <row r="1695" spans="1:11" x14ac:dyDescent="0.25">
      <c r="A1695" t="s">
        <v>5761</v>
      </c>
      <c r="B1695" t="s">
        <v>5762</v>
      </c>
      <c r="C1695" t="s">
        <v>3351</v>
      </c>
      <c r="D1695" t="s">
        <v>5763</v>
      </c>
      <c r="E1695" t="s">
        <v>14</v>
      </c>
      <c r="F1695" t="s">
        <v>15</v>
      </c>
      <c r="G1695">
        <v>15275</v>
      </c>
      <c r="H1695" t="s">
        <v>48</v>
      </c>
      <c r="I1695">
        <v>74</v>
      </c>
      <c r="J1695">
        <v>1</v>
      </c>
      <c r="K1695" t="s">
        <v>8131</v>
      </c>
    </row>
    <row r="1696" spans="1:11" x14ac:dyDescent="0.25">
      <c r="A1696" t="s">
        <v>5764</v>
      </c>
      <c r="B1696" t="s">
        <v>5765</v>
      </c>
      <c r="C1696" t="s">
        <v>5766</v>
      </c>
      <c r="D1696" t="s">
        <v>5063</v>
      </c>
      <c r="E1696" t="s">
        <v>14</v>
      </c>
      <c r="F1696" t="s">
        <v>15</v>
      </c>
      <c r="G1696">
        <v>15232</v>
      </c>
      <c r="H1696" t="s">
        <v>16</v>
      </c>
      <c r="I1696">
        <v>35</v>
      </c>
      <c r="J1696">
        <v>0</v>
      </c>
      <c r="K1696" t="s">
        <v>8131</v>
      </c>
    </row>
    <row r="1697" spans="1:11" x14ac:dyDescent="0.25">
      <c r="A1697" t="s">
        <v>5767</v>
      </c>
      <c r="B1697" t="s">
        <v>335</v>
      </c>
      <c r="C1697" t="s">
        <v>5768</v>
      </c>
      <c r="D1697" t="s">
        <v>5769</v>
      </c>
      <c r="E1697" t="s">
        <v>14</v>
      </c>
      <c r="F1697" t="s">
        <v>15</v>
      </c>
      <c r="G1697">
        <v>15222</v>
      </c>
      <c r="H1697" t="s">
        <v>48</v>
      </c>
      <c r="I1697">
        <v>10</v>
      </c>
      <c r="J1697">
        <v>0</v>
      </c>
      <c r="K1697" t="s">
        <v>8131</v>
      </c>
    </row>
    <row r="1698" spans="1:11" x14ac:dyDescent="0.25">
      <c r="A1698" t="s">
        <v>5770</v>
      </c>
      <c r="B1698" t="s">
        <v>5771</v>
      </c>
      <c r="C1698" t="s">
        <v>5772</v>
      </c>
      <c r="D1698" t="s">
        <v>3388</v>
      </c>
      <c r="E1698" t="s">
        <v>14</v>
      </c>
      <c r="F1698" t="s">
        <v>15</v>
      </c>
      <c r="G1698">
        <v>15216</v>
      </c>
      <c r="H1698" t="s">
        <v>16</v>
      </c>
      <c r="I1698">
        <v>3</v>
      </c>
      <c r="J1698">
        <v>1</v>
      </c>
      <c r="K1698" t="s">
        <v>8131</v>
      </c>
    </row>
    <row r="1699" spans="1:11" x14ac:dyDescent="0.25">
      <c r="A1699" t="s">
        <v>5773</v>
      </c>
      <c r="B1699" t="s">
        <v>115</v>
      </c>
      <c r="C1699" t="s">
        <v>155</v>
      </c>
      <c r="D1699" t="s">
        <v>5774</v>
      </c>
      <c r="E1699" t="s">
        <v>14</v>
      </c>
      <c r="F1699" t="s">
        <v>15</v>
      </c>
      <c r="G1699">
        <v>15227</v>
      </c>
      <c r="H1699" t="s">
        <v>113</v>
      </c>
      <c r="I1699">
        <v>4</v>
      </c>
      <c r="J1699">
        <v>1</v>
      </c>
      <c r="K1699" t="s">
        <v>8131</v>
      </c>
    </row>
    <row r="1700" spans="1:11" x14ac:dyDescent="0.25">
      <c r="A1700" t="s">
        <v>5775</v>
      </c>
      <c r="B1700" t="s">
        <v>5776</v>
      </c>
      <c r="C1700" t="s">
        <v>5777</v>
      </c>
      <c r="D1700" t="s">
        <v>4538</v>
      </c>
      <c r="E1700" t="s">
        <v>14</v>
      </c>
      <c r="F1700" t="s">
        <v>15</v>
      </c>
      <c r="G1700">
        <v>15224</v>
      </c>
      <c r="H1700" t="s">
        <v>34</v>
      </c>
      <c r="I1700">
        <v>42</v>
      </c>
      <c r="J1700">
        <v>0</v>
      </c>
      <c r="K1700" t="s">
        <v>8131</v>
      </c>
    </row>
    <row r="1701" spans="1:11" x14ac:dyDescent="0.25">
      <c r="A1701" t="s">
        <v>5778</v>
      </c>
      <c r="B1701" t="s">
        <v>5779</v>
      </c>
      <c r="C1701" t="s">
        <v>340</v>
      </c>
      <c r="D1701" t="s">
        <v>4683</v>
      </c>
      <c r="E1701" t="s">
        <v>14</v>
      </c>
      <c r="F1701" t="s">
        <v>15</v>
      </c>
      <c r="G1701">
        <v>15222</v>
      </c>
      <c r="H1701" t="s">
        <v>34</v>
      </c>
      <c r="I1701">
        <v>17</v>
      </c>
      <c r="J1701">
        <v>1</v>
      </c>
      <c r="K1701" t="s">
        <v>8131</v>
      </c>
    </row>
    <row r="1702" spans="1:11" x14ac:dyDescent="0.25">
      <c r="A1702" t="s">
        <v>5780</v>
      </c>
      <c r="B1702" t="s">
        <v>5781</v>
      </c>
      <c r="C1702" t="s">
        <v>5782</v>
      </c>
      <c r="D1702" t="s">
        <v>5783</v>
      </c>
      <c r="E1702" t="s">
        <v>14</v>
      </c>
      <c r="F1702" t="s">
        <v>15</v>
      </c>
      <c r="G1702">
        <v>15203</v>
      </c>
      <c r="H1702" t="s">
        <v>21</v>
      </c>
      <c r="I1702">
        <v>174</v>
      </c>
      <c r="J1702">
        <v>1</v>
      </c>
      <c r="K1702" t="s">
        <v>8131</v>
      </c>
    </row>
    <row r="1703" spans="1:11" x14ac:dyDescent="0.25">
      <c r="A1703" t="e">
        <f>-AtzcXIwEP6yO7rM9CM9ww</f>
        <v>#NAME?</v>
      </c>
      <c r="B1703" t="s">
        <v>447</v>
      </c>
      <c r="C1703" t="s">
        <v>448</v>
      </c>
      <c r="D1703" t="s">
        <v>3723</v>
      </c>
      <c r="E1703" t="s">
        <v>14</v>
      </c>
      <c r="F1703" t="s">
        <v>15</v>
      </c>
      <c r="G1703">
        <v>15222</v>
      </c>
      <c r="H1703" t="s">
        <v>16</v>
      </c>
      <c r="I1703">
        <v>36</v>
      </c>
      <c r="J1703">
        <v>0</v>
      </c>
      <c r="K1703" t="s">
        <v>8131</v>
      </c>
    </row>
    <row r="1704" spans="1:11" x14ac:dyDescent="0.25">
      <c r="A1704" t="s">
        <v>5784</v>
      </c>
      <c r="B1704" t="s">
        <v>3335</v>
      </c>
      <c r="C1704" t="s">
        <v>5785</v>
      </c>
      <c r="D1704" t="s">
        <v>5786</v>
      </c>
      <c r="E1704" t="s">
        <v>14</v>
      </c>
      <c r="F1704" t="s">
        <v>15</v>
      </c>
      <c r="G1704">
        <v>15237</v>
      </c>
      <c r="H1704" t="s">
        <v>48</v>
      </c>
      <c r="I1704">
        <v>3</v>
      </c>
      <c r="J1704">
        <v>1</v>
      </c>
      <c r="K1704" t="s">
        <v>8131</v>
      </c>
    </row>
    <row r="1705" spans="1:11" x14ac:dyDescent="0.25">
      <c r="A1705" t="s">
        <v>5787</v>
      </c>
      <c r="B1705" t="s">
        <v>5788</v>
      </c>
      <c r="C1705" t="s">
        <v>622</v>
      </c>
      <c r="D1705" t="s">
        <v>5789</v>
      </c>
      <c r="E1705" t="s">
        <v>14</v>
      </c>
      <c r="F1705" t="s">
        <v>15</v>
      </c>
      <c r="G1705">
        <v>15227</v>
      </c>
      <c r="H1705" t="s">
        <v>48</v>
      </c>
      <c r="I1705">
        <v>17</v>
      </c>
      <c r="J1705">
        <v>1</v>
      </c>
      <c r="K1705" t="s">
        <v>8131</v>
      </c>
    </row>
    <row r="1706" spans="1:11" x14ac:dyDescent="0.25">
      <c r="A1706" t="s">
        <v>5790</v>
      </c>
      <c r="B1706" t="s">
        <v>5791</v>
      </c>
      <c r="C1706" t="s">
        <v>5792</v>
      </c>
      <c r="D1706" t="s">
        <v>5793</v>
      </c>
      <c r="E1706" t="s">
        <v>14</v>
      </c>
      <c r="F1706" t="s">
        <v>15</v>
      </c>
      <c r="G1706">
        <v>15203</v>
      </c>
      <c r="H1706" t="s">
        <v>16</v>
      </c>
      <c r="I1706">
        <v>114</v>
      </c>
      <c r="J1706">
        <v>1</v>
      </c>
      <c r="K1706" t="s">
        <v>8131</v>
      </c>
    </row>
    <row r="1707" spans="1:11" x14ac:dyDescent="0.25">
      <c r="A1707" t="s">
        <v>5794</v>
      </c>
      <c r="B1707" t="s">
        <v>5795</v>
      </c>
      <c r="C1707" t="s">
        <v>5796</v>
      </c>
      <c r="D1707" t="s">
        <v>269</v>
      </c>
      <c r="E1707" t="s">
        <v>14</v>
      </c>
      <c r="F1707" t="s">
        <v>15</v>
      </c>
      <c r="G1707">
        <v>15203</v>
      </c>
      <c r="H1707" t="s">
        <v>16</v>
      </c>
      <c r="I1707">
        <v>18</v>
      </c>
      <c r="J1707">
        <v>0</v>
      </c>
      <c r="K1707" t="s">
        <v>8131</v>
      </c>
    </row>
    <row r="1708" spans="1:11" x14ac:dyDescent="0.25">
      <c r="A1708" t="s">
        <v>5797</v>
      </c>
      <c r="B1708" t="s">
        <v>5798</v>
      </c>
      <c r="C1708" t="s">
        <v>5799</v>
      </c>
      <c r="D1708" t="s">
        <v>5800</v>
      </c>
      <c r="E1708" t="s">
        <v>14</v>
      </c>
      <c r="F1708" t="s">
        <v>15</v>
      </c>
      <c r="G1708">
        <v>15201</v>
      </c>
      <c r="H1708" t="s">
        <v>16</v>
      </c>
      <c r="I1708">
        <v>104</v>
      </c>
      <c r="J1708">
        <v>1</v>
      </c>
      <c r="K1708" t="s">
        <v>8131</v>
      </c>
    </row>
    <row r="1709" spans="1:11" x14ac:dyDescent="0.25">
      <c r="A1709" t="s">
        <v>5801</v>
      </c>
      <c r="B1709" t="s">
        <v>5802</v>
      </c>
      <c r="C1709" t="s">
        <v>5803</v>
      </c>
      <c r="D1709" t="s">
        <v>5257</v>
      </c>
      <c r="E1709" t="s">
        <v>14</v>
      </c>
      <c r="F1709" t="s">
        <v>15</v>
      </c>
      <c r="G1709">
        <v>15232</v>
      </c>
      <c r="H1709" t="s">
        <v>16</v>
      </c>
      <c r="I1709">
        <v>153</v>
      </c>
      <c r="J1709">
        <v>1</v>
      </c>
      <c r="K1709" t="s">
        <v>8131</v>
      </c>
    </row>
    <row r="1710" spans="1:11" x14ac:dyDescent="0.25">
      <c r="A1710" t="s">
        <v>5804</v>
      </c>
      <c r="B1710" t="s">
        <v>5805</v>
      </c>
      <c r="C1710" t="s">
        <v>1377</v>
      </c>
      <c r="D1710" t="s">
        <v>5806</v>
      </c>
      <c r="E1710" t="s">
        <v>14</v>
      </c>
      <c r="F1710" t="s">
        <v>15</v>
      </c>
      <c r="G1710">
        <v>15235</v>
      </c>
      <c r="H1710" t="s">
        <v>113</v>
      </c>
      <c r="I1710">
        <v>19</v>
      </c>
      <c r="J1710">
        <v>1</v>
      </c>
      <c r="K1710" t="s">
        <v>8131</v>
      </c>
    </row>
    <row r="1711" spans="1:11" x14ac:dyDescent="0.25">
      <c r="A1711" t="s">
        <v>5807</v>
      </c>
      <c r="B1711" t="s">
        <v>1664</v>
      </c>
      <c r="C1711" t="s">
        <v>5808</v>
      </c>
      <c r="D1711" t="s">
        <v>5809</v>
      </c>
      <c r="E1711" t="s">
        <v>14</v>
      </c>
      <c r="F1711" t="s">
        <v>15</v>
      </c>
      <c r="G1711">
        <v>15227</v>
      </c>
      <c r="H1711" t="s">
        <v>21</v>
      </c>
      <c r="I1711">
        <v>5</v>
      </c>
      <c r="J1711">
        <v>0</v>
      </c>
      <c r="K1711" t="s">
        <v>8131</v>
      </c>
    </row>
    <row r="1712" spans="1:11" x14ac:dyDescent="0.25">
      <c r="A1712" t="s">
        <v>5810</v>
      </c>
      <c r="B1712" t="s">
        <v>5811</v>
      </c>
      <c r="C1712" t="s">
        <v>5812</v>
      </c>
      <c r="D1712" t="s">
        <v>5053</v>
      </c>
      <c r="E1712" t="s">
        <v>14</v>
      </c>
      <c r="F1712" t="s">
        <v>15</v>
      </c>
      <c r="G1712">
        <v>15275</v>
      </c>
      <c r="H1712" t="s">
        <v>43</v>
      </c>
      <c r="I1712">
        <v>84</v>
      </c>
      <c r="J1712">
        <v>0</v>
      </c>
      <c r="K1712" t="s">
        <v>8131</v>
      </c>
    </row>
    <row r="1713" spans="1:11" x14ac:dyDescent="0.25">
      <c r="A1713" t="s">
        <v>5813</v>
      </c>
      <c r="B1713" t="s">
        <v>5814</v>
      </c>
      <c r="C1713" t="s">
        <v>5815</v>
      </c>
      <c r="D1713" t="s">
        <v>5816</v>
      </c>
      <c r="E1713" t="s">
        <v>14</v>
      </c>
      <c r="F1713" t="s">
        <v>15</v>
      </c>
      <c r="G1713">
        <v>15213</v>
      </c>
      <c r="H1713" t="s">
        <v>16</v>
      </c>
      <c r="I1713">
        <v>272</v>
      </c>
      <c r="J1713">
        <v>1</v>
      </c>
      <c r="K1713" t="s">
        <v>8131</v>
      </c>
    </row>
    <row r="1714" spans="1:11" x14ac:dyDescent="0.25">
      <c r="A1714" t="s">
        <v>5817</v>
      </c>
      <c r="B1714" t="s">
        <v>5818</v>
      </c>
      <c r="C1714" t="s">
        <v>5819</v>
      </c>
      <c r="D1714" t="s">
        <v>5820</v>
      </c>
      <c r="E1714" t="s">
        <v>14</v>
      </c>
      <c r="F1714" t="s">
        <v>15</v>
      </c>
      <c r="G1714">
        <v>15212</v>
      </c>
      <c r="H1714" t="s">
        <v>21</v>
      </c>
      <c r="I1714">
        <v>18</v>
      </c>
      <c r="J1714">
        <v>1</v>
      </c>
      <c r="K1714" t="s">
        <v>8131</v>
      </c>
    </row>
    <row r="1715" spans="1:11" x14ac:dyDescent="0.25">
      <c r="A1715" t="s">
        <v>5821</v>
      </c>
      <c r="B1715" t="s">
        <v>5822</v>
      </c>
      <c r="C1715" t="s">
        <v>5823</v>
      </c>
      <c r="D1715" t="s">
        <v>5824</v>
      </c>
      <c r="E1715" t="s">
        <v>14</v>
      </c>
      <c r="F1715" t="s">
        <v>15</v>
      </c>
      <c r="G1715">
        <v>15203</v>
      </c>
      <c r="H1715" t="s">
        <v>16</v>
      </c>
      <c r="I1715">
        <v>44</v>
      </c>
      <c r="J1715">
        <v>1</v>
      </c>
      <c r="K1715" t="s">
        <v>8131</v>
      </c>
    </row>
    <row r="1716" spans="1:11" x14ac:dyDescent="0.25">
      <c r="A1716" t="s">
        <v>5825</v>
      </c>
      <c r="B1716" t="s">
        <v>5826</v>
      </c>
      <c r="C1716" t="s">
        <v>5827</v>
      </c>
      <c r="D1716" t="s">
        <v>5828</v>
      </c>
      <c r="E1716" t="s">
        <v>14</v>
      </c>
      <c r="F1716" t="s">
        <v>15</v>
      </c>
      <c r="G1716">
        <v>15205</v>
      </c>
      <c r="H1716" t="s">
        <v>157</v>
      </c>
      <c r="I1716">
        <v>7</v>
      </c>
      <c r="J1716">
        <v>0</v>
      </c>
      <c r="K1716" t="s">
        <v>8131</v>
      </c>
    </row>
    <row r="1717" spans="1:11" x14ac:dyDescent="0.25">
      <c r="A1717" t="s">
        <v>5829</v>
      </c>
      <c r="B1717" t="s">
        <v>4083</v>
      </c>
      <c r="C1717" t="s">
        <v>5830</v>
      </c>
      <c r="D1717" t="s">
        <v>5831</v>
      </c>
      <c r="E1717" t="s">
        <v>14</v>
      </c>
      <c r="F1717" t="s">
        <v>15</v>
      </c>
      <c r="G1717">
        <v>15237</v>
      </c>
      <c r="H1717" t="s">
        <v>48</v>
      </c>
      <c r="I1717">
        <v>82</v>
      </c>
      <c r="J1717">
        <v>1</v>
      </c>
      <c r="K1717" t="s">
        <v>8131</v>
      </c>
    </row>
    <row r="1718" spans="1:11" x14ac:dyDescent="0.25">
      <c r="A1718" t="s">
        <v>5832</v>
      </c>
      <c r="B1718" t="s">
        <v>36</v>
      </c>
      <c r="C1718" t="s">
        <v>5833</v>
      </c>
      <c r="D1718" t="s">
        <v>5466</v>
      </c>
      <c r="E1718" t="s">
        <v>14</v>
      </c>
      <c r="F1718" t="s">
        <v>15</v>
      </c>
      <c r="G1718">
        <v>15201</v>
      </c>
      <c r="H1718" t="s">
        <v>16</v>
      </c>
      <c r="I1718">
        <v>38</v>
      </c>
      <c r="J1718">
        <v>1</v>
      </c>
      <c r="K1718" t="s">
        <v>8131</v>
      </c>
    </row>
    <row r="1719" spans="1:11" x14ac:dyDescent="0.25">
      <c r="A1719" t="s">
        <v>5834</v>
      </c>
      <c r="B1719" t="s">
        <v>5835</v>
      </c>
      <c r="C1719" t="s">
        <v>5836</v>
      </c>
      <c r="D1719" t="s">
        <v>5094</v>
      </c>
      <c r="E1719" t="s">
        <v>14</v>
      </c>
      <c r="F1719" t="s">
        <v>15</v>
      </c>
      <c r="G1719">
        <v>15221</v>
      </c>
      <c r="H1719" t="s">
        <v>21</v>
      </c>
      <c r="I1719">
        <v>328</v>
      </c>
      <c r="J1719">
        <v>1</v>
      </c>
      <c r="K1719" t="s">
        <v>8131</v>
      </c>
    </row>
    <row r="1720" spans="1:11" x14ac:dyDescent="0.25">
      <c r="A1720" t="s">
        <v>5837</v>
      </c>
      <c r="B1720" t="s">
        <v>263</v>
      </c>
      <c r="C1720" t="s">
        <v>5838</v>
      </c>
      <c r="D1720" t="s">
        <v>5839</v>
      </c>
      <c r="E1720" t="s">
        <v>14</v>
      </c>
      <c r="F1720" t="s">
        <v>15</v>
      </c>
      <c r="G1720">
        <v>15238</v>
      </c>
      <c r="H1720" t="s">
        <v>48</v>
      </c>
      <c r="I1720">
        <v>3</v>
      </c>
      <c r="J1720">
        <v>0</v>
      </c>
      <c r="K1720" t="s">
        <v>8131</v>
      </c>
    </row>
    <row r="1721" spans="1:11" x14ac:dyDescent="0.25">
      <c r="A1721" t="s">
        <v>5840</v>
      </c>
      <c r="B1721" t="s">
        <v>586</v>
      </c>
      <c r="C1721" t="s">
        <v>5841</v>
      </c>
      <c r="D1721" t="s">
        <v>2151</v>
      </c>
      <c r="E1721" t="s">
        <v>14</v>
      </c>
      <c r="F1721" t="s">
        <v>15</v>
      </c>
      <c r="G1721">
        <v>15232</v>
      </c>
      <c r="H1721" t="s">
        <v>16</v>
      </c>
      <c r="I1721">
        <v>3</v>
      </c>
      <c r="J1721">
        <v>0</v>
      </c>
      <c r="K1721" t="s">
        <v>8131</v>
      </c>
    </row>
    <row r="1722" spans="1:11" x14ac:dyDescent="0.25">
      <c r="A1722" t="s">
        <v>5842</v>
      </c>
      <c r="B1722" t="s">
        <v>2145</v>
      </c>
      <c r="C1722" t="s">
        <v>5843</v>
      </c>
      <c r="D1722" t="s">
        <v>5844</v>
      </c>
      <c r="E1722" t="s">
        <v>14</v>
      </c>
      <c r="F1722" t="s">
        <v>15</v>
      </c>
      <c r="G1722">
        <v>15209</v>
      </c>
      <c r="H1722" t="s">
        <v>16</v>
      </c>
      <c r="I1722">
        <v>56</v>
      </c>
      <c r="J1722">
        <v>1</v>
      </c>
      <c r="K1722" t="s">
        <v>8131</v>
      </c>
    </row>
    <row r="1723" spans="1:11" x14ac:dyDescent="0.25">
      <c r="A1723" t="s">
        <v>5845</v>
      </c>
      <c r="B1723" t="s">
        <v>720</v>
      </c>
      <c r="C1723" t="s">
        <v>5614</v>
      </c>
      <c r="D1723" t="s">
        <v>5846</v>
      </c>
      <c r="E1723" t="s">
        <v>14</v>
      </c>
      <c r="F1723" t="s">
        <v>15</v>
      </c>
      <c r="G1723">
        <v>15238</v>
      </c>
      <c r="H1723" t="s">
        <v>48</v>
      </c>
      <c r="I1723">
        <v>38</v>
      </c>
      <c r="J1723">
        <v>1</v>
      </c>
      <c r="K1723" t="s">
        <v>8131</v>
      </c>
    </row>
    <row r="1724" spans="1:11" x14ac:dyDescent="0.25">
      <c r="A1724" t="s">
        <v>5847</v>
      </c>
      <c r="B1724" t="s">
        <v>5848</v>
      </c>
      <c r="C1724" t="s">
        <v>5849</v>
      </c>
      <c r="D1724" t="s">
        <v>2331</v>
      </c>
      <c r="E1724" t="s">
        <v>14</v>
      </c>
      <c r="F1724" t="s">
        <v>15</v>
      </c>
      <c r="G1724">
        <v>15222</v>
      </c>
      <c r="H1724" t="s">
        <v>48</v>
      </c>
      <c r="I1724">
        <v>49</v>
      </c>
      <c r="J1724">
        <v>0</v>
      </c>
      <c r="K1724" t="s">
        <v>8131</v>
      </c>
    </row>
    <row r="1725" spans="1:11" x14ac:dyDescent="0.25">
      <c r="A1725" t="s">
        <v>5850</v>
      </c>
      <c r="B1725" t="s">
        <v>5851</v>
      </c>
      <c r="C1725" t="s">
        <v>5852</v>
      </c>
      <c r="D1725" t="s">
        <v>5853</v>
      </c>
      <c r="E1725" t="s">
        <v>14</v>
      </c>
      <c r="F1725" t="s">
        <v>15</v>
      </c>
      <c r="G1725">
        <v>15203</v>
      </c>
      <c r="H1725" t="s">
        <v>48</v>
      </c>
      <c r="I1725">
        <v>127</v>
      </c>
      <c r="J1725">
        <v>0</v>
      </c>
      <c r="K1725" t="s">
        <v>8131</v>
      </c>
    </row>
    <row r="1726" spans="1:11" x14ac:dyDescent="0.25">
      <c r="A1726" t="s">
        <v>5854</v>
      </c>
      <c r="B1726" t="s">
        <v>5855</v>
      </c>
      <c r="C1726" t="s">
        <v>5856</v>
      </c>
      <c r="D1726" t="s">
        <v>5857</v>
      </c>
      <c r="E1726" t="s">
        <v>14</v>
      </c>
      <c r="F1726" t="s">
        <v>15</v>
      </c>
      <c r="G1726">
        <v>15217</v>
      </c>
      <c r="H1726" t="s">
        <v>43</v>
      </c>
      <c r="I1726">
        <v>3</v>
      </c>
      <c r="J1726">
        <v>0</v>
      </c>
      <c r="K1726" t="s">
        <v>8131</v>
      </c>
    </row>
    <row r="1727" spans="1:11" x14ac:dyDescent="0.25">
      <c r="A1727" t="s">
        <v>5858</v>
      </c>
      <c r="B1727" t="s">
        <v>2897</v>
      </c>
      <c r="C1727" t="s">
        <v>5859</v>
      </c>
      <c r="D1727" t="s">
        <v>5860</v>
      </c>
      <c r="E1727" t="s">
        <v>14</v>
      </c>
      <c r="F1727" t="s">
        <v>15</v>
      </c>
      <c r="G1727">
        <v>15215</v>
      </c>
      <c r="H1727" t="s">
        <v>21</v>
      </c>
      <c r="I1727">
        <v>82</v>
      </c>
      <c r="J1727">
        <v>1</v>
      </c>
      <c r="K1727" t="s">
        <v>8131</v>
      </c>
    </row>
    <row r="1728" spans="1:11" x14ac:dyDescent="0.25">
      <c r="A1728" t="s">
        <v>5861</v>
      </c>
      <c r="B1728" t="s">
        <v>5862</v>
      </c>
      <c r="C1728" t="s">
        <v>5863</v>
      </c>
      <c r="D1728" t="s">
        <v>5864</v>
      </c>
      <c r="E1728" t="s">
        <v>14</v>
      </c>
      <c r="F1728" t="s">
        <v>15</v>
      </c>
      <c r="G1728">
        <v>15222</v>
      </c>
      <c r="H1728" t="s">
        <v>92</v>
      </c>
      <c r="I1728">
        <v>4</v>
      </c>
      <c r="J1728">
        <v>1</v>
      </c>
      <c r="K1728" t="s">
        <v>8131</v>
      </c>
    </row>
    <row r="1729" spans="1:11" x14ac:dyDescent="0.25">
      <c r="A1729" t="s">
        <v>5865</v>
      </c>
      <c r="B1729" t="s">
        <v>5866</v>
      </c>
      <c r="C1729" t="s">
        <v>5867</v>
      </c>
      <c r="D1729" t="s">
        <v>5687</v>
      </c>
      <c r="E1729" t="s">
        <v>14</v>
      </c>
      <c r="F1729" t="s">
        <v>15</v>
      </c>
      <c r="G1729">
        <v>15213</v>
      </c>
      <c r="H1729" t="s">
        <v>16</v>
      </c>
      <c r="I1729">
        <v>46</v>
      </c>
      <c r="J1729">
        <v>1</v>
      </c>
      <c r="K1729" t="s">
        <v>8131</v>
      </c>
    </row>
    <row r="1730" spans="1:11" x14ac:dyDescent="0.25">
      <c r="A1730" t="s">
        <v>5868</v>
      </c>
      <c r="B1730" t="s">
        <v>5869</v>
      </c>
      <c r="C1730" t="s">
        <v>5870</v>
      </c>
      <c r="D1730" t="s">
        <v>5871</v>
      </c>
      <c r="E1730" t="s">
        <v>14</v>
      </c>
      <c r="F1730" t="s">
        <v>15</v>
      </c>
      <c r="G1730">
        <v>15208</v>
      </c>
      <c r="H1730" t="s">
        <v>21</v>
      </c>
      <c r="I1730">
        <v>91</v>
      </c>
      <c r="J1730">
        <v>1</v>
      </c>
      <c r="K1730" t="s">
        <v>8131</v>
      </c>
    </row>
    <row r="1731" spans="1:11" x14ac:dyDescent="0.25">
      <c r="A1731" t="s">
        <v>5872</v>
      </c>
      <c r="B1731" t="s">
        <v>5873</v>
      </c>
      <c r="C1731" t="s">
        <v>5874</v>
      </c>
      <c r="D1731" t="s">
        <v>5875</v>
      </c>
      <c r="E1731" t="s">
        <v>14</v>
      </c>
      <c r="F1731" t="s">
        <v>15</v>
      </c>
      <c r="G1731">
        <v>15203</v>
      </c>
      <c r="H1731" t="s">
        <v>16</v>
      </c>
      <c r="I1731">
        <v>5</v>
      </c>
      <c r="J1731">
        <v>0</v>
      </c>
      <c r="K1731" t="s">
        <v>8131</v>
      </c>
    </row>
    <row r="1732" spans="1:11" x14ac:dyDescent="0.25">
      <c r="A1732" t="s">
        <v>5876</v>
      </c>
      <c r="B1732" t="s">
        <v>5877</v>
      </c>
      <c r="C1732" t="s">
        <v>5878</v>
      </c>
      <c r="D1732" t="s">
        <v>2191</v>
      </c>
      <c r="E1732" t="s">
        <v>14</v>
      </c>
      <c r="F1732" t="s">
        <v>15</v>
      </c>
      <c r="G1732">
        <v>15217</v>
      </c>
      <c r="H1732" t="s">
        <v>21</v>
      </c>
      <c r="I1732">
        <v>132</v>
      </c>
      <c r="J1732">
        <v>1</v>
      </c>
      <c r="K1732" t="s">
        <v>8131</v>
      </c>
    </row>
    <row r="1733" spans="1:11" x14ac:dyDescent="0.25">
      <c r="A1733" t="s">
        <v>5879</v>
      </c>
      <c r="B1733" t="s">
        <v>5880</v>
      </c>
      <c r="C1733" t="s">
        <v>5881</v>
      </c>
      <c r="D1733" t="s">
        <v>5882</v>
      </c>
      <c r="E1733" t="s">
        <v>14</v>
      </c>
      <c r="F1733" t="s">
        <v>15</v>
      </c>
      <c r="G1733">
        <v>15212</v>
      </c>
      <c r="H1733" t="s">
        <v>21</v>
      </c>
      <c r="I1733">
        <v>50</v>
      </c>
      <c r="J1733">
        <v>1</v>
      </c>
      <c r="K1733" t="s">
        <v>8131</v>
      </c>
    </row>
    <row r="1734" spans="1:11" x14ac:dyDescent="0.25">
      <c r="A1734" t="s">
        <v>5883</v>
      </c>
      <c r="B1734" t="s">
        <v>4419</v>
      </c>
      <c r="C1734" t="s">
        <v>340</v>
      </c>
      <c r="D1734" t="s">
        <v>5884</v>
      </c>
      <c r="E1734" t="s">
        <v>14</v>
      </c>
      <c r="F1734" t="s">
        <v>15</v>
      </c>
      <c r="G1734">
        <v>15237</v>
      </c>
      <c r="H1734" t="s">
        <v>48</v>
      </c>
      <c r="I1734">
        <v>31</v>
      </c>
      <c r="J1734">
        <v>1</v>
      </c>
      <c r="K1734" t="s">
        <v>8131</v>
      </c>
    </row>
    <row r="1735" spans="1:11" x14ac:dyDescent="0.25">
      <c r="A1735" t="s">
        <v>5885</v>
      </c>
      <c r="B1735" t="s">
        <v>5886</v>
      </c>
      <c r="C1735" t="s">
        <v>5887</v>
      </c>
      <c r="D1735" t="s">
        <v>4172</v>
      </c>
      <c r="E1735" t="s">
        <v>14</v>
      </c>
      <c r="F1735" t="s">
        <v>15</v>
      </c>
      <c r="G1735">
        <v>15224</v>
      </c>
      <c r="H1735" t="s">
        <v>21</v>
      </c>
      <c r="I1735">
        <v>48</v>
      </c>
      <c r="J1735">
        <v>1</v>
      </c>
      <c r="K1735" t="s">
        <v>8131</v>
      </c>
    </row>
    <row r="1736" spans="1:11" x14ac:dyDescent="0.25">
      <c r="A1736" t="s">
        <v>5888</v>
      </c>
      <c r="B1736" t="s">
        <v>27</v>
      </c>
      <c r="C1736" t="s">
        <v>5889</v>
      </c>
      <c r="D1736" t="s">
        <v>2728</v>
      </c>
      <c r="E1736" t="s">
        <v>14</v>
      </c>
      <c r="F1736" t="s">
        <v>15</v>
      </c>
      <c r="G1736">
        <v>15289</v>
      </c>
      <c r="H1736" t="s">
        <v>48</v>
      </c>
      <c r="I1736">
        <v>23</v>
      </c>
      <c r="J1736">
        <v>0</v>
      </c>
      <c r="K1736" t="s">
        <v>8131</v>
      </c>
    </row>
    <row r="1737" spans="1:11" x14ac:dyDescent="0.25">
      <c r="A1737" t="s">
        <v>5890</v>
      </c>
      <c r="B1737" t="s">
        <v>5891</v>
      </c>
      <c r="C1737" t="s">
        <v>419</v>
      </c>
      <c r="D1737" t="s">
        <v>5892</v>
      </c>
      <c r="E1737" t="s">
        <v>14</v>
      </c>
      <c r="F1737" t="s">
        <v>15</v>
      </c>
      <c r="G1737">
        <v>15233</v>
      </c>
      <c r="H1737" t="s">
        <v>157</v>
      </c>
      <c r="I1737">
        <v>26</v>
      </c>
      <c r="J1737">
        <v>1</v>
      </c>
      <c r="K1737" t="s">
        <v>8131</v>
      </c>
    </row>
    <row r="1738" spans="1:11" x14ac:dyDescent="0.25">
      <c r="A1738" t="s">
        <v>5893</v>
      </c>
      <c r="B1738" t="s">
        <v>5894</v>
      </c>
      <c r="C1738" t="s">
        <v>5895</v>
      </c>
      <c r="D1738" t="s">
        <v>5896</v>
      </c>
      <c r="E1738" t="s">
        <v>14</v>
      </c>
      <c r="F1738" t="s">
        <v>15</v>
      </c>
      <c r="G1738">
        <v>15213</v>
      </c>
      <c r="H1738" t="s">
        <v>21</v>
      </c>
      <c r="I1738">
        <v>4</v>
      </c>
      <c r="J1738">
        <v>1</v>
      </c>
      <c r="K1738" t="s">
        <v>8131</v>
      </c>
    </row>
    <row r="1739" spans="1:11" x14ac:dyDescent="0.25">
      <c r="A1739" t="s">
        <v>5897</v>
      </c>
      <c r="B1739" t="s">
        <v>309</v>
      </c>
      <c r="C1739" t="s">
        <v>228</v>
      </c>
      <c r="D1739" t="s">
        <v>5898</v>
      </c>
      <c r="E1739" t="s">
        <v>14</v>
      </c>
      <c r="F1739" t="s">
        <v>15</v>
      </c>
      <c r="G1739">
        <v>15238</v>
      </c>
      <c r="H1739" t="s">
        <v>113</v>
      </c>
      <c r="I1739">
        <v>8</v>
      </c>
      <c r="J1739">
        <v>1</v>
      </c>
      <c r="K1739" t="s">
        <v>8131</v>
      </c>
    </row>
    <row r="1740" spans="1:11" x14ac:dyDescent="0.25">
      <c r="A1740" t="s">
        <v>5899</v>
      </c>
      <c r="B1740" t="s">
        <v>945</v>
      </c>
      <c r="C1740" t="s">
        <v>32</v>
      </c>
      <c r="D1740" t="s">
        <v>5900</v>
      </c>
      <c r="E1740" t="s">
        <v>14</v>
      </c>
      <c r="F1740" t="s">
        <v>15</v>
      </c>
      <c r="G1740">
        <v>15213</v>
      </c>
      <c r="H1740" t="s">
        <v>43</v>
      </c>
      <c r="I1740">
        <v>21</v>
      </c>
      <c r="J1740">
        <v>1</v>
      </c>
      <c r="K1740" t="s">
        <v>8131</v>
      </c>
    </row>
    <row r="1741" spans="1:11" x14ac:dyDescent="0.25">
      <c r="A1741" t="s">
        <v>5901</v>
      </c>
      <c r="B1741" t="s">
        <v>119</v>
      </c>
      <c r="C1741" t="s">
        <v>5902</v>
      </c>
      <c r="D1741" t="s">
        <v>5903</v>
      </c>
      <c r="E1741" t="s">
        <v>14</v>
      </c>
      <c r="F1741" t="s">
        <v>15</v>
      </c>
      <c r="G1741">
        <v>15228</v>
      </c>
      <c r="H1741" t="s">
        <v>48</v>
      </c>
      <c r="I1741">
        <v>78</v>
      </c>
      <c r="J1741">
        <v>1</v>
      </c>
      <c r="K1741" t="s">
        <v>8131</v>
      </c>
    </row>
    <row r="1742" spans="1:11" x14ac:dyDescent="0.25">
      <c r="A1742" t="s">
        <v>5904</v>
      </c>
      <c r="B1742" t="s">
        <v>5905</v>
      </c>
      <c r="C1742" t="s">
        <v>5906</v>
      </c>
      <c r="D1742" t="s">
        <v>5907</v>
      </c>
      <c r="E1742" t="s">
        <v>14</v>
      </c>
      <c r="F1742" t="s">
        <v>15</v>
      </c>
      <c r="G1742">
        <v>15237</v>
      </c>
      <c r="H1742" t="s">
        <v>48</v>
      </c>
      <c r="I1742">
        <v>99</v>
      </c>
      <c r="J1742">
        <v>1</v>
      </c>
      <c r="K1742" t="s">
        <v>8131</v>
      </c>
    </row>
    <row r="1743" spans="1:11" x14ac:dyDescent="0.25">
      <c r="A1743" t="s">
        <v>5908</v>
      </c>
      <c r="B1743" t="s">
        <v>5909</v>
      </c>
      <c r="C1743" t="s">
        <v>3436</v>
      </c>
      <c r="D1743" t="s">
        <v>5910</v>
      </c>
      <c r="E1743" t="s">
        <v>14</v>
      </c>
      <c r="F1743" t="s">
        <v>15</v>
      </c>
      <c r="G1743">
        <v>15216</v>
      </c>
      <c r="H1743" t="s">
        <v>48</v>
      </c>
      <c r="I1743">
        <v>30</v>
      </c>
      <c r="J1743">
        <v>1</v>
      </c>
      <c r="K1743" t="s">
        <v>8131</v>
      </c>
    </row>
    <row r="1744" spans="1:11" x14ac:dyDescent="0.25">
      <c r="A1744" t="s">
        <v>5911</v>
      </c>
      <c r="B1744" t="s">
        <v>5912</v>
      </c>
      <c r="C1744" t="s">
        <v>2772</v>
      </c>
      <c r="D1744" t="s">
        <v>5913</v>
      </c>
      <c r="E1744" t="s">
        <v>14</v>
      </c>
      <c r="F1744" t="s">
        <v>15</v>
      </c>
      <c r="G1744">
        <v>15217</v>
      </c>
      <c r="H1744" t="s">
        <v>16</v>
      </c>
      <c r="I1744">
        <v>105</v>
      </c>
      <c r="J1744">
        <v>1</v>
      </c>
      <c r="K1744" t="s">
        <v>8131</v>
      </c>
    </row>
    <row r="1745" spans="1:11" x14ac:dyDescent="0.25">
      <c r="A1745" t="s">
        <v>5914</v>
      </c>
      <c r="B1745" t="s">
        <v>920</v>
      </c>
      <c r="C1745" t="s">
        <v>5915</v>
      </c>
      <c r="D1745" t="s">
        <v>5916</v>
      </c>
      <c r="E1745" t="s">
        <v>14</v>
      </c>
      <c r="F1745" t="s">
        <v>15</v>
      </c>
      <c r="G1745">
        <v>15220</v>
      </c>
      <c r="H1745" t="s">
        <v>16</v>
      </c>
      <c r="I1745">
        <v>4</v>
      </c>
      <c r="J1745">
        <v>0</v>
      </c>
      <c r="K1745" t="s">
        <v>8131</v>
      </c>
    </row>
    <row r="1746" spans="1:11" x14ac:dyDescent="0.25">
      <c r="A1746" t="s">
        <v>5917</v>
      </c>
      <c r="B1746" t="s">
        <v>5918</v>
      </c>
      <c r="C1746" t="s">
        <v>2119</v>
      </c>
      <c r="D1746" t="s">
        <v>3402</v>
      </c>
      <c r="E1746" t="s">
        <v>14</v>
      </c>
      <c r="F1746" t="s">
        <v>15</v>
      </c>
      <c r="G1746">
        <v>15222</v>
      </c>
      <c r="H1746" t="s">
        <v>16</v>
      </c>
      <c r="I1746">
        <v>510</v>
      </c>
      <c r="J1746">
        <v>1</v>
      </c>
      <c r="K1746" t="s">
        <v>8131</v>
      </c>
    </row>
    <row r="1747" spans="1:11" x14ac:dyDescent="0.25">
      <c r="A1747" t="s">
        <v>5919</v>
      </c>
      <c r="B1747" t="s">
        <v>5920</v>
      </c>
      <c r="C1747" t="s">
        <v>336</v>
      </c>
      <c r="D1747" t="s">
        <v>321</v>
      </c>
      <c r="E1747" t="s">
        <v>14</v>
      </c>
      <c r="F1747" t="s">
        <v>15</v>
      </c>
      <c r="G1747">
        <v>15219</v>
      </c>
      <c r="H1747" t="s">
        <v>43</v>
      </c>
      <c r="I1747">
        <v>8</v>
      </c>
      <c r="J1747">
        <v>1</v>
      </c>
      <c r="K1747" t="s">
        <v>8131</v>
      </c>
    </row>
    <row r="1748" spans="1:11" x14ac:dyDescent="0.25">
      <c r="A1748" t="s">
        <v>5921</v>
      </c>
      <c r="B1748" t="s">
        <v>5922</v>
      </c>
      <c r="C1748" t="s">
        <v>1708</v>
      </c>
      <c r="D1748" t="s">
        <v>5923</v>
      </c>
      <c r="E1748" t="s">
        <v>14</v>
      </c>
      <c r="F1748" t="s">
        <v>15</v>
      </c>
      <c r="G1748">
        <v>15237</v>
      </c>
      <c r="H1748" t="s">
        <v>113</v>
      </c>
      <c r="I1748">
        <v>3</v>
      </c>
      <c r="J1748">
        <v>1</v>
      </c>
      <c r="K1748" t="s">
        <v>8131</v>
      </c>
    </row>
    <row r="1749" spans="1:11" x14ac:dyDescent="0.25">
      <c r="A1749" t="s">
        <v>5924</v>
      </c>
      <c r="B1749" t="s">
        <v>5925</v>
      </c>
      <c r="C1749" t="s">
        <v>5926</v>
      </c>
      <c r="D1749" t="s">
        <v>5927</v>
      </c>
      <c r="E1749" t="s">
        <v>14</v>
      </c>
      <c r="F1749" t="s">
        <v>15</v>
      </c>
      <c r="G1749">
        <v>15213</v>
      </c>
      <c r="H1749" t="s">
        <v>34</v>
      </c>
      <c r="I1749">
        <v>4</v>
      </c>
      <c r="J1749">
        <v>0</v>
      </c>
      <c r="K1749" t="s">
        <v>8131</v>
      </c>
    </row>
    <row r="1750" spans="1:11" x14ac:dyDescent="0.25">
      <c r="A1750" t="s">
        <v>5928</v>
      </c>
      <c r="B1750" t="s">
        <v>5929</v>
      </c>
      <c r="C1750" t="s">
        <v>5930</v>
      </c>
      <c r="D1750" t="s">
        <v>839</v>
      </c>
      <c r="E1750" t="s">
        <v>14</v>
      </c>
      <c r="F1750" t="s">
        <v>15</v>
      </c>
      <c r="G1750">
        <v>15213</v>
      </c>
      <c r="H1750" t="s">
        <v>48</v>
      </c>
      <c r="I1750">
        <v>107</v>
      </c>
      <c r="J1750">
        <v>1</v>
      </c>
      <c r="K1750" t="s">
        <v>8131</v>
      </c>
    </row>
    <row r="1751" spans="1:11" x14ac:dyDescent="0.25">
      <c r="A1751" t="s">
        <v>5931</v>
      </c>
      <c r="B1751" t="s">
        <v>5932</v>
      </c>
      <c r="C1751" t="s">
        <v>5933</v>
      </c>
      <c r="D1751" t="s">
        <v>5934</v>
      </c>
      <c r="E1751" t="s">
        <v>14</v>
      </c>
      <c r="F1751" t="s">
        <v>15</v>
      </c>
      <c r="G1751">
        <v>15222</v>
      </c>
      <c r="H1751" t="s">
        <v>21</v>
      </c>
      <c r="I1751">
        <v>30</v>
      </c>
      <c r="J1751">
        <v>1</v>
      </c>
      <c r="K1751" t="s">
        <v>8131</v>
      </c>
    </row>
    <row r="1752" spans="1:11" x14ac:dyDescent="0.25">
      <c r="A1752" t="s">
        <v>5935</v>
      </c>
      <c r="B1752" t="s">
        <v>36</v>
      </c>
      <c r="C1752" t="s">
        <v>5936</v>
      </c>
      <c r="D1752" t="s">
        <v>5937</v>
      </c>
      <c r="E1752" t="s">
        <v>14</v>
      </c>
      <c r="F1752" t="s">
        <v>15</v>
      </c>
      <c r="G1752">
        <v>15237</v>
      </c>
      <c r="H1752" t="s">
        <v>34</v>
      </c>
      <c r="I1752">
        <v>10</v>
      </c>
      <c r="J1752">
        <v>1</v>
      </c>
      <c r="K1752" t="s">
        <v>8131</v>
      </c>
    </row>
    <row r="1753" spans="1:11" x14ac:dyDescent="0.25">
      <c r="A1753" t="s">
        <v>5938</v>
      </c>
      <c r="B1753" t="s">
        <v>319</v>
      </c>
      <c r="C1753" t="s">
        <v>5939</v>
      </c>
      <c r="D1753" t="s">
        <v>5940</v>
      </c>
      <c r="E1753" t="s">
        <v>14</v>
      </c>
      <c r="F1753" t="s">
        <v>15</v>
      </c>
      <c r="G1753">
        <v>15222</v>
      </c>
      <c r="H1753" t="s">
        <v>157</v>
      </c>
      <c r="I1753">
        <v>3</v>
      </c>
      <c r="J1753">
        <v>1</v>
      </c>
      <c r="K1753" t="s">
        <v>8131</v>
      </c>
    </row>
    <row r="1754" spans="1:11" x14ac:dyDescent="0.25">
      <c r="A1754" t="s">
        <v>5941</v>
      </c>
      <c r="B1754" t="s">
        <v>5942</v>
      </c>
      <c r="C1754" t="s">
        <v>302</v>
      </c>
      <c r="D1754" t="s">
        <v>5943</v>
      </c>
      <c r="E1754" t="s">
        <v>14</v>
      </c>
      <c r="F1754" t="s">
        <v>15</v>
      </c>
      <c r="G1754">
        <v>15228</v>
      </c>
      <c r="H1754" t="s">
        <v>16</v>
      </c>
      <c r="I1754">
        <v>118</v>
      </c>
      <c r="J1754">
        <v>1</v>
      </c>
      <c r="K1754" t="s">
        <v>8131</v>
      </c>
    </row>
    <row r="1755" spans="1:11" x14ac:dyDescent="0.25">
      <c r="A1755" t="s">
        <v>5944</v>
      </c>
      <c r="B1755" t="s">
        <v>5945</v>
      </c>
      <c r="C1755" t="s">
        <v>3946</v>
      </c>
      <c r="D1755" t="s">
        <v>5946</v>
      </c>
      <c r="E1755" t="s">
        <v>14</v>
      </c>
      <c r="F1755" t="s">
        <v>15</v>
      </c>
      <c r="G1755">
        <v>15219</v>
      </c>
      <c r="H1755" t="s">
        <v>43</v>
      </c>
      <c r="I1755">
        <v>42</v>
      </c>
      <c r="J1755">
        <v>1</v>
      </c>
      <c r="K1755" t="s">
        <v>8131</v>
      </c>
    </row>
    <row r="1756" spans="1:11" x14ac:dyDescent="0.25">
      <c r="A1756" t="s">
        <v>5947</v>
      </c>
      <c r="B1756" t="s">
        <v>5948</v>
      </c>
      <c r="C1756" t="s">
        <v>5949</v>
      </c>
      <c r="D1756" t="s">
        <v>137</v>
      </c>
      <c r="E1756" t="s">
        <v>14</v>
      </c>
      <c r="F1756" t="s">
        <v>15</v>
      </c>
      <c r="G1756">
        <v>15217</v>
      </c>
      <c r="H1756" t="s">
        <v>34</v>
      </c>
      <c r="I1756">
        <v>14</v>
      </c>
      <c r="J1756">
        <v>0</v>
      </c>
      <c r="K1756" t="s">
        <v>8131</v>
      </c>
    </row>
    <row r="1757" spans="1:11" x14ac:dyDescent="0.25">
      <c r="A1757" t="s">
        <v>5950</v>
      </c>
      <c r="B1757" t="s">
        <v>36</v>
      </c>
      <c r="C1757" t="s">
        <v>5951</v>
      </c>
      <c r="D1757" t="s">
        <v>5952</v>
      </c>
      <c r="E1757" t="s">
        <v>14</v>
      </c>
      <c r="F1757" t="s">
        <v>15</v>
      </c>
      <c r="G1757">
        <v>15239</v>
      </c>
      <c r="H1757" t="s">
        <v>16</v>
      </c>
      <c r="I1757">
        <v>7</v>
      </c>
      <c r="J1757">
        <v>1</v>
      </c>
      <c r="K1757" t="s">
        <v>8131</v>
      </c>
    </row>
    <row r="1758" spans="1:11" x14ac:dyDescent="0.25">
      <c r="A1758" t="e">
        <f>--ujyvoQlwVoBgMYtADiLA</f>
        <v>#NAME?</v>
      </c>
      <c r="B1758" t="s">
        <v>5953</v>
      </c>
      <c r="C1758" t="s">
        <v>147</v>
      </c>
      <c r="D1758" t="s">
        <v>5954</v>
      </c>
      <c r="E1758" t="s">
        <v>14</v>
      </c>
      <c r="F1758" t="s">
        <v>15</v>
      </c>
      <c r="G1758">
        <v>15236</v>
      </c>
      <c r="H1758" t="s">
        <v>48</v>
      </c>
      <c r="I1758">
        <v>74</v>
      </c>
      <c r="J1758">
        <v>1</v>
      </c>
      <c r="K1758" t="s">
        <v>8131</v>
      </c>
    </row>
    <row r="1759" spans="1:11" x14ac:dyDescent="0.25">
      <c r="A1759" t="s">
        <v>5955</v>
      </c>
      <c r="B1759" t="s">
        <v>5956</v>
      </c>
      <c r="C1759" t="s">
        <v>5957</v>
      </c>
      <c r="D1759" t="s">
        <v>449</v>
      </c>
      <c r="E1759" t="s">
        <v>14</v>
      </c>
      <c r="F1759" t="s">
        <v>15</v>
      </c>
      <c r="G1759">
        <v>15203</v>
      </c>
      <c r="H1759" t="s">
        <v>16</v>
      </c>
      <c r="I1759">
        <v>4</v>
      </c>
      <c r="J1759">
        <v>0</v>
      </c>
      <c r="K1759" t="s">
        <v>8131</v>
      </c>
    </row>
    <row r="1760" spans="1:11" x14ac:dyDescent="0.25">
      <c r="A1760" t="s">
        <v>5958</v>
      </c>
      <c r="B1760" t="s">
        <v>309</v>
      </c>
      <c r="C1760" t="s">
        <v>228</v>
      </c>
      <c r="D1760" t="s">
        <v>5959</v>
      </c>
      <c r="E1760" t="s">
        <v>14</v>
      </c>
      <c r="F1760" t="s">
        <v>15</v>
      </c>
      <c r="G1760">
        <v>15217</v>
      </c>
      <c r="H1760" t="s">
        <v>157</v>
      </c>
      <c r="I1760">
        <v>18</v>
      </c>
      <c r="J1760">
        <v>1</v>
      </c>
      <c r="K1760" t="s">
        <v>8131</v>
      </c>
    </row>
    <row r="1761" spans="1:11" x14ac:dyDescent="0.25">
      <c r="A1761" t="s">
        <v>5960</v>
      </c>
      <c r="B1761" t="s">
        <v>5961</v>
      </c>
      <c r="C1761" t="s">
        <v>5962</v>
      </c>
      <c r="D1761" t="s">
        <v>5963</v>
      </c>
      <c r="E1761" t="s">
        <v>14</v>
      </c>
      <c r="F1761" t="s">
        <v>15</v>
      </c>
      <c r="G1761">
        <v>15222</v>
      </c>
      <c r="H1761" t="s">
        <v>34</v>
      </c>
      <c r="I1761">
        <v>13</v>
      </c>
      <c r="J1761">
        <v>1</v>
      </c>
      <c r="K1761" t="s">
        <v>8131</v>
      </c>
    </row>
    <row r="1762" spans="1:11" x14ac:dyDescent="0.25">
      <c r="A1762" t="s">
        <v>5964</v>
      </c>
      <c r="B1762" t="s">
        <v>5110</v>
      </c>
      <c r="C1762" t="s">
        <v>5965</v>
      </c>
      <c r="D1762" t="s">
        <v>5966</v>
      </c>
      <c r="E1762" t="s">
        <v>14</v>
      </c>
      <c r="F1762" t="s">
        <v>15</v>
      </c>
      <c r="G1762">
        <v>15289</v>
      </c>
      <c r="H1762" t="s">
        <v>16</v>
      </c>
      <c r="I1762">
        <v>4</v>
      </c>
      <c r="J1762">
        <v>0</v>
      </c>
      <c r="K1762" t="s">
        <v>8131</v>
      </c>
    </row>
    <row r="1763" spans="1:11" x14ac:dyDescent="0.25">
      <c r="A1763" t="s">
        <v>5967</v>
      </c>
      <c r="B1763" t="s">
        <v>316</v>
      </c>
      <c r="C1763" t="s">
        <v>260</v>
      </c>
      <c r="D1763" t="s">
        <v>5968</v>
      </c>
      <c r="E1763" t="s">
        <v>14</v>
      </c>
      <c r="F1763" t="s">
        <v>15</v>
      </c>
      <c r="G1763">
        <v>15236</v>
      </c>
      <c r="H1763" t="s">
        <v>43</v>
      </c>
      <c r="I1763">
        <v>41</v>
      </c>
      <c r="J1763">
        <v>1</v>
      </c>
      <c r="K1763" t="s">
        <v>8131</v>
      </c>
    </row>
    <row r="1764" spans="1:11" x14ac:dyDescent="0.25">
      <c r="A1764" t="s">
        <v>5969</v>
      </c>
      <c r="B1764" t="s">
        <v>5970</v>
      </c>
      <c r="C1764" t="s">
        <v>5971</v>
      </c>
      <c r="D1764" t="s">
        <v>5972</v>
      </c>
      <c r="E1764" t="s">
        <v>14</v>
      </c>
      <c r="F1764" t="s">
        <v>15</v>
      </c>
      <c r="G1764">
        <v>15224</v>
      </c>
      <c r="H1764" t="s">
        <v>48</v>
      </c>
      <c r="I1764">
        <v>73</v>
      </c>
      <c r="J1764">
        <v>1</v>
      </c>
      <c r="K1764" t="s">
        <v>8131</v>
      </c>
    </row>
    <row r="1765" spans="1:11" x14ac:dyDescent="0.25">
      <c r="A1765" t="s">
        <v>5973</v>
      </c>
      <c r="B1765" t="s">
        <v>578</v>
      </c>
      <c r="C1765" t="s">
        <v>5974</v>
      </c>
      <c r="D1765" t="s">
        <v>1666</v>
      </c>
      <c r="E1765" t="s">
        <v>14</v>
      </c>
      <c r="F1765" t="s">
        <v>15</v>
      </c>
      <c r="G1765">
        <v>15222</v>
      </c>
      <c r="H1765" t="s">
        <v>48</v>
      </c>
      <c r="I1765">
        <v>3</v>
      </c>
      <c r="J1765">
        <v>1</v>
      </c>
      <c r="K1765" t="s">
        <v>8131</v>
      </c>
    </row>
    <row r="1766" spans="1:11" x14ac:dyDescent="0.25">
      <c r="A1766" t="s">
        <v>5975</v>
      </c>
      <c r="B1766" t="s">
        <v>5976</v>
      </c>
      <c r="C1766" t="s">
        <v>5977</v>
      </c>
      <c r="D1766" t="s">
        <v>5978</v>
      </c>
      <c r="E1766" t="s">
        <v>14</v>
      </c>
      <c r="F1766" t="s">
        <v>15</v>
      </c>
      <c r="G1766">
        <v>15219</v>
      </c>
      <c r="H1766" t="s">
        <v>48</v>
      </c>
      <c r="I1766">
        <v>56</v>
      </c>
      <c r="J1766">
        <v>1</v>
      </c>
      <c r="K1766" t="s">
        <v>8131</v>
      </c>
    </row>
    <row r="1767" spans="1:11" x14ac:dyDescent="0.25">
      <c r="A1767" t="s">
        <v>5979</v>
      </c>
      <c r="B1767" t="s">
        <v>5980</v>
      </c>
      <c r="C1767" t="s">
        <v>5981</v>
      </c>
      <c r="D1767" t="s">
        <v>5982</v>
      </c>
      <c r="E1767" t="s">
        <v>14</v>
      </c>
      <c r="F1767" t="s">
        <v>15</v>
      </c>
      <c r="G1767">
        <v>15213</v>
      </c>
      <c r="H1767" t="s">
        <v>48</v>
      </c>
      <c r="I1767">
        <v>3</v>
      </c>
      <c r="J1767">
        <v>1</v>
      </c>
      <c r="K1767" t="s">
        <v>8131</v>
      </c>
    </row>
    <row r="1768" spans="1:11" x14ac:dyDescent="0.25">
      <c r="A1768" t="s">
        <v>5983</v>
      </c>
      <c r="B1768" t="s">
        <v>5984</v>
      </c>
      <c r="C1768" t="s">
        <v>5985</v>
      </c>
      <c r="D1768" t="s">
        <v>4965</v>
      </c>
      <c r="E1768" t="s">
        <v>14</v>
      </c>
      <c r="F1768" t="s">
        <v>15</v>
      </c>
      <c r="G1768">
        <v>15222</v>
      </c>
      <c r="H1768" t="s">
        <v>34</v>
      </c>
      <c r="I1768">
        <v>160</v>
      </c>
      <c r="J1768">
        <v>1</v>
      </c>
      <c r="K1768" t="s">
        <v>8131</v>
      </c>
    </row>
    <row r="1769" spans="1:11" x14ac:dyDescent="0.25">
      <c r="A1769" t="s">
        <v>5986</v>
      </c>
      <c r="B1769" t="s">
        <v>5987</v>
      </c>
      <c r="C1769" t="s">
        <v>5988</v>
      </c>
      <c r="D1769" t="s">
        <v>465</v>
      </c>
      <c r="E1769" t="s">
        <v>14</v>
      </c>
      <c r="F1769" t="s">
        <v>15</v>
      </c>
      <c r="G1769">
        <v>15201</v>
      </c>
      <c r="H1769" t="s">
        <v>16</v>
      </c>
      <c r="I1769">
        <v>24</v>
      </c>
      <c r="J1769">
        <v>1</v>
      </c>
      <c r="K1769" t="s">
        <v>8131</v>
      </c>
    </row>
    <row r="1770" spans="1:11" x14ac:dyDescent="0.25">
      <c r="A1770" t="s">
        <v>5989</v>
      </c>
      <c r="B1770" t="s">
        <v>5990</v>
      </c>
      <c r="C1770" t="s">
        <v>5991</v>
      </c>
      <c r="D1770" t="s">
        <v>5992</v>
      </c>
      <c r="E1770" t="s">
        <v>14</v>
      </c>
      <c r="F1770" t="s">
        <v>15</v>
      </c>
      <c r="G1770">
        <v>15212</v>
      </c>
      <c r="H1770" t="s">
        <v>48</v>
      </c>
      <c r="I1770">
        <v>11</v>
      </c>
      <c r="J1770">
        <v>1</v>
      </c>
      <c r="K1770" t="s">
        <v>8131</v>
      </c>
    </row>
    <row r="1771" spans="1:11" x14ac:dyDescent="0.25">
      <c r="A1771" t="s">
        <v>5993</v>
      </c>
      <c r="B1771" t="s">
        <v>5994</v>
      </c>
      <c r="C1771" t="s">
        <v>5995</v>
      </c>
      <c r="D1771" t="s">
        <v>1189</v>
      </c>
      <c r="E1771" t="s">
        <v>14</v>
      </c>
      <c r="F1771" t="s">
        <v>15</v>
      </c>
      <c r="G1771">
        <v>15203</v>
      </c>
      <c r="H1771" t="s">
        <v>113</v>
      </c>
      <c r="I1771">
        <v>9</v>
      </c>
      <c r="J1771">
        <v>0</v>
      </c>
      <c r="K1771" t="s">
        <v>8131</v>
      </c>
    </row>
    <row r="1772" spans="1:11" x14ac:dyDescent="0.25">
      <c r="A1772" t="s">
        <v>5996</v>
      </c>
      <c r="B1772" t="s">
        <v>5997</v>
      </c>
      <c r="C1772" t="s">
        <v>1001</v>
      </c>
      <c r="D1772" t="s">
        <v>5998</v>
      </c>
      <c r="E1772" t="s">
        <v>14</v>
      </c>
      <c r="F1772" t="s">
        <v>15</v>
      </c>
      <c r="G1772">
        <v>15206</v>
      </c>
      <c r="H1772" t="s">
        <v>43</v>
      </c>
      <c r="I1772">
        <v>37</v>
      </c>
      <c r="J1772">
        <v>1</v>
      </c>
      <c r="K1772" t="s">
        <v>8131</v>
      </c>
    </row>
    <row r="1773" spans="1:11" x14ac:dyDescent="0.25">
      <c r="A1773" t="s">
        <v>5999</v>
      </c>
      <c r="B1773" t="s">
        <v>6000</v>
      </c>
      <c r="C1773" t="s">
        <v>397</v>
      </c>
      <c r="D1773" t="s">
        <v>6001</v>
      </c>
      <c r="E1773" t="s">
        <v>14</v>
      </c>
      <c r="F1773" t="s">
        <v>15</v>
      </c>
      <c r="G1773">
        <v>15212</v>
      </c>
      <c r="H1773" t="s">
        <v>34</v>
      </c>
      <c r="I1773">
        <v>144</v>
      </c>
      <c r="J1773">
        <v>1</v>
      </c>
      <c r="K1773" t="s">
        <v>8131</v>
      </c>
    </row>
    <row r="1774" spans="1:11" x14ac:dyDescent="0.25">
      <c r="A1774" t="s">
        <v>6002</v>
      </c>
      <c r="B1774" t="s">
        <v>6003</v>
      </c>
      <c r="C1774" t="s">
        <v>6004</v>
      </c>
      <c r="D1774" t="s">
        <v>6005</v>
      </c>
      <c r="E1774" t="s">
        <v>14</v>
      </c>
      <c r="F1774" t="s">
        <v>15</v>
      </c>
      <c r="G1774">
        <v>15201</v>
      </c>
      <c r="H1774" t="s">
        <v>34</v>
      </c>
      <c r="I1774">
        <v>70</v>
      </c>
      <c r="J1774">
        <v>1</v>
      </c>
      <c r="K1774" t="s">
        <v>8131</v>
      </c>
    </row>
    <row r="1775" spans="1:11" x14ac:dyDescent="0.25">
      <c r="A1775" t="s">
        <v>6006</v>
      </c>
      <c r="B1775" t="s">
        <v>36</v>
      </c>
      <c r="C1775" t="s">
        <v>856</v>
      </c>
      <c r="D1775" t="s">
        <v>6007</v>
      </c>
      <c r="E1775" t="s">
        <v>14</v>
      </c>
      <c r="F1775" t="s">
        <v>15</v>
      </c>
      <c r="G1775">
        <v>15217</v>
      </c>
      <c r="H1775" t="s">
        <v>48</v>
      </c>
      <c r="I1775">
        <v>32</v>
      </c>
      <c r="J1775">
        <v>0</v>
      </c>
      <c r="K1775" t="s">
        <v>8131</v>
      </c>
    </row>
    <row r="1776" spans="1:11" x14ac:dyDescent="0.25">
      <c r="A1776" t="s">
        <v>6008</v>
      </c>
      <c r="B1776" t="s">
        <v>6009</v>
      </c>
      <c r="C1776" t="s">
        <v>6010</v>
      </c>
      <c r="D1776" t="s">
        <v>6011</v>
      </c>
      <c r="E1776" t="s">
        <v>14</v>
      </c>
      <c r="F1776" t="s">
        <v>15</v>
      </c>
      <c r="G1776">
        <v>15221</v>
      </c>
      <c r="H1776" t="s">
        <v>21</v>
      </c>
      <c r="I1776">
        <v>28</v>
      </c>
      <c r="J1776">
        <v>1</v>
      </c>
      <c r="K1776" t="s">
        <v>8131</v>
      </c>
    </row>
    <row r="1777" spans="1:11" x14ac:dyDescent="0.25">
      <c r="A1777" t="s">
        <v>6012</v>
      </c>
      <c r="B1777" t="s">
        <v>6013</v>
      </c>
      <c r="C1777" t="s">
        <v>6014</v>
      </c>
      <c r="D1777" t="s">
        <v>6015</v>
      </c>
      <c r="E1777" t="s">
        <v>14</v>
      </c>
      <c r="F1777" t="s">
        <v>15</v>
      </c>
      <c r="G1777">
        <v>15206</v>
      </c>
      <c r="H1777" t="s">
        <v>21</v>
      </c>
      <c r="I1777">
        <v>310</v>
      </c>
      <c r="J1777">
        <v>1</v>
      </c>
      <c r="K1777" t="s">
        <v>8131</v>
      </c>
    </row>
    <row r="1778" spans="1:11" x14ac:dyDescent="0.25">
      <c r="A1778" t="s">
        <v>6016</v>
      </c>
      <c r="B1778" t="s">
        <v>6017</v>
      </c>
      <c r="C1778" t="s">
        <v>3228</v>
      </c>
      <c r="D1778" t="s">
        <v>6018</v>
      </c>
      <c r="E1778" t="s">
        <v>14</v>
      </c>
      <c r="F1778" t="s">
        <v>15</v>
      </c>
      <c r="G1778">
        <v>15226</v>
      </c>
      <c r="H1778" t="s">
        <v>16</v>
      </c>
      <c r="I1778">
        <v>10</v>
      </c>
      <c r="J1778">
        <v>1</v>
      </c>
      <c r="K1778" t="s">
        <v>8131</v>
      </c>
    </row>
    <row r="1779" spans="1:11" x14ac:dyDescent="0.25">
      <c r="A1779" t="s">
        <v>6019</v>
      </c>
      <c r="B1779" t="s">
        <v>3117</v>
      </c>
      <c r="C1779" t="s">
        <v>6020</v>
      </c>
      <c r="D1779" t="s">
        <v>6021</v>
      </c>
      <c r="E1779" t="s">
        <v>14</v>
      </c>
      <c r="F1779" t="s">
        <v>15</v>
      </c>
      <c r="G1779">
        <v>15219</v>
      </c>
      <c r="H1779" t="s">
        <v>21</v>
      </c>
      <c r="I1779">
        <v>96</v>
      </c>
      <c r="J1779">
        <v>1</v>
      </c>
      <c r="K1779" t="s">
        <v>8131</v>
      </c>
    </row>
    <row r="1780" spans="1:11" x14ac:dyDescent="0.25">
      <c r="A1780" t="s">
        <v>6022</v>
      </c>
      <c r="B1780" t="s">
        <v>6023</v>
      </c>
      <c r="C1780" t="s">
        <v>6024</v>
      </c>
      <c r="D1780" t="s">
        <v>1336</v>
      </c>
      <c r="E1780" t="s">
        <v>14</v>
      </c>
      <c r="F1780" t="s">
        <v>15</v>
      </c>
      <c r="G1780">
        <v>15216</v>
      </c>
      <c r="H1780" t="s">
        <v>48</v>
      </c>
      <c r="I1780">
        <v>70</v>
      </c>
      <c r="J1780">
        <v>0</v>
      </c>
      <c r="K1780" t="s">
        <v>8131</v>
      </c>
    </row>
    <row r="1781" spans="1:11" x14ac:dyDescent="0.25">
      <c r="A1781" t="s">
        <v>6025</v>
      </c>
      <c r="B1781" t="s">
        <v>6026</v>
      </c>
      <c r="C1781" t="s">
        <v>6027</v>
      </c>
      <c r="D1781" t="s">
        <v>6028</v>
      </c>
      <c r="E1781" t="s">
        <v>14</v>
      </c>
      <c r="F1781" t="s">
        <v>15</v>
      </c>
      <c r="G1781">
        <v>15216</v>
      </c>
      <c r="H1781" t="s">
        <v>16</v>
      </c>
      <c r="I1781">
        <v>8</v>
      </c>
      <c r="J1781">
        <v>1</v>
      </c>
      <c r="K1781" t="s">
        <v>8131</v>
      </c>
    </row>
    <row r="1782" spans="1:11" x14ac:dyDescent="0.25">
      <c r="A1782" t="s">
        <v>6029</v>
      </c>
      <c r="B1782" t="s">
        <v>586</v>
      </c>
      <c r="C1782" t="s">
        <v>6030</v>
      </c>
      <c r="D1782" t="s">
        <v>6031</v>
      </c>
      <c r="E1782" t="s">
        <v>14</v>
      </c>
      <c r="F1782" t="s">
        <v>15</v>
      </c>
      <c r="G1782">
        <v>15236</v>
      </c>
      <c r="H1782" t="s">
        <v>48</v>
      </c>
      <c r="I1782">
        <v>3</v>
      </c>
      <c r="J1782">
        <v>0</v>
      </c>
      <c r="K1782" t="s">
        <v>8131</v>
      </c>
    </row>
    <row r="1783" spans="1:11" x14ac:dyDescent="0.25">
      <c r="A1783" t="s">
        <v>6032</v>
      </c>
      <c r="B1783" t="s">
        <v>3196</v>
      </c>
      <c r="C1783" t="s">
        <v>1464</v>
      </c>
      <c r="D1783" t="s">
        <v>6033</v>
      </c>
      <c r="E1783" t="s">
        <v>14</v>
      </c>
      <c r="F1783" t="s">
        <v>15</v>
      </c>
      <c r="G1783">
        <v>15219</v>
      </c>
      <c r="H1783" t="s">
        <v>34</v>
      </c>
      <c r="I1783">
        <v>5</v>
      </c>
      <c r="J1783">
        <v>1</v>
      </c>
      <c r="K1783" t="s">
        <v>8131</v>
      </c>
    </row>
    <row r="1784" spans="1:11" x14ac:dyDescent="0.25">
      <c r="A1784" t="s">
        <v>6034</v>
      </c>
      <c r="B1784" t="s">
        <v>6035</v>
      </c>
      <c r="C1784" t="s">
        <v>6036</v>
      </c>
      <c r="D1784" t="s">
        <v>2007</v>
      </c>
      <c r="E1784" t="s">
        <v>14</v>
      </c>
      <c r="F1784" t="s">
        <v>15</v>
      </c>
      <c r="G1784">
        <v>15220</v>
      </c>
      <c r="H1784" t="s">
        <v>21</v>
      </c>
      <c r="I1784">
        <v>18</v>
      </c>
      <c r="J1784">
        <v>1</v>
      </c>
      <c r="K1784" t="s">
        <v>8131</v>
      </c>
    </row>
    <row r="1785" spans="1:11" x14ac:dyDescent="0.25">
      <c r="A1785" t="e">
        <f>-U_0rpIpGpOi-tokc91HUQ</f>
        <v>#NAME?</v>
      </c>
      <c r="B1785" t="s">
        <v>6037</v>
      </c>
      <c r="C1785" t="s">
        <v>1819</v>
      </c>
      <c r="D1785" t="s">
        <v>5157</v>
      </c>
      <c r="E1785" t="s">
        <v>14</v>
      </c>
      <c r="F1785" t="s">
        <v>15</v>
      </c>
      <c r="G1785">
        <v>15218</v>
      </c>
      <c r="H1785" t="s">
        <v>21</v>
      </c>
      <c r="I1785">
        <v>100</v>
      </c>
      <c r="J1785">
        <v>1</v>
      </c>
      <c r="K1785" t="s">
        <v>8131</v>
      </c>
    </row>
    <row r="1786" spans="1:11" x14ac:dyDescent="0.25">
      <c r="A1786" t="s">
        <v>6038</v>
      </c>
      <c r="B1786" t="s">
        <v>6039</v>
      </c>
      <c r="C1786" t="s">
        <v>1001</v>
      </c>
      <c r="D1786" t="s">
        <v>1234</v>
      </c>
      <c r="E1786" t="s">
        <v>14</v>
      </c>
      <c r="F1786" t="s">
        <v>15</v>
      </c>
      <c r="G1786">
        <v>15237</v>
      </c>
      <c r="H1786" t="s">
        <v>16</v>
      </c>
      <c r="I1786">
        <v>6</v>
      </c>
      <c r="J1786">
        <v>1</v>
      </c>
      <c r="K1786" t="s">
        <v>8131</v>
      </c>
    </row>
    <row r="1787" spans="1:11" x14ac:dyDescent="0.25">
      <c r="A1787" t="s">
        <v>6040</v>
      </c>
      <c r="B1787" t="s">
        <v>6041</v>
      </c>
      <c r="C1787" t="s">
        <v>6042</v>
      </c>
      <c r="D1787" t="s">
        <v>6043</v>
      </c>
      <c r="E1787" t="s">
        <v>14</v>
      </c>
      <c r="F1787" t="s">
        <v>15</v>
      </c>
      <c r="G1787">
        <v>15210</v>
      </c>
      <c r="H1787" t="s">
        <v>34</v>
      </c>
      <c r="I1787">
        <v>6</v>
      </c>
      <c r="J1787">
        <v>0</v>
      </c>
      <c r="K1787" t="s">
        <v>8131</v>
      </c>
    </row>
    <row r="1788" spans="1:11" x14ac:dyDescent="0.25">
      <c r="A1788" t="s">
        <v>6044</v>
      </c>
      <c r="B1788" t="s">
        <v>6045</v>
      </c>
      <c r="C1788" t="s">
        <v>6046</v>
      </c>
      <c r="D1788" t="s">
        <v>6047</v>
      </c>
      <c r="E1788" t="s">
        <v>14</v>
      </c>
      <c r="F1788" t="s">
        <v>15</v>
      </c>
      <c r="G1788">
        <v>15218</v>
      </c>
      <c r="H1788" t="s">
        <v>21</v>
      </c>
      <c r="I1788">
        <v>96</v>
      </c>
      <c r="J1788">
        <v>1</v>
      </c>
      <c r="K1788" t="s">
        <v>8131</v>
      </c>
    </row>
    <row r="1789" spans="1:11" x14ac:dyDescent="0.25">
      <c r="A1789" t="s">
        <v>6048</v>
      </c>
      <c r="B1789" t="s">
        <v>6049</v>
      </c>
      <c r="C1789" t="s">
        <v>6050</v>
      </c>
      <c r="D1789" t="s">
        <v>6051</v>
      </c>
      <c r="E1789" t="s">
        <v>14</v>
      </c>
      <c r="F1789" t="s">
        <v>15</v>
      </c>
      <c r="G1789">
        <v>15217</v>
      </c>
      <c r="H1789" t="s">
        <v>21</v>
      </c>
      <c r="I1789">
        <v>9</v>
      </c>
      <c r="J1789">
        <v>0</v>
      </c>
      <c r="K1789" t="s">
        <v>8131</v>
      </c>
    </row>
    <row r="1790" spans="1:11" x14ac:dyDescent="0.25">
      <c r="A1790" t="s">
        <v>6052</v>
      </c>
      <c r="B1790" t="s">
        <v>377</v>
      </c>
      <c r="C1790" t="s">
        <v>6053</v>
      </c>
      <c r="D1790" t="s">
        <v>6054</v>
      </c>
      <c r="E1790" t="s">
        <v>14</v>
      </c>
      <c r="F1790" t="s">
        <v>15</v>
      </c>
      <c r="G1790">
        <v>15213</v>
      </c>
      <c r="H1790" t="s">
        <v>48</v>
      </c>
      <c r="I1790">
        <v>45</v>
      </c>
      <c r="J1790">
        <v>1</v>
      </c>
      <c r="K1790" t="s">
        <v>8131</v>
      </c>
    </row>
    <row r="1791" spans="1:11" x14ac:dyDescent="0.25">
      <c r="A1791" t="s">
        <v>6055</v>
      </c>
      <c r="B1791" t="s">
        <v>282</v>
      </c>
      <c r="C1791" t="s">
        <v>6056</v>
      </c>
      <c r="D1791" t="s">
        <v>1875</v>
      </c>
      <c r="E1791" t="s">
        <v>14</v>
      </c>
      <c r="F1791" t="s">
        <v>15</v>
      </c>
      <c r="G1791">
        <v>15216</v>
      </c>
      <c r="H1791" t="s">
        <v>43</v>
      </c>
      <c r="I1791">
        <v>22</v>
      </c>
      <c r="J1791">
        <v>1</v>
      </c>
      <c r="K1791" t="s">
        <v>8131</v>
      </c>
    </row>
    <row r="1792" spans="1:11" x14ac:dyDescent="0.25">
      <c r="A1792" t="s">
        <v>6057</v>
      </c>
      <c r="B1792" t="s">
        <v>6058</v>
      </c>
      <c r="C1792" t="s">
        <v>6059</v>
      </c>
      <c r="D1792" t="s">
        <v>6060</v>
      </c>
      <c r="E1792" t="s">
        <v>14</v>
      </c>
      <c r="F1792" t="s">
        <v>15</v>
      </c>
      <c r="G1792">
        <v>15235</v>
      </c>
      <c r="H1792" t="s">
        <v>16</v>
      </c>
      <c r="I1792">
        <v>6</v>
      </c>
      <c r="J1792">
        <v>0</v>
      </c>
      <c r="K1792" t="s">
        <v>8131</v>
      </c>
    </row>
    <row r="1793" spans="1:11" x14ac:dyDescent="0.25">
      <c r="A1793" t="s">
        <v>6061</v>
      </c>
      <c r="B1793" t="s">
        <v>6062</v>
      </c>
      <c r="C1793" t="s">
        <v>6063</v>
      </c>
      <c r="D1793" t="s">
        <v>6064</v>
      </c>
      <c r="E1793" t="s">
        <v>14</v>
      </c>
      <c r="F1793" t="s">
        <v>15</v>
      </c>
      <c r="G1793">
        <v>15212</v>
      </c>
      <c r="H1793" t="s">
        <v>34</v>
      </c>
      <c r="I1793">
        <v>132</v>
      </c>
      <c r="J1793">
        <v>1</v>
      </c>
      <c r="K1793" t="s">
        <v>8131</v>
      </c>
    </row>
    <row r="1794" spans="1:11" x14ac:dyDescent="0.25">
      <c r="A1794" t="s">
        <v>6065</v>
      </c>
      <c r="B1794" t="s">
        <v>6066</v>
      </c>
      <c r="C1794" t="s">
        <v>6067</v>
      </c>
      <c r="D1794" t="s">
        <v>6068</v>
      </c>
      <c r="E1794" t="s">
        <v>14</v>
      </c>
      <c r="F1794" t="s">
        <v>15</v>
      </c>
      <c r="G1794">
        <v>15216</v>
      </c>
      <c r="H1794" t="s">
        <v>34</v>
      </c>
      <c r="I1794">
        <v>77</v>
      </c>
      <c r="J1794">
        <v>1</v>
      </c>
      <c r="K1794" t="s">
        <v>8131</v>
      </c>
    </row>
    <row r="1795" spans="1:11" x14ac:dyDescent="0.25">
      <c r="A1795" t="s">
        <v>6069</v>
      </c>
      <c r="B1795" t="s">
        <v>6070</v>
      </c>
      <c r="C1795" t="s">
        <v>6071</v>
      </c>
      <c r="D1795" t="s">
        <v>6072</v>
      </c>
      <c r="E1795" t="s">
        <v>14</v>
      </c>
      <c r="F1795" t="s">
        <v>15</v>
      </c>
      <c r="G1795">
        <v>15233</v>
      </c>
      <c r="H1795" t="s">
        <v>16</v>
      </c>
      <c r="I1795">
        <v>64</v>
      </c>
      <c r="J1795">
        <v>1</v>
      </c>
      <c r="K1795" t="s">
        <v>8131</v>
      </c>
    </row>
    <row r="1796" spans="1:11" x14ac:dyDescent="0.25">
      <c r="A1796" t="s">
        <v>6073</v>
      </c>
      <c r="B1796" t="s">
        <v>6074</v>
      </c>
      <c r="C1796" t="s">
        <v>632</v>
      </c>
      <c r="D1796" t="s">
        <v>5683</v>
      </c>
      <c r="E1796" t="s">
        <v>14</v>
      </c>
      <c r="F1796" t="s">
        <v>15</v>
      </c>
      <c r="G1796">
        <v>15206</v>
      </c>
      <c r="H1796" t="s">
        <v>34</v>
      </c>
      <c r="I1796">
        <v>28</v>
      </c>
      <c r="J1796">
        <v>1</v>
      </c>
      <c r="K1796" t="s">
        <v>8131</v>
      </c>
    </row>
    <row r="1797" spans="1:11" x14ac:dyDescent="0.25">
      <c r="A1797" t="s">
        <v>6075</v>
      </c>
      <c r="B1797" t="s">
        <v>6076</v>
      </c>
      <c r="C1797" t="s">
        <v>6077</v>
      </c>
      <c r="D1797" t="s">
        <v>6078</v>
      </c>
      <c r="E1797" t="s">
        <v>14</v>
      </c>
      <c r="F1797" t="s">
        <v>15</v>
      </c>
      <c r="G1797">
        <v>15222</v>
      </c>
      <c r="H1797" t="s">
        <v>34</v>
      </c>
      <c r="I1797">
        <v>11</v>
      </c>
      <c r="J1797">
        <v>1</v>
      </c>
      <c r="K1797" t="s">
        <v>8131</v>
      </c>
    </row>
    <row r="1798" spans="1:11" x14ac:dyDescent="0.25">
      <c r="A1798" t="s">
        <v>6079</v>
      </c>
      <c r="B1798" t="s">
        <v>6080</v>
      </c>
      <c r="C1798" t="s">
        <v>6081</v>
      </c>
      <c r="D1798" t="s">
        <v>6082</v>
      </c>
      <c r="E1798" t="s">
        <v>14</v>
      </c>
      <c r="F1798" t="s">
        <v>15</v>
      </c>
      <c r="G1798">
        <v>15235</v>
      </c>
      <c r="H1798" t="s">
        <v>16</v>
      </c>
      <c r="I1798">
        <v>10</v>
      </c>
      <c r="J1798">
        <v>1</v>
      </c>
      <c r="K1798" t="s">
        <v>8131</v>
      </c>
    </row>
    <row r="1799" spans="1:11" x14ac:dyDescent="0.25">
      <c r="A1799" t="s">
        <v>6083</v>
      </c>
      <c r="B1799" t="s">
        <v>6084</v>
      </c>
      <c r="C1799" t="s">
        <v>1020</v>
      </c>
      <c r="D1799" t="s">
        <v>6085</v>
      </c>
      <c r="E1799" t="s">
        <v>14</v>
      </c>
      <c r="F1799" t="s">
        <v>15</v>
      </c>
      <c r="G1799">
        <v>15205</v>
      </c>
      <c r="H1799" t="s">
        <v>34</v>
      </c>
      <c r="I1799">
        <v>17</v>
      </c>
      <c r="J1799">
        <v>0</v>
      </c>
      <c r="K1799" t="s">
        <v>8131</v>
      </c>
    </row>
    <row r="1800" spans="1:11" x14ac:dyDescent="0.25">
      <c r="A1800" t="s">
        <v>6086</v>
      </c>
      <c r="B1800" t="s">
        <v>36</v>
      </c>
      <c r="C1800" t="s">
        <v>2769</v>
      </c>
      <c r="D1800" t="s">
        <v>6087</v>
      </c>
      <c r="E1800" t="s">
        <v>14</v>
      </c>
      <c r="F1800" t="s">
        <v>15</v>
      </c>
      <c r="G1800">
        <v>15237</v>
      </c>
      <c r="H1800" t="s">
        <v>157</v>
      </c>
      <c r="I1800">
        <v>10</v>
      </c>
      <c r="J1800">
        <v>1</v>
      </c>
      <c r="K1800" t="s">
        <v>8131</v>
      </c>
    </row>
    <row r="1801" spans="1:11" x14ac:dyDescent="0.25">
      <c r="A1801" t="s">
        <v>6088</v>
      </c>
      <c r="B1801" t="s">
        <v>6089</v>
      </c>
      <c r="C1801" t="s">
        <v>6090</v>
      </c>
      <c r="D1801" t="s">
        <v>6091</v>
      </c>
      <c r="E1801" t="s">
        <v>14</v>
      </c>
      <c r="F1801" t="s">
        <v>15</v>
      </c>
      <c r="G1801">
        <v>15205</v>
      </c>
      <c r="H1801" t="s">
        <v>34</v>
      </c>
      <c r="I1801">
        <v>86</v>
      </c>
      <c r="J1801">
        <v>1</v>
      </c>
      <c r="K1801" t="s">
        <v>8131</v>
      </c>
    </row>
    <row r="1802" spans="1:11" x14ac:dyDescent="0.25">
      <c r="A1802" t="s">
        <v>6092</v>
      </c>
      <c r="B1802" t="s">
        <v>6093</v>
      </c>
      <c r="C1802" t="s">
        <v>6094</v>
      </c>
      <c r="D1802" t="s">
        <v>5206</v>
      </c>
      <c r="E1802" t="s">
        <v>14</v>
      </c>
      <c r="F1802" t="s">
        <v>15</v>
      </c>
      <c r="G1802">
        <v>15203</v>
      </c>
      <c r="H1802" t="s">
        <v>48</v>
      </c>
      <c r="I1802">
        <v>34</v>
      </c>
      <c r="J1802">
        <v>0</v>
      </c>
      <c r="K1802" t="s">
        <v>8131</v>
      </c>
    </row>
    <row r="1803" spans="1:11" x14ac:dyDescent="0.25">
      <c r="A1803" t="s">
        <v>6095</v>
      </c>
      <c r="B1803" t="s">
        <v>65</v>
      </c>
      <c r="C1803" t="s">
        <v>6096</v>
      </c>
      <c r="D1803" t="s">
        <v>6097</v>
      </c>
      <c r="E1803" t="s">
        <v>14</v>
      </c>
      <c r="F1803" t="s">
        <v>15</v>
      </c>
      <c r="G1803">
        <v>15227</v>
      </c>
      <c r="H1803" t="s">
        <v>16</v>
      </c>
      <c r="I1803">
        <v>20</v>
      </c>
      <c r="J1803">
        <v>1</v>
      </c>
      <c r="K1803" t="s">
        <v>8131</v>
      </c>
    </row>
    <row r="1804" spans="1:11" x14ac:dyDescent="0.25">
      <c r="A1804" t="s">
        <v>6098</v>
      </c>
      <c r="B1804" t="s">
        <v>6099</v>
      </c>
      <c r="C1804" t="s">
        <v>95</v>
      </c>
      <c r="D1804" t="s">
        <v>6100</v>
      </c>
      <c r="E1804" t="s">
        <v>14</v>
      </c>
      <c r="F1804" t="s">
        <v>15</v>
      </c>
      <c r="G1804">
        <v>15233</v>
      </c>
      <c r="H1804" t="s">
        <v>21</v>
      </c>
      <c r="I1804">
        <v>109</v>
      </c>
      <c r="J1804">
        <v>1</v>
      </c>
      <c r="K1804" t="s">
        <v>8131</v>
      </c>
    </row>
    <row r="1805" spans="1:11" x14ac:dyDescent="0.25">
      <c r="A1805" t="s">
        <v>6101</v>
      </c>
      <c r="B1805" t="s">
        <v>6102</v>
      </c>
      <c r="C1805" t="s">
        <v>6103</v>
      </c>
      <c r="D1805" t="s">
        <v>6104</v>
      </c>
      <c r="E1805" t="s">
        <v>14</v>
      </c>
      <c r="F1805" t="s">
        <v>15</v>
      </c>
      <c r="G1805">
        <v>15209</v>
      </c>
      <c r="H1805" t="s">
        <v>48</v>
      </c>
      <c r="I1805">
        <v>50</v>
      </c>
      <c r="J1805">
        <v>1</v>
      </c>
      <c r="K1805" t="s">
        <v>8131</v>
      </c>
    </row>
    <row r="1806" spans="1:11" x14ac:dyDescent="0.25">
      <c r="A1806" t="s">
        <v>6105</v>
      </c>
      <c r="B1806" t="s">
        <v>6106</v>
      </c>
      <c r="C1806" t="s">
        <v>6107</v>
      </c>
      <c r="D1806" t="s">
        <v>6108</v>
      </c>
      <c r="E1806" t="s">
        <v>14</v>
      </c>
      <c r="F1806" t="s">
        <v>15</v>
      </c>
      <c r="G1806">
        <v>15222</v>
      </c>
      <c r="H1806" t="s">
        <v>48</v>
      </c>
      <c r="I1806">
        <v>38</v>
      </c>
      <c r="J1806">
        <v>1</v>
      </c>
      <c r="K1806" t="s">
        <v>8131</v>
      </c>
    </row>
    <row r="1807" spans="1:11" x14ac:dyDescent="0.25">
      <c r="A1807" t="s">
        <v>6109</v>
      </c>
      <c r="B1807" t="s">
        <v>6110</v>
      </c>
      <c r="C1807" t="s">
        <v>6111</v>
      </c>
      <c r="D1807" t="s">
        <v>6112</v>
      </c>
      <c r="E1807" t="s">
        <v>14</v>
      </c>
      <c r="F1807" t="s">
        <v>15</v>
      </c>
      <c r="G1807">
        <v>15226</v>
      </c>
      <c r="H1807" t="s">
        <v>16</v>
      </c>
      <c r="I1807">
        <v>10</v>
      </c>
      <c r="J1807">
        <v>1</v>
      </c>
      <c r="K1807" t="s">
        <v>8131</v>
      </c>
    </row>
    <row r="1808" spans="1:11" x14ac:dyDescent="0.25">
      <c r="A1808" t="s">
        <v>6113</v>
      </c>
      <c r="B1808" t="s">
        <v>6114</v>
      </c>
      <c r="C1808" t="s">
        <v>6115</v>
      </c>
      <c r="D1808" t="s">
        <v>6116</v>
      </c>
      <c r="E1808" t="s">
        <v>14</v>
      </c>
      <c r="F1808" t="s">
        <v>15</v>
      </c>
      <c r="G1808">
        <v>15222</v>
      </c>
      <c r="H1808" t="s">
        <v>48</v>
      </c>
      <c r="I1808">
        <v>35</v>
      </c>
      <c r="J1808">
        <v>1</v>
      </c>
      <c r="K1808" t="s">
        <v>8131</v>
      </c>
    </row>
    <row r="1809" spans="1:11" x14ac:dyDescent="0.25">
      <c r="A1809" t="s">
        <v>6117</v>
      </c>
      <c r="B1809" t="s">
        <v>319</v>
      </c>
      <c r="C1809" t="s">
        <v>6118</v>
      </c>
      <c r="D1809" t="s">
        <v>6119</v>
      </c>
      <c r="E1809" t="s">
        <v>14</v>
      </c>
      <c r="F1809" t="s">
        <v>15</v>
      </c>
      <c r="G1809">
        <v>15222</v>
      </c>
      <c r="H1809" t="s">
        <v>113</v>
      </c>
      <c r="I1809">
        <v>19</v>
      </c>
      <c r="J1809">
        <v>0</v>
      </c>
      <c r="K1809" t="s">
        <v>8131</v>
      </c>
    </row>
    <row r="1810" spans="1:11" x14ac:dyDescent="0.25">
      <c r="A1810" t="s">
        <v>6120</v>
      </c>
      <c r="B1810" t="s">
        <v>6121</v>
      </c>
      <c r="C1810" t="s">
        <v>6122</v>
      </c>
      <c r="D1810" t="s">
        <v>899</v>
      </c>
      <c r="E1810" t="s">
        <v>14</v>
      </c>
      <c r="F1810" t="s">
        <v>15</v>
      </c>
      <c r="G1810">
        <v>15241</v>
      </c>
      <c r="H1810" t="s">
        <v>34</v>
      </c>
      <c r="I1810">
        <v>20</v>
      </c>
      <c r="J1810">
        <v>0</v>
      </c>
      <c r="K1810" t="s">
        <v>8131</v>
      </c>
    </row>
    <row r="1811" spans="1:11" x14ac:dyDescent="0.25">
      <c r="A1811" t="s">
        <v>6123</v>
      </c>
      <c r="B1811" t="s">
        <v>6124</v>
      </c>
      <c r="C1811" t="s">
        <v>2065</v>
      </c>
      <c r="D1811" t="s">
        <v>6125</v>
      </c>
      <c r="E1811" t="s">
        <v>14</v>
      </c>
      <c r="F1811" t="s">
        <v>15</v>
      </c>
      <c r="G1811">
        <v>15122</v>
      </c>
      <c r="H1811" t="s">
        <v>34</v>
      </c>
      <c r="I1811">
        <v>42</v>
      </c>
      <c r="J1811">
        <v>1</v>
      </c>
      <c r="K1811" t="s">
        <v>8131</v>
      </c>
    </row>
    <row r="1812" spans="1:11" x14ac:dyDescent="0.25">
      <c r="A1812" t="s">
        <v>6126</v>
      </c>
      <c r="B1812" t="s">
        <v>6127</v>
      </c>
      <c r="C1812" t="s">
        <v>6128</v>
      </c>
      <c r="D1812" t="s">
        <v>4570</v>
      </c>
      <c r="E1812" t="s">
        <v>14</v>
      </c>
      <c r="F1812" t="s">
        <v>15</v>
      </c>
      <c r="G1812">
        <v>15206</v>
      </c>
      <c r="H1812" t="s">
        <v>34</v>
      </c>
      <c r="I1812">
        <v>68</v>
      </c>
      <c r="J1812">
        <v>0</v>
      </c>
      <c r="K1812" t="s">
        <v>8131</v>
      </c>
    </row>
    <row r="1813" spans="1:11" x14ac:dyDescent="0.25">
      <c r="A1813" t="s">
        <v>6129</v>
      </c>
      <c r="B1813" t="s">
        <v>4518</v>
      </c>
      <c r="C1813" t="s">
        <v>6130</v>
      </c>
      <c r="D1813" t="s">
        <v>2403</v>
      </c>
      <c r="E1813" t="s">
        <v>14</v>
      </c>
      <c r="F1813" t="s">
        <v>15</v>
      </c>
      <c r="G1813">
        <v>15226</v>
      </c>
      <c r="H1813" t="s">
        <v>48</v>
      </c>
      <c r="I1813">
        <v>86</v>
      </c>
      <c r="J1813">
        <v>0</v>
      </c>
      <c r="K1813" t="s">
        <v>8131</v>
      </c>
    </row>
    <row r="1814" spans="1:11" x14ac:dyDescent="0.25">
      <c r="A1814" t="s">
        <v>6131</v>
      </c>
      <c r="B1814" t="s">
        <v>1026</v>
      </c>
      <c r="C1814" t="s">
        <v>1464</v>
      </c>
      <c r="D1814" t="s">
        <v>6132</v>
      </c>
      <c r="E1814" t="s">
        <v>14</v>
      </c>
      <c r="F1814" t="s">
        <v>15</v>
      </c>
      <c r="G1814">
        <v>15234</v>
      </c>
      <c r="H1814" t="s">
        <v>48</v>
      </c>
      <c r="I1814">
        <v>3</v>
      </c>
      <c r="J1814">
        <v>1</v>
      </c>
      <c r="K1814" t="s">
        <v>8131</v>
      </c>
    </row>
    <row r="1815" spans="1:11" x14ac:dyDescent="0.25">
      <c r="A1815" t="s">
        <v>6133</v>
      </c>
      <c r="B1815" t="s">
        <v>2016</v>
      </c>
      <c r="C1815" t="s">
        <v>6134</v>
      </c>
      <c r="D1815" t="s">
        <v>6135</v>
      </c>
      <c r="E1815" t="s">
        <v>14</v>
      </c>
      <c r="F1815" t="s">
        <v>15</v>
      </c>
      <c r="G1815">
        <v>15222</v>
      </c>
      <c r="H1815" t="s">
        <v>48</v>
      </c>
      <c r="I1815">
        <v>64</v>
      </c>
      <c r="J1815">
        <v>1</v>
      </c>
      <c r="K1815" t="s">
        <v>8131</v>
      </c>
    </row>
    <row r="1816" spans="1:11" x14ac:dyDescent="0.25">
      <c r="A1816" t="s">
        <v>6136</v>
      </c>
      <c r="B1816" t="s">
        <v>6137</v>
      </c>
      <c r="C1816" t="s">
        <v>6138</v>
      </c>
      <c r="D1816" t="s">
        <v>6139</v>
      </c>
      <c r="E1816" t="s">
        <v>14</v>
      </c>
      <c r="F1816" t="s">
        <v>15</v>
      </c>
      <c r="G1816">
        <v>15234</v>
      </c>
      <c r="H1816" t="s">
        <v>16</v>
      </c>
      <c r="I1816">
        <v>24</v>
      </c>
      <c r="J1816">
        <v>1</v>
      </c>
      <c r="K1816" t="s">
        <v>8131</v>
      </c>
    </row>
    <row r="1817" spans="1:11" x14ac:dyDescent="0.25">
      <c r="A1817" t="s">
        <v>6140</v>
      </c>
      <c r="B1817" t="s">
        <v>6141</v>
      </c>
      <c r="C1817" t="s">
        <v>632</v>
      </c>
      <c r="D1817" t="s">
        <v>6142</v>
      </c>
      <c r="E1817" t="s">
        <v>14</v>
      </c>
      <c r="F1817" t="s">
        <v>15</v>
      </c>
      <c r="G1817">
        <v>15222</v>
      </c>
      <c r="H1817" t="s">
        <v>48</v>
      </c>
      <c r="I1817">
        <v>15</v>
      </c>
      <c r="J1817">
        <v>1</v>
      </c>
      <c r="K1817" t="s">
        <v>8131</v>
      </c>
    </row>
    <row r="1818" spans="1:11" x14ac:dyDescent="0.25">
      <c r="A1818" t="s">
        <v>6143</v>
      </c>
      <c r="B1818" t="s">
        <v>239</v>
      </c>
      <c r="C1818" t="s">
        <v>6144</v>
      </c>
      <c r="D1818" t="s">
        <v>6145</v>
      </c>
      <c r="E1818" t="s">
        <v>14</v>
      </c>
      <c r="F1818" t="s">
        <v>15</v>
      </c>
      <c r="G1818">
        <v>15224</v>
      </c>
      <c r="H1818" t="s">
        <v>48</v>
      </c>
      <c r="I1818">
        <v>126</v>
      </c>
      <c r="J1818">
        <v>1</v>
      </c>
      <c r="K1818" t="s">
        <v>8131</v>
      </c>
    </row>
    <row r="1819" spans="1:11" x14ac:dyDescent="0.25">
      <c r="A1819" t="s">
        <v>6146</v>
      </c>
      <c r="B1819" t="s">
        <v>6147</v>
      </c>
      <c r="C1819" t="s">
        <v>6148</v>
      </c>
      <c r="D1819" t="s">
        <v>662</v>
      </c>
      <c r="E1819" t="s">
        <v>14</v>
      </c>
      <c r="F1819" t="s">
        <v>15</v>
      </c>
      <c r="G1819">
        <v>15231</v>
      </c>
      <c r="H1819" t="s">
        <v>34</v>
      </c>
      <c r="I1819">
        <v>98</v>
      </c>
      <c r="J1819">
        <v>1</v>
      </c>
      <c r="K1819" t="s">
        <v>8131</v>
      </c>
    </row>
    <row r="1820" spans="1:11" x14ac:dyDescent="0.25">
      <c r="A1820" t="s">
        <v>6149</v>
      </c>
      <c r="B1820" t="s">
        <v>6150</v>
      </c>
      <c r="C1820" t="s">
        <v>6151</v>
      </c>
      <c r="D1820" t="s">
        <v>6152</v>
      </c>
      <c r="E1820" t="s">
        <v>14</v>
      </c>
      <c r="F1820" t="s">
        <v>15</v>
      </c>
      <c r="G1820">
        <v>15235</v>
      </c>
      <c r="H1820" t="s">
        <v>92</v>
      </c>
      <c r="I1820">
        <v>7</v>
      </c>
      <c r="J1820">
        <v>1</v>
      </c>
      <c r="K1820" t="s">
        <v>8131</v>
      </c>
    </row>
    <row r="1821" spans="1:11" x14ac:dyDescent="0.25">
      <c r="A1821" t="s">
        <v>6153</v>
      </c>
      <c r="B1821" t="s">
        <v>239</v>
      </c>
      <c r="C1821" t="s">
        <v>6154</v>
      </c>
      <c r="D1821" t="s">
        <v>6155</v>
      </c>
      <c r="E1821" t="s">
        <v>14</v>
      </c>
      <c r="F1821" t="s">
        <v>15</v>
      </c>
      <c r="G1821">
        <v>15234</v>
      </c>
      <c r="H1821" t="s">
        <v>43</v>
      </c>
      <c r="I1821">
        <v>20</v>
      </c>
      <c r="J1821">
        <v>1</v>
      </c>
      <c r="K1821" t="s">
        <v>8131</v>
      </c>
    </row>
    <row r="1822" spans="1:11" x14ac:dyDescent="0.25">
      <c r="A1822" t="s">
        <v>6156</v>
      </c>
      <c r="B1822" t="s">
        <v>6157</v>
      </c>
      <c r="C1822" t="s">
        <v>6158</v>
      </c>
      <c r="D1822" t="s">
        <v>6159</v>
      </c>
      <c r="E1822" t="s">
        <v>14</v>
      </c>
      <c r="F1822" t="s">
        <v>15</v>
      </c>
      <c r="G1822">
        <v>15224</v>
      </c>
      <c r="H1822" t="s">
        <v>16</v>
      </c>
      <c r="I1822">
        <v>159</v>
      </c>
      <c r="J1822">
        <v>1</v>
      </c>
      <c r="K1822" t="s">
        <v>8131</v>
      </c>
    </row>
    <row r="1823" spans="1:11" x14ac:dyDescent="0.25">
      <c r="A1823" t="s">
        <v>6160</v>
      </c>
      <c r="B1823" t="s">
        <v>6161</v>
      </c>
      <c r="C1823" t="s">
        <v>6162</v>
      </c>
      <c r="D1823" t="s">
        <v>6163</v>
      </c>
      <c r="E1823" t="s">
        <v>14</v>
      </c>
      <c r="F1823" t="s">
        <v>15</v>
      </c>
      <c r="G1823">
        <v>15232</v>
      </c>
      <c r="H1823" t="s">
        <v>48</v>
      </c>
      <c r="I1823">
        <v>111</v>
      </c>
      <c r="J1823">
        <v>1</v>
      </c>
      <c r="K1823" t="s">
        <v>8131</v>
      </c>
    </row>
    <row r="1824" spans="1:11" x14ac:dyDescent="0.25">
      <c r="A1824" t="s">
        <v>6164</v>
      </c>
      <c r="B1824" t="s">
        <v>6165</v>
      </c>
      <c r="C1824" t="s">
        <v>6166</v>
      </c>
      <c r="D1824" t="s">
        <v>3380</v>
      </c>
      <c r="E1824" t="s">
        <v>14</v>
      </c>
      <c r="F1824" t="s">
        <v>15</v>
      </c>
      <c r="G1824">
        <v>15275</v>
      </c>
      <c r="H1824" t="s">
        <v>48</v>
      </c>
      <c r="I1824">
        <v>77</v>
      </c>
      <c r="J1824">
        <v>1</v>
      </c>
      <c r="K1824" t="s">
        <v>8131</v>
      </c>
    </row>
    <row r="1825" spans="1:11" x14ac:dyDescent="0.25">
      <c r="A1825" t="s">
        <v>6167</v>
      </c>
      <c r="B1825" t="s">
        <v>6168</v>
      </c>
      <c r="C1825" t="s">
        <v>6169</v>
      </c>
      <c r="D1825" t="s">
        <v>6170</v>
      </c>
      <c r="E1825" t="s">
        <v>14</v>
      </c>
      <c r="F1825" t="s">
        <v>15</v>
      </c>
      <c r="G1825">
        <v>15212</v>
      </c>
      <c r="H1825" t="s">
        <v>48</v>
      </c>
      <c r="I1825">
        <v>5</v>
      </c>
      <c r="J1825">
        <v>0</v>
      </c>
      <c r="K1825" t="s">
        <v>8131</v>
      </c>
    </row>
    <row r="1826" spans="1:11" x14ac:dyDescent="0.25">
      <c r="A1826" t="s">
        <v>6171</v>
      </c>
      <c r="B1826" t="s">
        <v>6172</v>
      </c>
      <c r="C1826" t="s">
        <v>6173</v>
      </c>
      <c r="D1826" t="s">
        <v>6174</v>
      </c>
      <c r="E1826" t="s">
        <v>14</v>
      </c>
      <c r="F1826" t="s">
        <v>15</v>
      </c>
      <c r="G1826">
        <v>15212</v>
      </c>
      <c r="H1826" t="s">
        <v>16</v>
      </c>
      <c r="I1826">
        <v>72</v>
      </c>
      <c r="J1826">
        <v>1</v>
      </c>
      <c r="K1826" t="s">
        <v>8131</v>
      </c>
    </row>
    <row r="1827" spans="1:11" x14ac:dyDescent="0.25">
      <c r="A1827" t="s">
        <v>6175</v>
      </c>
      <c r="B1827" t="s">
        <v>6176</v>
      </c>
      <c r="C1827" t="s">
        <v>2490</v>
      </c>
      <c r="D1827" t="s">
        <v>1291</v>
      </c>
      <c r="E1827" t="s">
        <v>14</v>
      </c>
      <c r="F1827" t="s">
        <v>15</v>
      </c>
      <c r="G1827">
        <v>15235</v>
      </c>
      <c r="H1827" t="s">
        <v>48</v>
      </c>
      <c r="I1827">
        <v>28</v>
      </c>
      <c r="J1827">
        <v>1</v>
      </c>
      <c r="K1827" t="s">
        <v>8131</v>
      </c>
    </row>
    <row r="1828" spans="1:11" x14ac:dyDescent="0.25">
      <c r="A1828" t="s">
        <v>6177</v>
      </c>
      <c r="B1828" t="s">
        <v>6178</v>
      </c>
      <c r="C1828" t="s">
        <v>6179</v>
      </c>
      <c r="D1828" t="s">
        <v>1401</v>
      </c>
      <c r="E1828" t="s">
        <v>14</v>
      </c>
      <c r="F1828" t="s">
        <v>15</v>
      </c>
      <c r="G1828">
        <v>15217</v>
      </c>
      <c r="H1828" t="s">
        <v>34</v>
      </c>
      <c r="I1828">
        <v>3</v>
      </c>
      <c r="J1828">
        <v>1</v>
      </c>
      <c r="K1828" t="s">
        <v>8131</v>
      </c>
    </row>
    <row r="1829" spans="1:11" x14ac:dyDescent="0.25">
      <c r="A1829" t="s">
        <v>6180</v>
      </c>
      <c r="B1829" t="s">
        <v>6181</v>
      </c>
      <c r="C1829" t="s">
        <v>6182</v>
      </c>
      <c r="D1829" t="s">
        <v>133</v>
      </c>
      <c r="E1829" t="s">
        <v>14</v>
      </c>
      <c r="F1829" t="s">
        <v>15</v>
      </c>
      <c r="G1829">
        <v>15213</v>
      </c>
      <c r="H1829" t="s">
        <v>113</v>
      </c>
      <c r="I1829">
        <v>204</v>
      </c>
      <c r="J1829">
        <v>1</v>
      </c>
      <c r="K1829" t="s">
        <v>8131</v>
      </c>
    </row>
    <row r="1830" spans="1:11" x14ac:dyDescent="0.25">
      <c r="A1830" t="s">
        <v>6183</v>
      </c>
      <c r="B1830" t="s">
        <v>6184</v>
      </c>
      <c r="C1830" t="s">
        <v>6185</v>
      </c>
      <c r="D1830" t="s">
        <v>6186</v>
      </c>
      <c r="E1830" t="s">
        <v>14</v>
      </c>
      <c r="F1830" t="s">
        <v>15</v>
      </c>
      <c r="G1830">
        <v>15239</v>
      </c>
      <c r="H1830" t="s">
        <v>16</v>
      </c>
      <c r="I1830">
        <v>96</v>
      </c>
      <c r="J1830">
        <v>1</v>
      </c>
      <c r="K1830" t="s">
        <v>8131</v>
      </c>
    </row>
    <row r="1831" spans="1:11" x14ac:dyDescent="0.25">
      <c r="A1831" t="s">
        <v>6187</v>
      </c>
      <c r="B1831" t="s">
        <v>36</v>
      </c>
      <c r="C1831" t="s">
        <v>6188</v>
      </c>
      <c r="D1831" t="s">
        <v>6189</v>
      </c>
      <c r="E1831" t="s">
        <v>14</v>
      </c>
      <c r="F1831" t="s">
        <v>15</v>
      </c>
      <c r="G1831">
        <v>15120</v>
      </c>
      <c r="H1831" t="s">
        <v>16</v>
      </c>
      <c r="I1831">
        <v>5</v>
      </c>
      <c r="J1831">
        <v>1</v>
      </c>
      <c r="K1831" t="s">
        <v>8131</v>
      </c>
    </row>
    <row r="1832" spans="1:11" x14ac:dyDescent="0.25">
      <c r="A1832" t="s">
        <v>6190</v>
      </c>
      <c r="B1832" t="s">
        <v>6191</v>
      </c>
      <c r="C1832" t="s">
        <v>6192</v>
      </c>
      <c r="D1832" t="s">
        <v>5470</v>
      </c>
      <c r="E1832" t="s">
        <v>14</v>
      </c>
      <c r="F1832" t="s">
        <v>15</v>
      </c>
      <c r="G1832">
        <v>15203</v>
      </c>
      <c r="H1832" t="s">
        <v>21</v>
      </c>
      <c r="I1832">
        <v>92</v>
      </c>
      <c r="J1832">
        <v>1</v>
      </c>
      <c r="K1832" t="s">
        <v>8131</v>
      </c>
    </row>
    <row r="1833" spans="1:11" x14ac:dyDescent="0.25">
      <c r="A1833" t="s">
        <v>6193</v>
      </c>
      <c r="B1833" t="s">
        <v>6194</v>
      </c>
      <c r="C1833" t="s">
        <v>6195</v>
      </c>
      <c r="D1833" t="s">
        <v>6196</v>
      </c>
      <c r="E1833" t="s">
        <v>14</v>
      </c>
      <c r="F1833" t="s">
        <v>15</v>
      </c>
      <c r="G1833">
        <v>15201</v>
      </c>
      <c r="H1833" t="s">
        <v>48</v>
      </c>
      <c r="I1833">
        <v>55</v>
      </c>
      <c r="J1833">
        <v>1</v>
      </c>
      <c r="K1833" t="s">
        <v>8131</v>
      </c>
    </row>
    <row r="1834" spans="1:11" x14ac:dyDescent="0.25">
      <c r="A1834" t="s">
        <v>6197</v>
      </c>
      <c r="B1834" t="s">
        <v>6198</v>
      </c>
      <c r="C1834" t="s">
        <v>6199</v>
      </c>
      <c r="D1834" t="s">
        <v>6200</v>
      </c>
      <c r="E1834" t="s">
        <v>14</v>
      </c>
      <c r="F1834" t="s">
        <v>15</v>
      </c>
      <c r="G1834">
        <v>15228</v>
      </c>
      <c r="H1834" t="s">
        <v>16</v>
      </c>
      <c r="I1834">
        <v>54</v>
      </c>
      <c r="J1834">
        <v>1</v>
      </c>
      <c r="K1834" t="s">
        <v>8131</v>
      </c>
    </row>
    <row r="1835" spans="1:11" x14ac:dyDescent="0.25">
      <c r="A1835" t="s">
        <v>6201</v>
      </c>
      <c r="B1835" t="s">
        <v>586</v>
      </c>
      <c r="C1835" t="s">
        <v>6202</v>
      </c>
      <c r="D1835" t="s">
        <v>2202</v>
      </c>
      <c r="E1835" t="s">
        <v>14</v>
      </c>
      <c r="F1835" t="s">
        <v>15</v>
      </c>
      <c r="G1835">
        <v>15203</v>
      </c>
      <c r="H1835" t="s">
        <v>16</v>
      </c>
      <c r="I1835">
        <v>39</v>
      </c>
      <c r="J1835">
        <v>0</v>
      </c>
      <c r="K1835" t="s">
        <v>8131</v>
      </c>
    </row>
    <row r="1836" spans="1:11" x14ac:dyDescent="0.25">
      <c r="A1836" t="s">
        <v>6203</v>
      </c>
      <c r="B1836" t="s">
        <v>6204</v>
      </c>
      <c r="C1836" t="s">
        <v>6205</v>
      </c>
      <c r="D1836" t="s">
        <v>379</v>
      </c>
      <c r="E1836" t="s">
        <v>14</v>
      </c>
      <c r="F1836" t="s">
        <v>15</v>
      </c>
      <c r="G1836">
        <v>15217</v>
      </c>
      <c r="H1836" t="s">
        <v>16</v>
      </c>
      <c r="I1836">
        <v>102</v>
      </c>
      <c r="J1836">
        <v>1</v>
      </c>
      <c r="K1836" t="s">
        <v>8131</v>
      </c>
    </row>
    <row r="1837" spans="1:11" x14ac:dyDescent="0.25">
      <c r="A1837" t="s">
        <v>6206</v>
      </c>
      <c r="B1837" t="s">
        <v>6207</v>
      </c>
      <c r="C1837" t="s">
        <v>6208</v>
      </c>
      <c r="D1837" t="s">
        <v>6209</v>
      </c>
      <c r="E1837" t="s">
        <v>14</v>
      </c>
      <c r="F1837" t="s">
        <v>15</v>
      </c>
      <c r="G1837">
        <v>15203</v>
      </c>
      <c r="H1837" t="s">
        <v>21</v>
      </c>
      <c r="I1837">
        <v>47</v>
      </c>
      <c r="J1837">
        <v>1</v>
      </c>
      <c r="K1837" t="s">
        <v>8131</v>
      </c>
    </row>
    <row r="1838" spans="1:11" x14ac:dyDescent="0.25">
      <c r="A1838" t="s">
        <v>6210</v>
      </c>
      <c r="B1838" t="s">
        <v>274</v>
      </c>
      <c r="C1838" t="s">
        <v>6211</v>
      </c>
      <c r="D1838" t="s">
        <v>6212</v>
      </c>
      <c r="E1838" t="s">
        <v>14</v>
      </c>
      <c r="F1838" t="s">
        <v>15</v>
      </c>
      <c r="G1838">
        <v>15218</v>
      </c>
      <c r="H1838" t="s">
        <v>34</v>
      </c>
      <c r="I1838">
        <v>14</v>
      </c>
      <c r="J1838">
        <v>1</v>
      </c>
      <c r="K1838" t="s">
        <v>8131</v>
      </c>
    </row>
    <row r="1839" spans="1:11" x14ac:dyDescent="0.25">
      <c r="A1839" t="s">
        <v>6213</v>
      </c>
      <c r="B1839" t="s">
        <v>6214</v>
      </c>
      <c r="C1839" t="s">
        <v>6215</v>
      </c>
      <c r="D1839" t="s">
        <v>6216</v>
      </c>
      <c r="E1839" t="s">
        <v>14</v>
      </c>
      <c r="F1839" t="s">
        <v>15</v>
      </c>
      <c r="G1839">
        <v>15203</v>
      </c>
      <c r="H1839" t="s">
        <v>113</v>
      </c>
      <c r="I1839">
        <v>27</v>
      </c>
      <c r="J1839">
        <v>1</v>
      </c>
      <c r="K1839" t="s">
        <v>8131</v>
      </c>
    </row>
    <row r="1840" spans="1:11" x14ac:dyDescent="0.25">
      <c r="A1840" t="s">
        <v>6217</v>
      </c>
      <c r="B1840" t="s">
        <v>6218</v>
      </c>
      <c r="C1840" t="s">
        <v>2044</v>
      </c>
      <c r="D1840" t="s">
        <v>6219</v>
      </c>
      <c r="E1840" t="s">
        <v>14</v>
      </c>
      <c r="F1840" t="s">
        <v>15</v>
      </c>
      <c r="G1840">
        <v>15235</v>
      </c>
      <c r="H1840" t="s">
        <v>43</v>
      </c>
      <c r="I1840">
        <v>12</v>
      </c>
      <c r="J1840">
        <v>1</v>
      </c>
      <c r="K1840" t="s">
        <v>8131</v>
      </c>
    </row>
    <row r="1841" spans="1:11" x14ac:dyDescent="0.25">
      <c r="A1841" t="s">
        <v>6220</v>
      </c>
      <c r="B1841" t="s">
        <v>6221</v>
      </c>
      <c r="C1841" t="s">
        <v>6222</v>
      </c>
      <c r="D1841" t="s">
        <v>6223</v>
      </c>
      <c r="E1841" t="s">
        <v>14</v>
      </c>
      <c r="F1841" t="s">
        <v>15</v>
      </c>
      <c r="G1841">
        <v>15212</v>
      </c>
      <c r="H1841" t="s">
        <v>21</v>
      </c>
      <c r="I1841">
        <v>30</v>
      </c>
      <c r="J1841">
        <v>1</v>
      </c>
      <c r="K1841" t="s">
        <v>8131</v>
      </c>
    </row>
    <row r="1842" spans="1:11" x14ac:dyDescent="0.25">
      <c r="A1842" t="s">
        <v>6224</v>
      </c>
      <c r="B1842" t="s">
        <v>6225</v>
      </c>
      <c r="C1842" t="s">
        <v>6226</v>
      </c>
      <c r="D1842" t="s">
        <v>2062</v>
      </c>
      <c r="E1842" t="s">
        <v>14</v>
      </c>
      <c r="F1842" t="s">
        <v>15</v>
      </c>
      <c r="G1842">
        <v>15222</v>
      </c>
      <c r="H1842" t="s">
        <v>34</v>
      </c>
      <c r="I1842">
        <v>152</v>
      </c>
      <c r="J1842">
        <v>1</v>
      </c>
      <c r="K1842" t="s">
        <v>8131</v>
      </c>
    </row>
    <row r="1843" spans="1:11" x14ac:dyDescent="0.25">
      <c r="A1843" t="s">
        <v>6227</v>
      </c>
      <c r="B1843" t="s">
        <v>6228</v>
      </c>
      <c r="C1843" t="s">
        <v>6229</v>
      </c>
      <c r="D1843" t="s">
        <v>6230</v>
      </c>
      <c r="E1843" t="s">
        <v>14</v>
      </c>
      <c r="F1843" t="s">
        <v>15</v>
      </c>
      <c r="G1843">
        <v>15213</v>
      </c>
      <c r="H1843" t="s">
        <v>16</v>
      </c>
      <c r="I1843">
        <v>20</v>
      </c>
      <c r="J1843">
        <v>1</v>
      </c>
      <c r="K1843" t="s">
        <v>8131</v>
      </c>
    </row>
    <row r="1844" spans="1:11" x14ac:dyDescent="0.25">
      <c r="A1844" t="s">
        <v>6231</v>
      </c>
      <c r="B1844" t="s">
        <v>6232</v>
      </c>
      <c r="C1844" t="s">
        <v>244</v>
      </c>
      <c r="D1844" t="s">
        <v>6233</v>
      </c>
      <c r="E1844" t="s">
        <v>14</v>
      </c>
      <c r="F1844" t="s">
        <v>15</v>
      </c>
      <c r="G1844">
        <v>15213</v>
      </c>
      <c r="H1844" t="s">
        <v>43</v>
      </c>
      <c r="I1844">
        <v>3</v>
      </c>
      <c r="J1844">
        <v>1</v>
      </c>
      <c r="K1844" t="s">
        <v>8131</v>
      </c>
    </row>
    <row r="1845" spans="1:11" x14ac:dyDescent="0.25">
      <c r="A1845" t="s">
        <v>6234</v>
      </c>
      <c r="B1845" t="s">
        <v>5110</v>
      </c>
      <c r="C1845" t="s">
        <v>6235</v>
      </c>
      <c r="D1845" t="s">
        <v>2375</v>
      </c>
      <c r="E1845" t="s">
        <v>14</v>
      </c>
      <c r="F1845" t="s">
        <v>15</v>
      </c>
      <c r="G1845">
        <v>15222</v>
      </c>
      <c r="H1845" t="s">
        <v>43</v>
      </c>
      <c r="I1845">
        <v>4</v>
      </c>
      <c r="J1845">
        <v>0</v>
      </c>
      <c r="K1845" t="s">
        <v>8131</v>
      </c>
    </row>
    <row r="1846" spans="1:11" x14ac:dyDescent="0.25">
      <c r="A1846" t="s">
        <v>6236</v>
      </c>
      <c r="B1846" t="s">
        <v>6237</v>
      </c>
      <c r="C1846" t="s">
        <v>6238</v>
      </c>
      <c r="D1846" t="s">
        <v>3091</v>
      </c>
      <c r="E1846" t="s">
        <v>14</v>
      </c>
      <c r="F1846" t="s">
        <v>15</v>
      </c>
      <c r="G1846">
        <v>15224</v>
      </c>
      <c r="H1846" t="s">
        <v>16</v>
      </c>
      <c r="I1846">
        <v>187</v>
      </c>
      <c r="J1846">
        <v>1</v>
      </c>
      <c r="K1846" t="s">
        <v>8131</v>
      </c>
    </row>
    <row r="1847" spans="1:11" x14ac:dyDescent="0.25">
      <c r="A1847" t="s">
        <v>6239</v>
      </c>
      <c r="B1847" t="s">
        <v>6240</v>
      </c>
      <c r="C1847" t="s">
        <v>366</v>
      </c>
      <c r="D1847" t="s">
        <v>6241</v>
      </c>
      <c r="E1847" t="s">
        <v>14</v>
      </c>
      <c r="F1847" t="s">
        <v>15</v>
      </c>
      <c r="G1847">
        <v>15213</v>
      </c>
      <c r="H1847" t="s">
        <v>16</v>
      </c>
      <c r="I1847">
        <v>30</v>
      </c>
      <c r="J1847">
        <v>1</v>
      </c>
      <c r="K1847" t="s">
        <v>8131</v>
      </c>
    </row>
    <row r="1848" spans="1:11" x14ac:dyDescent="0.25">
      <c r="A1848" t="s">
        <v>6242</v>
      </c>
      <c r="B1848" t="s">
        <v>6243</v>
      </c>
      <c r="C1848" t="s">
        <v>6244</v>
      </c>
      <c r="D1848" t="s">
        <v>6245</v>
      </c>
      <c r="E1848" t="s">
        <v>14</v>
      </c>
      <c r="F1848" t="s">
        <v>15</v>
      </c>
      <c r="G1848">
        <v>15222</v>
      </c>
      <c r="H1848" t="s">
        <v>48</v>
      </c>
      <c r="I1848">
        <v>138</v>
      </c>
      <c r="J1848">
        <v>1</v>
      </c>
      <c r="K1848" t="s">
        <v>8131</v>
      </c>
    </row>
    <row r="1849" spans="1:11" x14ac:dyDescent="0.25">
      <c r="A1849" t="s">
        <v>6246</v>
      </c>
      <c r="B1849" t="s">
        <v>6247</v>
      </c>
      <c r="C1849" t="s">
        <v>6248</v>
      </c>
      <c r="D1849" t="s">
        <v>6249</v>
      </c>
      <c r="E1849" t="s">
        <v>14</v>
      </c>
      <c r="F1849" t="s">
        <v>15</v>
      </c>
      <c r="G1849">
        <v>15213</v>
      </c>
      <c r="H1849" t="s">
        <v>43</v>
      </c>
      <c r="I1849">
        <v>11</v>
      </c>
      <c r="J1849">
        <v>0</v>
      </c>
      <c r="K1849" t="s">
        <v>8131</v>
      </c>
    </row>
    <row r="1850" spans="1:11" x14ac:dyDescent="0.25">
      <c r="A1850" t="s">
        <v>6250</v>
      </c>
      <c r="B1850" t="s">
        <v>319</v>
      </c>
      <c r="C1850" t="s">
        <v>6251</v>
      </c>
      <c r="D1850" t="s">
        <v>602</v>
      </c>
      <c r="E1850" t="s">
        <v>14</v>
      </c>
      <c r="F1850" t="s">
        <v>15</v>
      </c>
      <c r="G1850">
        <v>15232</v>
      </c>
      <c r="H1850" t="s">
        <v>48</v>
      </c>
      <c r="I1850">
        <v>45</v>
      </c>
      <c r="J1850">
        <v>0</v>
      </c>
      <c r="K1850" t="s">
        <v>8131</v>
      </c>
    </row>
    <row r="1851" spans="1:11" x14ac:dyDescent="0.25">
      <c r="A1851" t="s">
        <v>6252</v>
      </c>
      <c r="B1851" t="s">
        <v>6253</v>
      </c>
      <c r="C1851" t="s">
        <v>6254</v>
      </c>
      <c r="D1851" t="s">
        <v>6255</v>
      </c>
      <c r="E1851" t="s">
        <v>14</v>
      </c>
      <c r="F1851" t="s">
        <v>15</v>
      </c>
      <c r="G1851">
        <v>15222</v>
      </c>
      <c r="H1851" t="s">
        <v>48</v>
      </c>
      <c r="I1851">
        <v>44</v>
      </c>
      <c r="J1851">
        <v>0</v>
      </c>
      <c r="K1851" t="s">
        <v>8131</v>
      </c>
    </row>
    <row r="1852" spans="1:11" x14ac:dyDescent="0.25">
      <c r="A1852" t="s">
        <v>6256</v>
      </c>
      <c r="B1852" t="s">
        <v>1881</v>
      </c>
      <c r="C1852" t="s">
        <v>6257</v>
      </c>
      <c r="D1852" t="s">
        <v>6258</v>
      </c>
      <c r="E1852" t="s">
        <v>14</v>
      </c>
      <c r="F1852" t="s">
        <v>15</v>
      </c>
      <c r="G1852">
        <v>15205</v>
      </c>
      <c r="H1852" t="s">
        <v>34</v>
      </c>
      <c r="I1852">
        <v>4</v>
      </c>
      <c r="J1852">
        <v>0</v>
      </c>
      <c r="K1852" t="s">
        <v>8131</v>
      </c>
    </row>
    <row r="1853" spans="1:11" x14ac:dyDescent="0.25">
      <c r="A1853" t="s">
        <v>6259</v>
      </c>
      <c r="B1853" t="s">
        <v>2443</v>
      </c>
      <c r="C1853" t="s">
        <v>6260</v>
      </c>
      <c r="D1853" t="s">
        <v>6261</v>
      </c>
      <c r="E1853" t="s">
        <v>14</v>
      </c>
      <c r="F1853" t="s">
        <v>15</v>
      </c>
      <c r="G1853">
        <v>15219</v>
      </c>
      <c r="H1853" t="s">
        <v>43</v>
      </c>
      <c r="I1853">
        <v>9</v>
      </c>
      <c r="J1853">
        <v>0</v>
      </c>
      <c r="K1853" t="s">
        <v>8131</v>
      </c>
    </row>
    <row r="1854" spans="1:11" x14ac:dyDescent="0.25">
      <c r="A1854" t="s">
        <v>6262</v>
      </c>
      <c r="B1854" t="s">
        <v>239</v>
      </c>
      <c r="C1854" t="s">
        <v>6263</v>
      </c>
      <c r="D1854" t="s">
        <v>148</v>
      </c>
      <c r="E1854" t="s">
        <v>14</v>
      </c>
      <c r="F1854" t="s">
        <v>15</v>
      </c>
      <c r="G1854">
        <v>15206</v>
      </c>
      <c r="H1854" t="s">
        <v>48</v>
      </c>
      <c r="I1854">
        <v>271</v>
      </c>
      <c r="J1854">
        <v>0</v>
      </c>
      <c r="K1854" t="s">
        <v>8131</v>
      </c>
    </row>
    <row r="1855" spans="1:11" x14ac:dyDescent="0.25">
      <c r="A1855" t="s">
        <v>6264</v>
      </c>
      <c r="B1855" t="s">
        <v>6265</v>
      </c>
      <c r="C1855" t="s">
        <v>6266</v>
      </c>
      <c r="D1855" t="s">
        <v>6267</v>
      </c>
      <c r="E1855" t="s">
        <v>14</v>
      </c>
      <c r="F1855" t="s">
        <v>15</v>
      </c>
      <c r="G1855">
        <v>15211</v>
      </c>
      <c r="H1855" t="s">
        <v>16</v>
      </c>
      <c r="I1855">
        <v>334</v>
      </c>
      <c r="J1855">
        <v>1</v>
      </c>
      <c r="K1855" t="s">
        <v>8131</v>
      </c>
    </row>
    <row r="1856" spans="1:11" x14ac:dyDescent="0.25">
      <c r="A1856" t="s">
        <v>6268</v>
      </c>
      <c r="B1856" t="s">
        <v>36</v>
      </c>
      <c r="C1856" t="s">
        <v>6269</v>
      </c>
      <c r="D1856" t="s">
        <v>6270</v>
      </c>
      <c r="E1856" t="s">
        <v>14</v>
      </c>
      <c r="F1856" t="s">
        <v>15</v>
      </c>
      <c r="G1856">
        <v>15203</v>
      </c>
      <c r="H1856" t="s">
        <v>34</v>
      </c>
      <c r="I1856">
        <v>11</v>
      </c>
      <c r="J1856">
        <v>1</v>
      </c>
      <c r="K1856" t="s">
        <v>8131</v>
      </c>
    </row>
    <row r="1857" spans="1:11" x14ac:dyDescent="0.25">
      <c r="A1857" t="s">
        <v>6271</v>
      </c>
      <c r="B1857" t="s">
        <v>1839</v>
      </c>
      <c r="C1857" t="s">
        <v>6272</v>
      </c>
      <c r="D1857" t="s">
        <v>6273</v>
      </c>
      <c r="E1857" t="s">
        <v>14</v>
      </c>
      <c r="F1857" t="s">
        <v>15</v>
      </c>
      <c r="G1857">
        <v>15234</v>
      </c>
      <c r="H1857" t="s">
        <v>16</v>
      </c>
      <c r="I1857">
        <v>146</v>
      </c>
      <c r="J1857">
        <v>1</v>
      </c>
      <c r="K1857" t="s">
        <v>8131</v>
      </c>
    </row>
    <row r="1858" spans="1:11" x14ac:dyDescent="0.25">
      <c r="A1858" t="s">
        <v>6274</v>
      </c>
      <c r="B1858" t="s">
        <v>5725</v>
      </c>
      <c r="C1858" t="s">
        <v>6275</v>
      </c>
      <c r="D1858" t="s">
        <v>6276</v>
      </c>
      <c r="E1858" t="s">
        <v>14</v>
      </c>
      <c r="F1858" t="s">
        <v>15</v>
      </c>
      <c r="G1858">
        <v>15222</v>
      </c>
      <c r="H1858" t="s">
        <v>48</v>
      </c>
      <c r="I1858">
        <v>24</v>
      </c>
      <c r="J1858">
        <v>1</v>
      </c>
      <c r="K1858" t="s">
        <v>8131</v>
      </c>
    </row>
    <row r="1859" spans="1:11" x14ac:dyDescent="0.25">
      <c r="A1859" t="s">
        <v>6277</v>
      </c>
      <c r="B1859" t="s">
        <v>6278</v>
      </c>
      <c r="C1859" t="s">
        <v>3316</v>
      </c>
      <c r="D1859" t="s">
        <v>6279</v>
      </c>
      <c r="E1859" t="s">
        <v>14</v>
      </c>
      <c r="F1859" t="s">
        <v>15</v>
      </c>
      <c r="G1859">
        <v>15205</v>
      </c>
      <c r="H1859" t="s">
        <v>34</v>
      </c>
      <c r="I1859">
        <v>18</v>
      </c>
      <c r="J1859">
        <v>1</v>
      </c>
      <c r="K1859" t="s">
        <v>8131</v>
      </c>
    </row>
    <row r="1860" spans="1:11" x14ac:dyDescent="0.25">
      <c r="A1860" t="s">
        <v>6280</v>
      </c>
      <c r="B1860" t="s">
        <v>6281</v>
      </c>
      <c r="C1860" t="s">
        <v>6282</v>
      </c>
      <c r="D1860" t="s">
        <v>6283</v>
      </c>
      <c r="E1860" t="s">
        <v>14</v>
      </c>
      <c r="F1860" t="s">
        <v>15</v>
      </c>
      <c r="G1860">
        <v>15224</v>
      </c>
      <c r="H1860" t="s">
        <v>21</v>
      </c>
      <c r="I1860">
        <v>30</v>
      </c>
      <c r="J1860">
        <v>1</v>
      </c>
      <c r="K1860" t="s">
        <v>8131</v>
      </c>
    </row>
    <row r="1861" spans="1:11" x14ac:dyDescent="0.25">
      <c r="A1861" t="s">
        <v>6284</v>
      </c>
      <c r="B1861" t="s">
        <v>6285</v>
      </c>
      <c r="C1861" t="s">
        <v>479</v>
      </c>
      <c r="D1861" t="s">
        <v>6286</v>
      </c>
      <c r="E1861" t="s">
        <v>14</v>
      </c>
      <c r="F1861" t="s">
        <v>15</v>
      </c>
      <c r="G1861">
        <v>15222</v>
      </c>
      <c r="H1861" t="s">
        <v>113</v>
      </c>
      <c r="I1861">
        <v>33</v>
      </c>
      <c r="J1861">
        <v>1</v>
      </c>
      <c r="K1861" t="s">
        <v>8131</v>
      </c>
    </row>
    <row r="1862" spans="1:11" x14ac:dyDescent="0.25">
      <c r="A1862" t="s">
        <v>6287</v>
      </c>
      <c r="B1862" t="s">
        <v>6288</v>
      </c>
      <c r="C1862" t="s">
        <v>6289</v>
      </c>
      <c r="D1862" t="s">
        <v>6290</v>
      </c>
      <c r="E1862" t="s">
        <v>14</v>
      </c>
      <c r="F1862" t="s">
        <v>15</v>
      </c>
      <c r="G1862">
        <v>15241</v>
      </c>
      <c r="H1862" t="s">
        <v>16</v>
      </c>
      <c r="I1862">
        <v>63</v>
      </c>
      <c r="J1862">
        <v>1</v>
      </c>
      <c r="K1862" t="s">
        <v>8131</v>
      </c>
    </row>
    <row r="1863" spans="1:11" x14ac:dyDescent="0.25">
      <c r="A1863" t="s">
        <v>6291</v>
      </c>
      <c r="B1863" t="s">
        <v>282</v>
      </c>
      <c r="C1863" t="s">
        <v>6292</v>
      </c>
      <c r="D1863" t="s">
        <v>6293</v>
      </c>
      <c r="E1863" t="s">
        <v>14</v>
      </c>
      <c r="F1863" t="s">
        <v>15</v>
      </c>
      <c r="G1863">
        <v>15211</v>
      </c>
      <c r="H1863" t="s">
        <v>113</v>
      </c>
      <c r="I1863">
        <v>9</v>
      </c>
      <c r="J1863">
        <v>0</v>
      </c>
      <c r="K1863" t="s">
        <v>8131</v>
      </c>
    </row>
    <row r="1864" spans="1:11" x14ac:dyDescent="0.25">
      <c r="A1864" t="s">
        <v>6294</v>
      </c>
      <c r="B1864" t="s">
        <v>6295</v>
      </c>
      <c r="C1864" t="s">
        <v>5556</v>
      </c>
      <c r="D1864" t="s">
        <v>6296</v>
      </c>
      <c r="E1864" t="s">
        <v>14</v>
      </c>
      <c r="F1864" t="s">
        <v>15</v>
      </c>
      <c r="G1864">
        <v>15236</v>
      </c>
      <c r="H1864" t="s">
        <v>16</v>
      </c>
      <c r="I1864">
        <v>81</v>
      </c>
      <c r="J1864">
        <v>1</v>
      </c>
      <c r="K1864" t="s">
        <v>8131</v>
      </c>
    </row>
    <row r="1865" spans="1:11" x14ac:dyDescent="0.25">
      <c r="A1865" t="s">
        <v>6297</v>
      </c>
      <c r="B1865" t="s">
        <v>6298</v>
      </c>
      <c r="C1865" t="s">
        <v>6299</v>
      </c>
      <c r="E1865" t="s">
        <v>14</v>
      </c>
      <c r="F1865" t="s">
        <v>15</v>
      </c>
      <c r="G1865">
        <v>15233</v>
      </c>
      <c r="H1865" t="s">
        <v>21</v>
      </c>
      <c r="I1865">
        <v>3</v>
      </c>
      <c r="J1865">
        <v>1</v>
      </c>
      <c r="K1865" t="s">
        <v>8131</v>
      </c>
    </row>
    <row r="1866" spans="1:11" x14ac:dyDescent="0.25">
      <c r="A1866" t="s">
        <v>6300</v>
      </c>
      <c r="B1866" t="s">
        <v>65</v>
      </c>
      <c r="C1866" t="s">
        <v>4429</v>
      </c>
      <c r="D1866" t="s">
        <v>6301</v>
      </c>
      <c r="E1866" t="s">
        <v>14</v>
      </c>
      <c r="F1866" t="s">
        <v>15</v>
      </c>
      <c r="G1866">
        <v>15236</v>
      </c>
      <c r="H1866" t="s">
        <v>43</v>
      </c>
      <c r="I1866">
        <v>3</v>
      </c>
      <c r="J1866">
        <v>1</v>
      </c>
      <c r="K1866" t="s">
        <v>8131</v>
      </c>
    </row>
    <row r="1867" spans="1:11" x14ac:dyDescent="0.25">
      <c r="A1867" t="s">
        <v>6302</v>
      </c>
      <c r="B1867" t="s">
        <v>6303</v>
      </c>
      <c r="C1867" t="s">
        <v>419</v>
      </c>
      <c r="D1867" t="s">
        <v>6304</v>
      </c>
      <c r="E1867" t="s">
        <v>14</v>
      </c>
      <c r="F1867" t="s">
        <v>15</v>
      </c>
      <c r="G1867">
        <v>15237</v>
      </c>
      <c r="H1867" t="s">
        <v>157</v>
      </c>
      <c r="I1867">
        <v>5</v>
      </c>
      <c r="J1867">
        <v>1</v>
      </c>
      <c r="K1867" t="s">
        <v>8131</v>
      </c>
    </row>
    <row r="1868" spans="1:11" x14ac:dyDescent="0.25">
      <c r="A1868" t="s">
        <v>6305</v>
      </c>
      <c r="B1868" t="s">
        <v>6306</v>
      </c>
      <c r="C1868" t="s">
        <v>6307</v>
      </c>
      <c r="D1868" t="s">
        <v>6308</v>
      </c>
      <c r="E1868" t="s">
        <v>14</v>
      </c>
      <c r="F1868" t="s">
        <v>15</v>
      </c>
      <c r="G1868">
        <v>15201</v>
      </c>
      <c r="H1868" t="s">
        <v>34</v>
      </c>
      <c r="I1868">
        <v>77</v>
      </c>
      <c r="J1868">
        <v>0</v>
      </c>
      <c r="K1868" t="s">
        <v>8131</v>
      </c>
    </row>
    <row r="1869" spans="1:11" x14ac:dyDescent="0.25">
      <c r="A1869" t="s">
        <v>6309</v>
      </c>
      <c r="B1869" t="s">
        <v>2897</v>
      </c>
      <c r="C1869" t="s">
        <v>6310</v>
      </c>
      <c r="D1869" t="s">
        <v>3364</v>
      </c>
      <c r="E1869" t="s">
        <v>14</v>
      </c>
      <c r="F1869" t="s">
        <v>15</v>
      </c>
      <c r="G1869">
        <v>15216</v>
      </c>
      <c r="H1869" t="s">
        <v>48</v>
      </c>
      <c r="I1869">
        <v>16</v>
      </c>
      <c r="J1869">
        <v>0</v>
      </c>
      <c r="K1869" t="s">
        <v>8131</v>
      </c>
    </row>
    <row r="1870" spans="1:11" x14ac:dyDescent="0.25">
      <c r="A1870" t="s">
        <v>6311</v>
      </c>
      <c r="B1870" t="s">
        <v>6312</v>
      </c>
      <c r="C1870" t="s">
        <v>6313</v>
      </c>
      <c r="D1870" t="s">
        <v>257</v>
      </c>
      <c r="E1870" t="s">
        <v>14</v>
      </c>
      <c r="F1870" t="s">
        <v>15</v>
      </c>
      <c r="G1870">
        <v>15213</v>
      </c>
      <c r="H1870" t="s">
        <v>48</v>
      </c>
      <c r="I1870">
        <v>34</v>
      </c>
      <c r="J1870">
        <v>0</v>
      </c>
      <c r="K1870" t="s">
        <v>8131</v>
      </c>
    </row>
    <row r="1871" spans="1:11" x14ac:dyDescent="0.25">
      <c r="A1871" t="s">
        <v>6314</v>
      </c>
      <c r="B1871" t="s">
        <v>6315</v>
      </c>
      <c r="C1871" t="s">
        <v>6316</v>
      </c>
      <c r="D1871" t="s">
        <v>6317</v>
      </c>
      <c r="E1871" t="s">
        <v>14</v>
      </c>
      <c r="F1871" t="s">
        <v>15</v>
      </c>
      <c r="G1871">
        <v>15203</v>
      </c>
      <c r="H1871" t="s">
        <v>16</v>
      </c>
      <c r="I1871">
        <v>683</v>
      </c>
      <c r="J1871">
        <v>1</v>
      </c>
      <c r="K1871" t="s">
        <v>8131</v>
      </c>
    </row>
    <row r="1872" spans="1:11" x14ac:dyDescent="0.25">
      <c r="A1872" t="s">
        <v>6318</v>
      </c>
      <c r="B1872" t="s">
        <v>6319</v>
      </c>
      <c r="C1872" t="s">
        <v>6320</v>
      </c>
      <c r="D1872" t="s">
        <v>6321</v>
      </c>
      <c r="E1872" t="s">
        <v>14</v>
      </c>
      <c r="F1872" t="s">
        <v>15</v>
      </c>
      <c r="G1872">
        <v>15232</v>
      </c>
      <c r="H1872" t="s">
        <v>16</v>
      </c>
      <c r="I1872">
        <v>310</v>
      </c>
      <c r="J1872">
        <v>1</v>
      </c>
      <c r="K1872" t="s">
        <v>8131</v>
      </c>
    </row>
    <row r="1873" spans="1:11" x14ac:dyDescent="0.25">
      <c r="A1873" t="s">
        <v>6322</v>
      </c>
      <c r="B1873" t="s">
        <v>6323</v>
      </c>
      <c r="C1873" t="s">
        <v>6324</v>
      </c>
      <c r="D1873" t="s">
        <v>2732</v>
      </c>
      <c r="E1873" t="s">
        <v>14</v>
      </c>
      <c r="F1873" t="s">
        <v>15</v>
      </c>
      <c r="G1873">
        <v>15213</v>
      </c>
      <c r="H1873" t="s">
        <v>34</v>
      </c>
      <c r="I1873">
        <v>13</v>
      </c>
      <c r="J1873">
        <v>0</v>
      </c>
      <c r="K1873" t="s">
        <v>8131</v>
      </c>
    </row>
    <row r="1874" spans="1:11" x14ac:dyDescent="0.25">
      <c r="A1874" t="s">
        <v>6325</v>
      </c>
      <c r="B1874" t="s">
        <v>6326</v>
      </c>
      <c r="C1874" t="s">
        <v>6327</v>
      </c>
      <c r="D1874" t="s">
        <v>6328</v>
      </c>
      <c r="E1874" t="s">
        <v>14</v>
      </c>
      <c r="F1874" t="s">
        <v>15</v>
      </c>
      <c r="G1874">
        <v>15222</v>
      </c>
      <c r="H1874" t="s">
        <v>34</v>
      </c>
      <c r="I1874">
        <v>254</v>
      </c>
      <c r="J1874">
        <v>1</v>
      </c>
      <c r="K1874" t="s">
        <v>8131</v>
      </c>
    </row>
    <row r="1875" spans="1:11" x14ac:dyDescent="0.25">
      <c r="A1875" t="s">
        <v>6329</v>
      </c>
      <c r="B1875" t="s">
        <v>6330</v>
      </c>
      <c r="C1875" t="s">
        <v>6331</v>
      </c>
      <c r="D1875" t="s">
        <v>636</v>
      </c>
      <c r="E1875" t="s">
        <v>14</v>
      </c>
      <c r="F1875" t="s">
        <v>15</v>
      </c>
      <c r="G1875">
        <v>15213</v>
      </c>
      <c r="H1875" t="s">
        <v>113</v>
      </c>
      <c r="I1875">
        <v>4</v>
      </c>
      <c r="J1875">
        <v>1</v>
      </c>
      <c r="K1875" t="s">
        <v>8131</v>
      </c>
    </row>
    <row r="1876" spans="1:11" x14ac:dyDescent="0.25">
      <c r="A1876" t="s">
        <v>6332</v>
      </c>
      <c r="B1876" t="s">
        <v>6333</v>
      </c>
      <c r="C1876" t="s">
        <v>6334</v>
      </c>
      <c r="D1876" t="s">
        <v>6335</v>
      </c>
      <c r="E1876" t="s">
        <v>14</v>
      </c>
      <c r="F1876" t="s">
        <v>15</v>
      </c>
      <c r="G1876">
        <v>15232</v>
      </c>
      <c r="H1876" t="s">
        <v>21</v>
      </c>
      <c r="I1876">
        <v>10</v>
      </c>
      <c r="J1876">
        <v>1</v>
      </c>
      <c r="K1876" t="s">
        <v>8131</v>
      </c>
    </row>
    <row r="1877" spans="1:11" x14ac:dyDescent="0.25">
      <c r="A1877" t="s">
        <v>6336</v>
      </c>
      <c r="B1877" t="s">
        <v>239</v>
      </c>
      <c r="C1877" t="s">
        <v>6337</v>
      </c>
      <c r="D1877" t="s">
        <v>6338</v>
      </c>
      <c r="E1877" t="s">
        <v>14</v>
      </c>
      <c r="F1877" t="s">
        <v>15</v>
      </c>
      <c r="G1877">
        <v>15205</v>
      </c>
      <c r="H1877" t="s">
        <v>21</v>
      </c>
      <c r="I1877">
        <v>13</v>
      </c>
      <c r="J1877">
        <v>0</v>
      </c>
      <c r="K1877" t="s">
        <v>8131</v>
      </c>
    </row>
    <row r="1878" spans="1:11" x14ac:dyDescent="0.25">
      <c r="A1878" t="s">
        <v>6339</v>
      </c>
      <c r="B1878" t="s">
        <v>2957</v>
      </c>
      <c r="C1878" t="s">
        <v>6340</v>
      </c>
      <c r="D1878" t="s">
        <v>6341</v>
      </c>
      <c r="E1878" t="s">
        <v>14</v>
      </c>
      <c r="F1878" t="s">
        <v>15</v>
      </c>
      <c r="G1878">
        <v>15205</v>
      </c>
      <c r="H1878" t="s">
        <v>34</v>
      </c>
      <c r="I1878">
        <v>23</v>
      </c>
      <c r="J1878">
        <v>1</v>
      </c>
      <c r="K1878" t="s">
        <v>8131</v>
      </c>
    </row>
    <row r="1879" spans="1:11" x14ac:dyDescent="0.25">
      <c r="A1879" t="s">
        <v>6342</v>
      </c>
      <c r="B1879" t="s">
        <v>6343</v>
      </c>
      <c r="C1879" t="s">
        <v>6344</v>
      </c>
      <c r="D1879" t="s">
        <v>6345</v>
      </c>
      <c r="E1879" t="s">
        <v>14</v>
      </c>
      <c r="F1879" t="s">
        <v>15</v>
      </c>
      <c r="G1879">
        <v>15238</v>
      </c>
      <c r="H1879" t="s">
        <v>34</v>
      </c>
      <c r="I1879">
        <v>47</v>
      </c>
      <c r="J1879">
        <v>0</v>
      </c>
      <c r="K1879" t="s">
        <v>8131</v>
      </c>
    </row>
    <row r="1880" spans="1:11" x14ac:dyDescent="0.25">
      <c r="A1880" t="s">
        <v>6346</v>
      </c>
      <c r="B1880" t="s">
        <v>6347</v>
      </c>
      <c r="C1880" t="s">
        <v>6348</v>
      </c>
      <c r="D1880" t="s">
        <v>4289</v>
      </c>
      <c r="E1880" t="s">
        <v>14</v>
      </c>
      <c r="F1880" t="s">
        <v>15</v>
      </c>
      <c r="G1880">
        <v>15222</v>
      </c>
      <c r="H1880" t="s">
        <v>34</v>
      </c>
      <c r="I1880">
        <v>131</v>
      </c>
      <c r="J1880">
        <v>1</v>
      </c>
      <c r="K1880" t="s">
        <v>8131</v>
      </c>
    </row>
    <row r="1881" spans="1:11" x14ac:dyDescent="0.25">
      <c r="A1881" t="s">
        <v>6349</v>
      </c>
      <c r="B1881" t="s">
        <v>6350</v>
      </c>
      <c r="C1881" t="s">
        <v>6351</v>
      </c>
      <c r="D1881" t="s">
        <v>6352</v>
      </c>
      <c r="E1881" t="s">
        <v>14</v>
      </c>
      <c r="F1881" t="s">
        <v>15</v>
      </c>
      <c r="G1881">
        <v>15201</v>
      </c>
      <c r="H1881" t="s">
        <v>48</v>
      </c>
      <c r="I1881">
        <v>405</v>
      </c>
      <c r="J1881">
        <v>1</v>
      </c>
      <c r="K1881" t="s">
        <v>8131</v>
      </c>
    </row>
    <row r="1882" spans="1:11" x14ac:dyDescent="0.25">
      <c r="A1882" t="s">
        <v>6353</v>
      </c>
      <c r="B1882" t="s">
        <v>6354</v>
      </c>
      <c r="C1882" t="s">
        <v>5353</v>
      </c>
      <c r="D1882" t="s">
        <v>4070</v>
      </c>
      <c r="E1882" t="s">
        <v>14</v>
      </c>
      <c r="F1882" t="s">
        <v>15</v>
      </c>
      <c r="G1882">
        <v>15207</v>
      </c>
      <c r="H1882" t="s">
        <v>21</v>
      </c>
      <c r="I1882">
        <v>87</v>
      </c>
      <c r="J1882">
        <v>0</v>
      </c>
      <c r="K1882" t="s">
        <v>8131</v>
      </c>
    </row>
    <row r="1883" spans="1:11" x14ac:dyDescent="0.25">
      <c r="A1883" t="s">
        <v>6355</v>
      </c>
      <c r="B1883" t="s">
        <v>6356</v>
      </c>
      <c r="C1883" t="s">
        <v>248</v>
      </c>
      <c r="D1883" t="s">
        <v>3789</v>
      </c>
      <c r="E1883" t="s">
        <v>14</v>
      </c>
      <c r="F1883" t="s">
        <v>15</v>
      </c>
      <c r="G1883">
        <v>15206</v>
      </c>
      <c r="H1883" t="s">
        <v>43</v>
      </c>
      <c r="I1883">
        <v>21</v>
      </c>
      <c r="J1883">
        <v>0</v>
      </c>
      <c r="K1883" t="s">
        <v>8131</v>
      </c>
    </row>
    <row r="1884" spans="1:11" x14ac:dyDescent="0.25">
      <c r="A1884" t="s">
        <v>6357</v>
      </c>
      <c r="B1884" t="s">
        <v>65</v>
      </c>
      <c r="C1884" t="s">
        <v>6358</v>
      </c>
      <c r="D1884" t="s">
        <v>6359</v>
      </c>
      <c r="E1884" t="s">
        <v>14</v>
      </c>
      <c r="F1884" t="s">
        <v>15</v>
      </c>
      <c r="G1884">
        <v>15222</v>
      </c>
      <c r="H1884" t="s">
        <v>34</v>
      </c>
      <c r="I1884">
        <v>40</v>
      </c>
      <c r="J1884">
        <v>1</v>
      </c>
      <c r="K1884" t="s">
        <v>8131</v>
      </c>
    </row>
    <row r="1885" spans="1:11" x14ac:dyDescent="0.25">
      <c r="A1885" t="s">
        <v>6360</v>
      </c>
      <c r="B1885" t="s">
        <v>1384</v>
      </c>
      <c r="C1885" t="s">
        <v>5188</v>
      </c>
      <c r="D1885" t="s">
        <v>6361</v>
      </c>
      <c r="E1885" t="s">
        <v>14</v>
      </c>
      <c r="F1885" t="s">
        <v>15</v>
      </c>
      <c r="G1885">
        <v>15220</v>
      </c>
      <c r="H1885" t="s">
        <v>16</v>
      </c>
      <c r="I1885">
        <v>8</v>
      </c>
      <c r="J1885">
        <v>0</v>
      </c>
      <c r="K1885" t="s">
        <v>8131</v>
      </c>
    </row>
    <row r="1886" spans="1:11" x14ac:dyDescent="0.25">
      <c r="A1886" t="s">
        <v>6362</v>
      </c>
      <c r="B1886" t="s">
        <v>6363</v>
      </c>
      <c r="C1886" t="s">
        <v>2813</v>
      </c>
      <c r="D1886" t="s">
        <v>6364</v>
      </c>
      <c r="E1886" t="s">
        <v>14</v>
      </c>
      <c r="F1886" t="s">
        <v>15</v>
      </c>
      <c r="G1886">
        <v>15231</v>
      </c>
      <c r="H1886" t="s">
        <v>34</v>
      </c>
      <c r="I1886">
        <v>36</v>
      </c>
      <c r="J1886">
        <v>0</v>
      </c>
      <c r="K1886" t="s">
        <v>8131</v>
      </c>
    </row>
    <row r="1887" spans="1:11" x14ac:dyDescent="0.25">
      <c r="A1887" t="s">
        <v>6365</v>
      </c>
      <c r="B1887" t="s">
        <v>6366</v>
      </c>
      <c r="C1887" t="s">
        <v>6367</v>
      </c>
      <c r="D1887" t="s">
        <v>5121</v>
      </c>
      <c r="E1887" t="s">
        <v>14</v>
      </c>
      <c r="F1887" t="s">
        <v>15</v>
      </c>
      <c r="G1887">
        <v>15226</v>
      </c>
      <c r="H1887" t="s">
        <v>21</v>
      </c>
      <c r="I1887">
        <v>39</v>
      </c>
      <c r="J1887">
        <v>0</v>
      </c>
      <c r="K1887" t="s">
        <v>8131</v>
      </c>
    </row>
    <row r="1888" spans="1:11" x14ac:dyDescent="0.25">
      <c r="A1888" t="s">
        <v>6368</v>
      </c>
      <c r="B1888" t="s">
        <v>6369</v>
      </c>
      <c r="C1888" t="s">
        <v>6370</v>
      </c>
      <c r="D1888" t="s">
        <v>6371</v>
      </c>
      <c r="E1888" t="s">
        <v>14</v>
      </c>
      <c r="F1888" t="s">
        <v>15</v>
      </c>
      <c r="G1888">
        <v>15206</v>
      </c>
      <c r="H1888" t="s">
        <v>21</v>
      </c>
      <c r="I1888">
        <v>153</v>
      </c>
      <c r="J1888">
        <v>1</v>
      </c>
      <c r="K1888" t="s">
        <v>8131</v>
      </c>
    </row>
    <row r="1889" spans="1:11" x14ac:dyDescent="0.25">
      <c r="A1889" t="s">
        <v>6372</v>
      </c>
      <c r="B1889" t="s">
        <v>6373</v>
      </c>
      <c r="C1889" t="s">
        <v>6374</v>
      </c>
      <c r="D1889" t="s">
        <v>5927</v>
      </c>
      <c r="E1889" t="s">
        <v>14</v>
      </c>
      <c r="F1889" t="s">
        <v>15</v>
      </c>
      <c r="G1889">
        <v>15213</v>
      </c>
      <c r="H1889" t="s">
        <v>34</v>
      </c>
      <c r="I1889">
        <v>6</v>
      </c>
      <c r="J1889">
        <v>1</v>
      </c>
      <c r="K1889" t="s">
        <v>8131</v>
      </c>
    </row>
    <row r="1890" spans="1:11" x14ac:dyDescent="0.25">
      <c r="A1890" t="s">
        <v>6375</v>
      </c>
      <c r="B1890" t="s">
        <v>6376</v>
      </c>
      <c r="C1890" t="s">
        <v>155</v>
      </c>
      <c r="D1890" t="s">
        <v>6377</v>
      </c>
      <c r="E1890" t="s">
        <v>14</v>
      </c>
      <c r="F1890" t="s">
        <v>15</v>
      </c>
      <c r="G1890">
        <v>15237</v>
      </c>
      <c r="H1890" t="s">
        <v>113</v>
      </c>
      <c r="I1890">
        <v>11</v>
      </c>
      <c r="J1890">
        <v>0</v>
      </c>
      <c r="K1890" t="s">
        <v>8131</v>
      </c>
    </row>
    <row r="1891" spans="1:11" x14ac:dyDescent="0.25">
      <c r="A1891" t="s">
        <v>6378</v>
      </c>
      <c r="B1891" t="s">
        <v>407</v>
      </c>
      <c r="C1891" t="s">
        <v>6379</v>
      </c>
      <c r="D1891" t="s">
        <v>6380</v>
      </c>
      <c r="E1891" t="s">
        <v>14</v>
      </c>
      <c r="F1891" t="s">
        <v>15</v>
      </c>
      <c r="G1891">
        <v>15222</v>
      </c>
      <c r="H1891" t="s">
        <v>34</v>
      </c>
      <c r="I1891">
        <v>3</v>
      </c>
      <c r="J1891">
        <v>1</v>
      </c>
      <c r="K1891" t="s">
        <v>8131</v>
      </c>
    </row>
    <row r="1892" spans="1:11" x14ac:dyDescent="0.25">
      <c r="A1892" t="s">
        <v>6381</v>
      </c>
      <c r="B1892" t="s">
        <v>6382</v>
      </c>
      <c r="C1892" t="s">
        <v>6383</v>
      </c>
      <c r="D1892" t="s">
        <v>6033</v>
      </c>
      <c r="E1892" t="s">
        <v>14</v>
      </c>
      <c r="F1892" t="s">
        <v>15</v>
      </c>
      <c r="G1892">
        <v>15219</v>
      </c>
      <c r="H1892" t="s">
        <v>16</v>
      </c>
      <c r="I1892">
        <v>8</v>
      </c>
      <c r="J1892">
        <v>0</v>
      </c>
      <c r="K1892" t="s">
        <v>8131</v>
      </c>
    </row>
    <row r="1893" spans="1:11" x14ac:dyDescent="0.25">
      <c r="A1893" t="s">
        <v>6384</v>
      </c>
      <c r="B1893" t="s">
        <v>6385</v>
      </c>
      <c r="C1893" t="s">
        <v>6386</v>
      </c>
      <c r="D1893" t="s">
        <v>2950</v>
      </c>
      <c r="E1893" t="s">
        <v>14</v>
      </c>
      <c r="F1893" t="s">
        <v>15</v>
      </c>
      <c r="G1893">
        <v>15206</v>
      </c>
      <c r="H1893" t="s">
        <v>21</v>
      </c>
      <c r="I1893">
        <v>1096</v>
      </c>
      <c r="J1893">
        <v>1</v>
      </c>
      <c r="K1893" t="s">
        <v>8131</v>
      </c>
    </row>
    <row r="1894" spans="1:11" x14ac:dyDescent="0.25">
      <c r="A1894" t="s">
        <v>6387</v>
      </c>
      <c r="B1894" t="s">
        <v>36</v>
      </c>
      <c r="C1894" t="s">
        <v>6388</v>
      </c>
      <c r="D1894" t="s">
        <v>6389</v>
      </c>
      <c r="E1894" t="s">
        <v>14</v>
      </c>
      <c r="F1894" t="s">
        <v>15</v>
      </c>
      <c r="G1894">
        <v>15237</v>
      </c>
      <c r="H1894" t="s">
        <v>34</v>
      </c>
      <c r="I1894">
        <v>55</v>
      </c>
      <c r="J1894">
        <v>1</v>
      </c>
      <c r="K1894" t="s">
        <v>8131</v>
      </c>
    </row>
    <row r="1895" spans="1:11" x14ac:dyDescent="0.25">
      <c r="A1895" t="s">
        <v>6390</v>
      </c>
      <c r="B1895" t="s">
        <v>6391</v>
      </c>
      <c r="C1895" t="s">
        <v>6392</v>
      </c>
      <c r="D1895" t="s">
        <v>179</v>
      </c>
      <c r="E1895" t="s">
        <v>14</v>
      </c>
      <c r="F1895" t="s">
        <v>15</v>
      </c>
      <c r="G1895">
        <v>15205</v>
      </c>
      <c r="H1895" t="s">
        <v>16</v>
      </c>
      <c r="I1895">
        <v>55</v>
      </c>
      <c r="J1895">
        <v>1</v>
      </c>
      <c r="K1895" t="s">
        <v>8131</v>
      </c>
    </row>
    <row r="1896" spans="1:11" x14ac:dyDescent="0.25">
      <c r="A1896" t="s">
        <v>6393</v>
      </c>
      <c r="B1896" t="s">
        <v>6394</v>
      </c>
      <c r="C1896" t="s">
        <v>6395</v>
      </c>
      <c r="D1896" t="s">
        <v>3463</v>
      </c>
      <c r="E1896" t="s">
        <v>14</v>
      </c>
      <c r="F1896" t="s">
        <v>15</v>
      </c>
      <c r="G1896">
        <v>15232</v>
      </c>
      <c r="H1896" t="s">
        <v>48</v>
      </c>
      <c r="I1896">
        <v>89</v>
      </c>
      <c r="J1896">
        <v>0</v>
      </c>
      <c r="K1896" t="s">
        <v>8131</v>
      </c>
    </row>
    <row r="1897" spans="1:11" x14ac:dyDescent="0.25">
      <c r="A1897" t="s">
        <v>6396</v>
      </c>
      <c r="B1897" t="s">
        <v>6397</v>
      </c>
      <c r="C1897" t="s">
        <v>6398</v>
      </c>
      <c r="D1897" t="s">
        <v>759</v>
      </c>
      <c r="E1897" t="s">
        <v>14</v>
      </c>
      <c r="F1897" t="s">
        <v>15</v>
      </c>
      <c r="G1897">
        <v>15201</v>
      </c>
      <c r="H1897" t="s">
        <v>16</v>
      </c>
      <c r="I1897">
        <v>276</v>
      </c>
      <c r="J1897">
        <v>0</v>
      </c>
      <c r="K1897" t="s">
        <v>8131</v>
      </c>
    </row>
    <row r="1898" spans="1:11" x14ac:dyDescent="0.25">
      <c r="A1898" t="s">
        <v>6399</v>
      </c>
      <c r="B1898" t="s">
        <v>282</v>
      </c>
      <c r="C1898" t="s">
        <v>6400</v>
      </c>
      <c r="D1898" t="s">
        <v>6401</v>
      </c>
      <c r="E1898" t="s">
        <v>14</v>
      </c>
      <c r="F1898" t="s">
        <v>15</v>
      </c>
      <c r="G1898">
        <v>15202</v>
      </c>
      <c r="H1898" t="s">
        <v>34</v>
      </c>
      <c r="I1898">
        <v>34</v>
      </c>
      <c r="J1898">
        <v>1</v>
      </c>
      <c r="K1898" t="s">
        <v>8131</v>
      </c>
    </row>
    <row r="1899" spans="1:11" x14ac:dyDescent="0.25">
      <c r="A1899" t="s">
        <v>6402</v>
      </c>
      <c r="B1899" t="s">
        <v>6403</v>
      </c>
      <c r="C1899" t="s">
        <v>6404</v>
      </c>
      <c r="D1899" t="s">
        <v>6405</v>
      </c>
      <c r="E1899" t="s">
        <v>14</v>
      </c>
      <c r="F1899" t="s">
        <v>15</v>
      </c>
      <c r="G1899">
        <v>15219</v>
      </c>
      <c r="H1899" t="s">
        <v>43</v>
      </c>
      <c r="I1899">
        <v>19</v>
      </c>
      <c r="J1899">
        <v>0</v>
      </c>
      <c r="K1899" t="s">
        <v>8131</v>
      </c>
    </row>
    <row r="1900" spans="1:11" x14ac:dyDescent="0.25">
      <c r="A1900" t="s">
        <v>6406</v>
      </c>
      <c r="B1900" t="s">
        <v>6407</v>
      </c>
      <c r="C1900" t="s">
        <v>6408</v>
      </c>
      <c r="D1900" t="s">
        <v>4700</v>
      </c>
      <c r="E1900" t="s">
        <v>14</v>
      </c>
      <c r="F1900" t="s">
        <v>15</v>
      </c>
      <c r="G1900">
        <v>15206</v>
      </c>
      <c r="H1900" t="s">
        <v>48</v>
      </c>
      <c r="I1900">
        <v>7</v>
      </c>
      <c r="J1900">
        <v>1</v>
      </c>
      <c r="K1900" t="s">
        <v>8131</v>
      </c>
    </row>
    <row r="1901" spans="1:11" x14ac:dyDescent="0.25">
      <c r="A1901" t="s">
        <v>6409</v>
      </c>
      <c r="B1901" t="s">
        <v>36</v>
      </c>
      <c r="C1901" t="s">
        <v>6410</v>
      </c>
      <c r="D1901" t="s">
        <v>6411</v>
      </c>
      <c r="E1901" t="s">
        <v>14</v>
      </c>
      <c r="F1901" t="s">
        <v>15</v>
      </c>
      <c r="G1901">
        <v>15224</v>
      </c>
      <c r="H1901" t="s">
        <v>48</v>
      </c>
      <c r="I1901">
        <v>35</v>
      </c>
      <c r="J1901">
        <v>1</v>
      </c>
      <c r="K1901" t="s">
        <v>8131</v>
      </c>
    </row>
    <row r="1902" spans="1:11" x14ac:dyDescent="0.25">
      <c r="A1902" t="s">
        <v>6412</v>
      </c>
      <c r="B1902" t="s">
        <v>6413</v>
      </c>
      <c r="C1902" t="s">
        <v>1318</v>
      </c>
      <c r="D1902" t="s">
        <v>2259</v>
      </c>
      <c r="E1902" t="s">
        <v>14</v>
      </c>
      <c r="F1902" t="s">
        <v>15</v>
      </c>
      <c r="G1902">
        <v>15205</v>
      </c>
      <c r="H1902" t="s">
        <v>34</v>
      </c>
      <c r="I1902">
        <v>28</v>
      </c>
      <c r="J1902">
        <v>0</v>
      </c>
      <c r="K1902" t="s">
        <v>8131</v>
      </c>
    </row>
    <row r="1903" spans="1:11" x14ac:dyDescent="0.25">
      <c r="A1903" t="s">
        <v>6414</v>
      </c>
      <c r="B1903" t="s">
        <v>36</v>
      </c>
      <c r="C1903" t="s">
        <v>3188</v>
      </c>
      <c r="D1903" t="s">
        <v>6415</v>
      </c>
      <c r="E1903" t="s">
        <v>14</v>
      </c>
      <c r="F1903" t="s">
        <v>15</v>
      </c>
      <c r="G1903">
        <v>15219</v>
      </c>
      <c r="H1903" t="s">
        <v>34</v>
      </c>
      <c r="I1903">
        <v>92</v>
      </c>
      <c r="J1903">
        <v>1</v>
      </c>
      <c r="K1903" t="s">
        <v>8131</v>
      </c>
    </row>
    <row r="1904" spans="1:11" x14ac:dyDescent="0.25">
      <c r="A1904" t="s">
        <v>6416</v>
      </c>
      <c r="B1904" t="s">
        <v>282</v>
      </c>
      <c r="C1904" t="s">
        <v>6417</v>
      </c>
      <c r="D1904" t="s">
        <v>5356</v>
      </c>
      <c r="E1904" t="s">
        <v>14</v>
      </c>
      <c r="F1904" t="s">
        <v>15</v>
      </c>
      <c r="G1904">
        <v>15234</v>
      </c>
      <c r="H1904" t="s">
        <v>21</v>
      </c>
      <c r="I1904">
        <v>5</v>
      </c>
      <c r="J1904">
        <v>0</v>
      </c>
      <c r="K1904" t="s">
        <v>8131</v>
      </c>
    </row>
    <row r="1905" spans="1:11" x14ac:dyDescent="0.25">
      <c r="A1905" t="s">
        <v>6418</v>
      </c>
      <c r="B1905" t="s">
        <v>6419</v>
      </c>
      <c r="C1905" t="s">
        <v>6420</v>
      </c>
      <c r="D1905" t="s">
        <v>6421</v>
      </c>
      <c r="E1905" t="s">
        <v>14</v>
      </c>
      <c r="F1905" t="s">
        <v>15</v>
      </c>
      <c r="G1905">
        <v>15203</v>
      </c>
      <c r="H1905" t="s">
        <v>43</v>
      </c>
      <c r="I1905">
        <v>10</v>
      </c>
      <c r="J1905">
        <v>0</v>
      </c>
      <c r="K1905" t="s">
        <v>8131</v>
      </c>
    </row>
    <row r="1906" spans="1:11" x14ac:dyDescent="0.25">
      <c r="A1906" t="s">
        <v>6422</v>
      </c>
      <c r="B1906" t="s">
        <v>6423</v>
      </c>
      <c r="C1906" t="s">
        <v>6424</v>
      </c>
      <c r="D1906" t="s">
        <v>6425</v>
      </c>
      <c r="E1906" t="s">
        <v>14</v>
      </c>
      <c r="F1906" t="s">
        <v>15</v>
      </c>
      <c r="G1906">
        <v>15241</v>
      </c>
      <c r="H1906" t="s">
        <v>16</v>
      </c>
      <c r="I1906">
        <v>28</v>
      </c>
      <c r="J1906">
        <v>0</v>
      </c>
      <c r="K1906" t="s">
        <v>8131</v>
      </c>
    </row>
    <row r="1907" spans="1:11" x14ac:dyDescent="0.25">
      <c r="A1907" t="s">
        <v>6426</v>
      </c>
      <c r="B1907" t="s">
        <v>6427</v>
      </c>
      <c r="C1907" t="s">
        <v>6428</v>
      </c>
      <c r="D1907" t="s">
        <v>6429</v>
      </c>
      <c r="E1907" t="s">
        <v>14</v>
      </c>
      <c r="F1907" t="s">
        <v>15</v>
      </c>
      <c r="G1907">
        <v>15217</v>
      </c>
      <c r="H1907" t="s">
        <v>21</v>
      </c>
      <c r="I1907">
        <v>145</v>
      </c>
      <c r="J1907">
        <v>1</v>
      </c>
      <c r="K1907" t="s">
        <v>8131</v>
      </c>
    </row>
    <row r="1908" spans="1:11" x14ac:dyDescent="0.25">
      <c r="A1908" t="s">
        <v>6430</v>
      </c>
      <c r="B1908" t="s">
        <v>65</v>
      </c>
      <c r="C1908" t="s">
        <v>6431</v>
      </c>
      <c r="D1908" t="s">
        <v>3391</v>
      </c>
      <c r="E1908" t="s">
        <v>14</v>
      </c>
      <c r="F1908" t="s">
        <v>15</v>
      </c>
      <c r="G1908">
        <v>15229</v>
      </c>
      <c r="H1908" t="s">
        <v>48</v>
      </c>
      <c r="I1908">
        <v>3</v>
      </c>
      <c r="J1908">
        <v>0</v>
      </c>
      <c r="K1908" t="s">
        <v>8131</v>
      </c>
    </row>
    <row r="1909" spans="1:11" x14ac:dyDescent="0.25">
      <c r="A1909" t="s">
        <v>6432</v>
      </c>
      <c r="B1909" t="s">
        <v>6433</v>
      </c>
      <c r="C1909" t="s">
        <v>6434</v>
      </c>
      <c r="D1909" t="s">
        <v>269</v>
      </c>
      <c r="E1909" t="s">
        <v>14</v>
      </c>
      <c r="F1909" t="s">
        <v>15</v>
      </c>
      <c r="G1909">
        <v>15203</v>
      </c>
      <c r="H1909" t="s">
        <v>48</v>
      </c>
      <c r="I1909">
        <v>78</v>
      </c>
      <c r="J1909">
        <v>1</v>
      </c>
      <c r="K1909" t="s">
        <v>8131</v>
      </c>
    </row>
    <row r="1910" spans="1:11" x14ac:dyDescent="0.25">
      <c r="A1910" t="e">
        <f>-i3pCgQi_Y9NiSSWs6G7bw</f>
        <v>#NAME?</v>
      </c>
      <c r="B1910" t="s">
        <v>6435</v>
      </c>
      <c r="C1910" t="s">
        <v>6436</v>
      </c>
      <c r="D1910" t="s">
        <v>626</v>
      </c>
      <c r="E1910" t="s">
        <v>14</v>
      </c>
      <c r="F1910" t="s">
        <v>15</v>
      </c>
      <c r="G1910">
        <v>15213</v>
      </c>
      <c r="H1910" t="s">
        <v>16</v>
      </c>
      <c r="I1910">
        <v>170</v>
      </c>
      <c r="J1910">
        <v>1</v>
      </c>
      <c r="K1910" t="s">
        <v>8131</v>
      </c>
    </row>
    <row r="1911" spans="1:11" x14ac:dyDescent="0.25">
      <c r="A1911" t="s">
        <v>6437</v>
      </c>
      <c r="B1911" t="s">
        <v>6438</v>
      </c>
      <c r="C1911" t="s">
        <v>6439</v>
      </c>
      <c r="D1911" t="s">
        <v>6440</v>
      </c>
      <c r="E1911" t="s">
        <v>14</v>
      </c>
      <c r="F1911" t="s">
        <v>15</v>
      </c>
      <c r="G1911">
        <v>15222</v>
      </c>
      <c r="H1911" t="s">
        <v>16</v>
      </c>
      <c r="I1911">
        <v>19</v>
      </c>
      <c r="J1911">
        <v>0</v>
      </c>
      <c r="K1911" t="s">
        <v>8131</v>
      </c>
    </row>
    <row r="1912" spans="1:11" x14ac:dyDescent="0.25">
      <c r="A1912" t="s">
        <v>6441</v>
      </c>
      <c r="B1912" t="s">
        <v>65</v>
      </c>
      <c r="C1912" t="s">
        <v>886</v>
      </c>
      <c r="D1912" t="s">
        <v>887</v>
      </c>
      <c r="E1912" t="s">
        <v>14</v>
      </c>
      <c r="F1912" t="s">
        <v>15</v>
      </c>
      <c r="G1912">
        <v>15219</v>
      </c>
      <c r="H1912" t="s">
        <v>113</v>
      </c>
      <c r="I1912">
        <v>4</v>
      </c>
      <c r="J1912">
        <v>0</v>
      </c>
      <c r="K1912" t="s">
        <v>8131</v>
      </c>
    </row>
    <row r="1913" spans="1:11" x14ac:dyDescent="0.25">
      <c r="A1913" t="s">
        <v>6442</v>
      </c>
      <c r="B1913" t="s">
        <v>6443</v>
      </c>
      <c r="C1913" t="s">
        <v>2759</v>
      </c>
      <c r="D1913" t="s">
        <v>6444</v>
      </c>
      <c r="E1913" t="s">
        <v>14</v>
      </c>
      <c r="F1913" t="s">
        <v>15</v>
      </c>
      <c r="G1913">
        <v>15237</v>
      </c>
      <c r="H1913" t="s">
        <v>21</v>
      </c>
      <c r="I1913">
        <v>56</v>
      </c>
      <c r="J1913">
        <v>1</v>
      </c>
      <c r="K1913" t="s">
        <v>8131</v>
      </c>
    </row>
    <row r="1914" spans="1:11" x14ac:dyDescent="0.25">
      <c r="A1914" t="s">
        <v>6445</v>
      </c>
      <c r="B1914" t="s">
        <v>267</v>
      </c>
      <c r="C1914" t="s">
        <v>6446</v>
      </c>
      <c r="D1914" t="s">
        <v>2062</v>
      </c>
      <c r="E1914" t="s">
        <v>14</v>
      </c>
      <c r="F1914" t="s">
        <v>15</v>
      </c>
      <c r="G1914">
        <v>15222</v>
      </c>
      <c r="H1914" t="s">
        <v>113</v>
      </c>
      <c r="I1914">
        <v>75</v>
      </c>
      <c r="J1914">
        <v>0</v>
      </c>
      <c r="K1914" t="s">
        <v>8131</v>
      </c>
    </row>
    <row r="1915" spans="1:11" x14ac:dyDescent="0.25">
      <c r="A1915" t="s">
        <v>6447</v>
      </c>
      <c r="B1915" t="s">
        <v>2145</v>
      </c>
      <c r="C1915" t="s">
        <v>6448</v>
      </c>
      <c r="D1915" t="s">
        <v>2712</v>
      </c>
      <c r="E1915" t="s">
        <v>14</v>
      </c>
      <c r="F1915" t="s">
        <v>15</v>
      </c>
      <c r="G1915">
        <v>15210</v>
      </c>
      <c r="H1915" t="s">
        <v>21</v>
      </c>
      <c r="I1915">
        <v>11</v>
      </c>
      <c r="J1915">
        <v>0</v>
      </c>
      <c r="K1915" t="s">
        <v>8131</v>
      </c>
    </row>
    <row r="1916" spans="1:11" x14ac:dyDescent="0.25">
      <c r="A1916" t="s">
        <v>6449</v>
      </c>
      <c r="B1916" t="s">
        <v>6450</v>
      </c>
      <c r="C1916" t="s">
        <v>6451</v>
      </c>
      <c r="D1916" t="s">
        <v>6452</v>
      </c>
      <c r="E1916" t="s">
        <v>14</v>
      </c>
      <c r="F1916" t="s">
        <v>15</v>
      </c>
      <c r="G1916">
        <v>15237</v>
      </c>
      <c r="H1916" t="s">
        <v>16</v>
      </c>
      <c r="I1916">
        <v>112</v>
      </c>
      <c r="J1916">
        <v>1</v>
      </c>
      <c r="K1916" t="s">
        <v>8131</v>
      </c>
    </row>
    <row r="1917" spans="1:11" x14ac:dyDescent="0.25">
      <c r="A1917" t="s">
        <v>6453</v>
      </c>
      <c r="B1917" t="s">
        <v>6454</v>
      </c>
      <c r="C1917" t="s">
        <v>6455</v>
      </c>
      <c r="D1917" t="s">
        <v>6456</v>
      </c>
      <c r="E1917" t="s">
        <v>14</v>
      </c>
      <c r="F1917" t="s">
        <v>15</v>
      </c>
      <c r="G1917">
        <v>15239</v>
      </c>
      <c r="H1917" t="s">
        <v>48</v>
      </c>
      <c r="I1917">
        <v>12</v>
      </c>
      <c r="J1917">
        <v>1</v>
      </c>
      <c r="K1917" t="s">
        <v>8131</v>
      </c>
    </row>
    <row r="1918" spans="1:11" x14ac:dyDescent="0.25">
      <c r="A1918" t="s">
        <v>6457</v>
      </c>
      <c r="B1918" t="s">
        <v>6458</v>
      </c>
      <c r="C1918" t="s">
        <v>6459</v>
      </c>
      <c r="D1918" t="s">
        <v>6460</v>
      </c>
      <c r="E1918" t="s">
        <v>14</v>
      </c>
      <c r="F1918" t="s">
        <v>15</v>
      </c>
      <c r="G1918">
        <v>15212</v>
      </c>
      <c r="H1918" t="s">
        <v>21</v>
      </c>
      <c r="I1918">
        <v>28</v>
      </c>
      <c r="J1918">
        <v>1</v>
      </c>
      <c r="K1918" t="s">
        <v>8131</v>
      </c>
    </row>
    <row r="1919" spans="1:11" x14ac:dyDescent="0.25">
      <c r="A1919" t="s">
        <v>6461</v>
      </c>
      <c r="B1919" t="s">
        <v>6462</v>
      </c>
      <c r="C1919" t="s">
        <v>6463</v>
      </c>
      <c r="D1919" t="s">
        <v>6464</v>
      </c>
      <c r="E1919" t="s">
        <v>14</v>
      </c>
      <c r="F1919" t="s">
        <v>15</v>
      </c>
      <c r="G1919">
        <v>15203</v>
      </c>
      <c r="H1919" t="s">
        <v>48</v>
      </c>
      <c r="I1919">
        <v>438</v>
      </c>
      <c r="J1919">
        <v>1</v>
      </c>
      <c r="K1919" t="s">
        <v>8131</v>
      </c>
    </row>
    <row r="1920" spans="1:11" x14ac:dyDescent="0.25">
      <c r="A1920" t="s">
        <v>6465</v>
      </c>
      <c r="B1920" t="s">
        <v>6466</v>
      </c>
      <c r="C1920" t="s">
        <v>6467</v>
      </c>
      <c r="D1920" t="s">
        <v>5853</v>
      </c>
      <c r="E1920" t="s">
        <v>14</v>
      </c>
      <c r="F1920" t="s">
        <v>15</v>
      </c>
      <c r="G1920">
        <v>15203</v>
      </c>
      <c r="H1920" t="s">
        <v>21</v>
      </c>
      <c r="I1920">
        <v>113</v>
      </c>
      <c r="J1920">
        <v>1</v>
      </c>
      <c r="K1920" t="s">
        <v>8131</v>
      </c>
    </row>
    <row r="1921" spans="1:11" x14ac:dyDescent="0.25">
      <c r="A1921" t="s">
        <v>6468</v>
      </c>
      <c r="B1921" t="s">
        <v>2353</v>
      </c>
      <c r="C1921" t="s">
        <v>6469</v>
      </c>
      <c r="D1921" t="s">
        <v>6470</v>
      </c>
      <c r="E1921" t="s">
        <v>14</v>
      </c>
      <c r="F1921" t="s">
        <v>15</v>
      </c>
      <c r="G1921">
        <v>15212</v>
      </c>
      <c r="H1921" t="s">
        <v>92</v>
      </c>
      <c r="I1921">
        <v>25</v>
      </c>
      <c r="J1921">
        <v>1</v>
      </c>
      <c r="K1921" t="s">
        <v>8131</v>
      </c>
    </row>
    <row r="1922" spans="1:11" x14ac:dyDescent="0.25">
      <c r="A1922" t="s">
        <v>6471</v>
      </c>
      <c r="B1922" t="s">
        <v>6472</v>
      </c>
      <c r="C1922" t="s">
        <v>985</v>
      </c>
      <c r="D1922" t="s">
        <v>6473</v>
      </c>
      <c r="E1922" t="s">
        <v>14</v>
      </c>
      <c r="F1922" t="s">
        <v>15</v>
      </c>
      <c r="G1922">
        <v>15237</v>
      </c>
      <c r="H1922" t="s">
        <v>48</v>
      </c>
      <c r="I1922">
        <v>43</v>
      </c>
      <c r="J1922">
        <v>0</v>
      </c>
      <c r="K1922" t="s">
        <v>8131</v>
      </c>
    </row>
    <row r="1923" spans="1:11" x14ac:dyDescent="0.25">
      <c r="A1923" t="s">
        <v>6474</v>
      </c>
      <c r="B1923" t="s">
        <v>115</v>
      </c>
      <c r="C1923" t="s">
        <v>6475</v>
      </c>
      <c r="D1923" t="s">
        <v>6476</v>
      </c>
      <c r="E1923" t="s">
        <v>14</v>
      </c>
      <c r="F1923" t="s">
        <v>15</v>
      </c>
      <c r="G1923">
        <v>15228</v>
      </c>
      <c r="H1923" t="s">
        <v>16</v>
      </c>
      <c r="I1923">
        <v>277</v>
      </c>
      <c r="J1923">
        <v>1</v>
      </c>
      <c r="K1923" t="s">
        <v>8131</v>
      </c>
    </row>
    <row r="1924" spans="1:11" x14ac:dyDescent="0.25">
      <c r="A1924" t="s">
        <v>6477</v>
      </c>
      <c r="B1924" t="s">
        <v>6478</v>
      </c>
      <c r="C1924" t="s">
        <v>6479</v>
      </c>
      <c r="D1924" t="s">
        <v>6480</v>
      </c>
      <c r="E1924" t="s">
        <v>14</v>
      </c>
      <c r="F1924" t="s">
        <v>15</v>
      </c>
      <c r="G1924">
        <v>15226</v>
      </c>
      <c r="H1924" t="s">
        <v>16</v>
      </c>
      <c r="I1924">
        <v>83</v>
      </c>
      <c r="J1924">
        <v>1</v>
      </c>
      <c r="K1924" t="s">
        <v>8131</v>
      </c>
    </row>
    <row r="1925" spans="1:11" x14ac:dyDescent="0.25">
      <c r="A1925" t="s">
        <v>6481</v>
      </c>
      <c r="B1925" t="s">
        <v>377</v>
      </c>
      <c r="C1925" t="s">
        <v>6482</v>
      </c>
      <c r="D1925" t="s">
        <v>6483</v>
      </c>
      <c r="E1925" t="s">
        <v>14</v>
      </c>
      <c r="F1925" t="s">
        <v>15</v>
      </c>
      <c r="G1925">
        <v>15217</v>
      </c>
      <c r="H1925" t="s">
        <v>34</v>
      </c>
      <c r="I1925">
        <v>14</v>
      </c>
      <c r="J1925">
        <v>0</v>
      </c>
      <c r="K1925" t="s">
        <v>8131</v>
      </c>
    </row>
    <row r="1926" spans="1:11" x14ac:dyDescent="0.25">
      <c r="A1926" t="s">
        <v>6484</v>
      </c>
      <c r="B1926" t="s">
        <v>227</v>
      </c>
      <c r="C1926" t="s">
        <v>1464</v>
      </c>
      <c r="D1926" t="s">
        <v>6485</v>
      </c>
      <c r="E1926" t="s">
        <v>14</v>
      </c>
      <c r="F1926" t="s">
        <v>15</v>
      </c>
      <c r="G1926">
        <v>15222</v>
      </c>
      <c r="H1926" t="s">
        <v>43</v>
      </c>
      <c r="I1926">
        <v>9</v>
      </c>
      <c r="J1926">
        <v>1</v>
      </c>
      <c r="K1926" t="s">
        <v>8131</v>
      </c>
    </row>
    <row r="1927" spans="1:11" x14ac:dyDescent="0.25">
      <c r="A1927" t="s">
        <v>6486</v>
      </c>
      <c r="B1927" t="s">
        <v>6487</v>
      </c>
      <c r="C1927" t="s">
        <v>6488</v>
      </c>
      <c r="D1927" t="s">
        <v>6489</v>
      </c>
      <c r="E1927" t="s">
        <v>14</v>
      </c>
      <c r="F1927" t="s">
        <v>15</v>
      </c>
      <c r="G1927">
        <v>15237</v>
      </c>
      <c r="H1927" t="s">
        <v>34</v>
      </c>
      <c r="I1927">
        <v>246</v>
      </c>
      <c r="J1927">
        <v>1</v>
      </c>
      <c r="K1927" t="s">
        <v>8131</v>
      </c>
    </row>
    <row r="1928" spans="1:11" x14ac:dyDescent="0.25">
      <c r="A1928" t="s">
        <v>6490</v>
      </c>
      <c r="B1928" t="s">
        <v>6491</v>
      </c>
      <c r="C1928" t="s">
        <v>6492</v>
      </c>
      <c r="D1928" t="s">
        <v>6493</v>
      </c>
      <c r="E1928" t="s">
        <v>14</v>
      </c>
      <c r="F1928" t="s">
        <v>15</v>
      </c>
      <c r="G1928">
        <v>15222</v>
      </c>
      <c r="H1928" t="s">
        <v>16</v>
      </c>
      <c r="I1928">
        <v>403</v>
      </c>
      <c r="J1928">
        <v>1</v>
      </c>
      <c r="K1928" t="s">
        <v>8131</v>
      </c>
    </row>
    <row r="1929" spans="1:11" x14ac:dyDescent="0.25">
      <c r="A1929" t="s">
        <v>6494</v>
      </c>
      <c r="B1929" t="s">
        <v>6495</v>
      </c>
      <c r="C1929" t="s">
        <v>6496</v>
      </c>
      <c r="D1929" t="s">
        <v>6497</v>
      </c>
      <c r="E1929" t="s">
        <v>14</v>
      </c>
      <c r="F1929" t="s">
        <v>15</v>
      </c>
      <c r="G1929">
        <v>15232</v>
      </c>
      <c r="H1929" t="s">
        <v>34</v>
      </c>
      <c r="I1929">
        <v>132</v>
      </c>
      <c r="J1929">
        <v>1</v>
      </c>
      <c r="K1929" t="s">
        <v>8131</v>
      </c>
    </row>
    <row r="1930" spans="1:11" x14ac:dyDescent="0.25">
      <c r="A1930" t="s">
        <v>6498</v>
      </c>
      <c r="B1930" t="s">
        <v>6499</v>
      </c>
      <c r="C1930" t="s">
        <v>6500</v>
      </c>
      <c r="D1930" t="s">
        <v>2331</v>
      </c>
      <c r="E1930" t="s">
        <v>14</v>
      </c>
      <c r="F1930" t="s">
        <v>15</v>
      </c>
      <c r="G1930">
        <v>15222</v>
      </c>
      <c r="H1930" t="s">
        <v>21</v>
      </c>
      <c r="I1930">
        <v>53</v>
      </c>
      <c r="J1930">
        <v>1</v>
      </c>
      <c r="K1930" t="s">
        <v>8131</v>
      </c>
    </row>
    <row r="1931" spans="1:11" x14ac:dyDescent="0.25">
      <c r="A1931" t="s">
        <v>6501</v>
      </c>
      <c r="B1931" t="s">
        <v>6502</v>
      </c>
      <c r="C1931" t="s">
        <v>6503</v>
      </c>
      <c r="D1931" t="s">
        <v>3262</v>
      </c>
      <c r="E1931" t="s">
        <v>14</v>
      </c>
      <c r="F1931" t="s">
        <v>15</v>
      </c>
      <c r="G1931">
        <v>15234</v>
      </c>
      <c r="H1931" t="s">
        <v>16</v>
      </c>
      <c r="I1931">
        <v>4</v>
      </c>
      <c r="J1931">
        <v>0</v>
      </c>
      <c r="K1931" t="s">
        <v>8131</v>
      </c>
    </row>
    <row r="1932" spans="1:11" x14ac:dyDescent="0.25">
      <c r="A1932" t="s">
        <v>6504</v>
      </c>
      <c r="B1932" t="s">
        <v>2353</v>
      </c>
      <c r="C1932" t="s">
        <v>6505</v>
      </c>
      <c r="D1932" t="s">
        <v>4310</v>
      </c>
      <c r="E1932" t="s">
        <v>14</v>
      </c>
      <c r="F1932" t="s">
        <v>15</v>
      </c>
      <c r="G1932">
        <v>15203</v>
      </c>
      <c r="H1932" t="s">
        <v>43</v>
      </c>
      <c r="I1932">
        <v>20</v>
      </c>
      <c r="J1932">
        <v>0</v>
      </c>
      <c r="K1932" t="s">
        <v>8131</v>
      </c>
    </row>
    <row r="1933" spans="1:11" x14ac:dyDescent="0.25">
      <c r="A1933" t="s">
        <v>6506</v>
      </c>
      <c r="B1933" t="s">
        <v>586</v>
      </c>
      <c r="C1933" t="s">
        <v>6507</v>
      </c>
      <c r="D1933" t="s">
        <v>6508</v>
      </c>
      <c r="E1933" t="s">
        <v>14</v>
      </c>
      <c r="F1933" t="s">
        <v>15</v>
      </c>
      <c r="G1933">
        <v>15209</v>
      </c>
      <c r="H1933" t="s">
        <v>48</v>
      </c>
      <c r="I1933">
        <v>32</v>
      </c>
      <c r="J1933">
        <v>1</v>
      </c>
      <c r="K1933" t="s">
        <v>8131</v>
      </c>
    </row>
    <row r="1934" spans="1:11" x14ac:dyDescent="0.25">
      <c r="A1934" t="s">
        <v>6509</v>
      </c>
      <c r="B1934" t="s">
        <v>319</v>
      </c>
      <c r="C1934" t="s">
        <v>6510</v>
      </c>
      <c r="D1934" t="s">
        <v>6511</v>
      </c>
      <c r="E1934" t="s">
        <v>14</v>
      </c>
      <c r="F1934" t="s">
        <v>15</v>
      </c>
      <c r="G1934">
        <v>15222</v>
      </c>
      <c r="H1934" t="s">
        <v>48</v>
      </c>
      <c r="I1934">
        <v>8</v>
      </c>
      <c r="J1934">
        <v>1</v>
      </c>
      <c r="K1934" t="s">
        <v>8131</v>
      </c>
    </row>
    <row r="1935" spans="1:11" x14ac:dyDescent="0.25">
      <c r="A1935" t="s">
        <v>6512</v>
      </c>
      <c r="B1935" t="s">
        <v>6513</v>
      </c>
      <c r="C1935" t="s">
        <v>4569</v>
      </c>
      <c r="D1935" t="s">
        <v>2445</v>
      </c>
      <c r="E1935" t="s">
        <v>14</v>
      </c>
      <c r="F1935" t="s">
        <v>15</v>
      </c>
      <c r="G1935">
        <v>15203</v>
      </c>
      <c r="H1935" t="s">
        <v>16</v>
      </c>
      <c r="I1935">
        <v>266</v>
      </c>
      <c r="J1935">
        <v>1</v>
      </c>
      <c r="K1935" t="s">
        <v>8131</v>
      </c>
    </row>
    <row r="1936" spans="1:11" x14ac:dyDescent="0.25">
      <c r="A1936" t="s">
        <v>6514</v>
      </c>
      <c r="B1936" t="s">
        <v>6515</v>
      </c>
      <c r="C1936" t="s">
        <v>6516</v>
      </c>
      <c r="D1936" t="s">
        <v>6517</v>
      </c>
      <c r="E1936" t="s">
        <v>14</v>
      </c>
      <c r="F1936" t="s">
        <v>15</v>
      </c>
      <c r="G1936">
        <v>15211</v>
      </c>
      <c r="H1936" t="s">
        <v>48</v>
      </c>
      <c r="I1936">
        <v>77</v>
      </c>
      <c r="J1936">
        <v>1</v>
      </c>
      <c r="K1936" t="s">
        <v>8131</v>
      </c>
    </row>
    <row r="1937" spans="1:11" x14ac:dyDescent="0.25">
      <c r="A1937" t="s">
        <v>6518</v>
      </c>
      <c r="B1937" t="s">
        <v>36</v>
      </c>
      <c r="C1937" t="s">
        <v>6519</v>
      </c>
      <c r="D1937" t="s">
        <v>1779</v>
      </c>
      <c r="E1937" t="s">
        <v>14</v>
      </c>
      <c r="F1937" t="s">
        <v>15</v>
      </c>
      <c r="G1937">
        <v>15222</v>
      </c>
      <c r="H1937" t="s">
        <v>48</v>
      </c>
      <c r="I1937">
        <v>19</v>
      </c>
      <c r="J1937">
        <v>0</v>
      </c>
      <c r="K1937" t="s">
        <v>8131</v>
      </c>
    </row>
    <row r="1938" spans="1:11" x14ac:dyDescent="0.25">
      <c r="A1938" t="s">
        <v>6520</v>
      </c>
      <c r="B1938" t="s">
        <v>1384</v>
      </c>
      <c r="C1938" t="s">
        <v>6521</v>
      </c>
      <c r="D1938" t="s">
        <v>2804</v>
      </c>
      <c r="E1938" t="s">
        <v>14</v>
      </c>
      <c r="F1938" t="s">
        <v>15</v>
      </c>
      <c r="G1938">
        <v>15222</v>
      </c>
      <c r="H1938" t="s">
        <v>43</v>
      </c>
      <c r="I1938">
        <v>7</v>
      </c>
      <c r="J1938">
        <v>0</v>
      </c>
      <c r="K1938" t="s">
        <v>8131</v>
      </c>
    </row>
    <row r="1939" spans="1:11" x14ac:dyDescent="0.25">
      <c r="A1939" t="s">
        <v>6522</v>
      </c>
      <c r="B1939" t="s">
        <v>6523</v>
      </c>
      <c r="C1939" t="s">
        <v>6524</v>
      </c>
      <c r="D1939" t="s">
        <v>2529</v>
      </c>
      <c r="E1939" t="s">
        <v>14</v>
      </c>
      <c r="F1939" t="s">
        <v>15</v>
      </c>
      <c r="G1939">
        <v>15218</v>
      </c>
      <c r="H1939" t="s">
        <v>48</v>
      </c>
      <c r="I1939">
        <v>68</v>
      </c>
      <c r="J1939">
        <v>1</v>
      </c>
      <c r="K1939" t="s">
        <v>8131</v>
      </c>
    </row>
    <row r="1940" spans="1:11" x14ac:dyDescent="0.25">
      <c r="A1940" t="s">
        <v>6525</v>
      </c>
      <c r="B1940" t="s">
        <v>6526</v>
      </c>
      <c r="C1940" t="s">
        <v>6527</v>
      </c>
      <c r="D1940" t="s">
        <v>2080</v>
      </c>
      <c r="E1940" t="s">
        <v>14</v>
      </c>
      <c r="F1940" t="s">
        <v>15</v>
      </c>
      <c r="G1940">
        <v>15236</v>
      </c>
      <c r="H1940" t="s">
        <v>16</v>
      </c>
      <c r="I1940">
        <v>61</v>
      </c>
      <c r="J1940">
        <v>1</v>
      </c>
      <c r="K1940" t="s">
        <v>8131</v>
      </c>
    </row>
    <row r="1941" spans="1:11" x14ac:dyDescent="0.25">
      <c r="A1941" t="s">
        <v>6528</v>
      </c>
      <c r="B1941" t="s">
        <v>6529</v>
      </c>
      <c r="C1941" t="s">
        <v>6530</v>
      </c>
      <c r="D1941" t="s">
        <v>6531</v>
      </c>
      <c r="E1941" t="s">
        <v>14</v>
      </c>
      <c r="F1941" t="s">
        <v>15</v>
      </c>
      <c r="G1941">
        <v>15226</v>
      </c>
      <c r="H1941" t="s">
        <v>16</v>
      </c>
      <c r="I1941">
        <v>10</v>
      </c>
      <c r="J1941">
        <v>1</v>
      </c>
      <c r="K1941" t="s">
        <v>8131</v>
      </c>
    </row>
    <row r="1942" spans="1:11" x14ac:dyDescent="0.25">
      <c r="A1942" t="s">
        <v>6532</v>
      </c>
      <c r="B1942" t="s">
        <v>1026</v>
      </c>
      <c r="C1942" t="s">
        <v>228</v>
      </c>
      <c r="D1942" t="s">
        <v>6533</v>
      </c>
      <c r="E1942" t="s">
        <v>14</v>
      </c>
      <c r="F1942" t="s">
        <v>15</v>
      </c>
      <c r="G1942">
        <v>15218</v>
      </c>
      <c r="H1942" t="s">
        <v>113</v>
      </c>
      <c r="I1942">
        <v>12</v>
      </c>
      <c r="J1942">
        <v>1</v>
      </c>
      <c r="K1942" t="s">
        <v>8131</v>
      </c>
    </row>
    <row r="1943" spans="1:11" x14ac:dyDescent="0.25">
      <c r="A1943" t="s">
        <v>6534</v>
      </c>
      <c r="B1943" t="s">
        <v>36</v>
      </c>
      <c r="C1943" t="s">
        <v>6535</v>
      </c>
      <c r="D1943" t="s">
        <v>1686</v>
      </c>
      <c r="E1943" t="s">
        <v>14</v>
      </c>
      <c r="F1943" t="s">
        <v>15</v>
      </c>
      <c r="G1943">
        <v>15237</v>
      </c>
      <c r="H1943" t="s">
        <v>21</v>
      </c>
      <c r="I1943">
        <v>13</v>
      </c>
      <c r="J1943">
        <v>1</v>
      </c>
      <c r="K1943" t="s">
        <v>8131</v>
      </c>
    </row>
    <row r="1944" spans="1:11" x14ac:dyDescent="0.25">
      <c r="A1944" t="s">
        <v>6536</v>
      </c>
      <c r="B1944" t="s">
        <v>6537</v>
      </c>
      <c r="C1944" t="s">
        <v>6538</v>
      </c>
      <c r="D1944" t="s">
        <v>6539</v>
      </c>
      <c r="E1944" t="s">
        <v>14</v>
      </c>
      <c r="F1944" t="s">
        <v>15</v>
      </c>
      <c r="G1944">
        <v>15212</v>
      </c>
      <c r="H1944" t="s">
        <v>16</v>
      </c>
      <c r="I1944">
        <v>61</v>
      </c>
      <c r="J1944">
        <v>0</v>
      </c>
      <c r="K1944" t="s">
        <v>8131</v>
      </c>
    </row>
    <row r="1945" spans="1:11" x14ac:dyDescent="0.25">
      <c r="A1945" t="s">
        <v>6540</v>
      </c>
      <c r="B1945" t="s">
        <v>2149</v>
      </c>
      <c r="C1945" t="s">
        <v>6541</v>
      </c>
      <c r="D1945" t="s">
        <v>2254</v>
      </c>
      <c r="E1945" t="s">
        <v>14</v>
      </c>
      <c r="F1945" t="s">
        <v>15</v>
      </c>
      <c r="G1945">
        <v>15203</v>
      </c>
      <c r="H1945" t="s">
        <v>48</v>
      </c>
      <c r="I1945">
        <v>9</v>
      </c>
      <c r="J1945">
        <v>0</v>
      </c>
      <c r="K1945" t="s">
        <v>8131</v>
      </c>
    </row>
    <row r="1946" spans="1:11" x14ac:dyDescent="0.25">
      <c r="A1946" t="s">
        <v>6542</v>
      </c>
      <c r="B1946" t="s">
        <v>6543</v>
      </c>
      <c r="C1946" t="s">
        <v>6544</v>
      </c>
      <c r="D1946" t="s">
        <v>6545</v>
      </c>
      <c r="E1946" t="s">
        <v>14</v>
      </c>
      <c r="F1946" t="s">
        <v>15</v>
      </c>
      <c r="G1946">
        <v>15212</v>
      </c>
      <c r="H1946" t="s">
        <v>34</v>
      </c>
      <c r="I1946">
        <v>100</v>
      </c>
      <c r="J1946">
        <v>1</v>
      </c>
      <c r="K1946" t="s">
        <v>8131</v>
      </c>
    </row>
    <row r="1947" spans="1:11" x14ac:dyDescent="0.25">
      <c r="A1947" t="s">
        <v>6546</v>
      </c>
      <c r="B1947" t="s">
        <v>6547</v>
      </c>
      <c r="C1947" t="s">
        <v>6548</v>
      </c>
      <c r="D1947" t="s">
        <v>6549</v>
      </c>
      <c r="E1947" t="s">
        <v>14</v>
      </c>
      <c r="F1947" t="s">
        <v>15</v>
      </c>
      <c r="G1947">
        <v>15206</v>
      </c>
      <c r="H1947" t="s">
        <v>16</v>
      </c>
      <c r="I1947">
        <v>15</v>
      </c>
      <c r="J1947">
        <v>1</v>
      </c>
      <c r="K1947" t="s">
        <v>8131</v>
      </c>
    </row>
    <row r="1948" spans="1:11" x14ac:dyDescent="0.25">
      <c r="A1948" t="s">
        <v>6550</v>
      </c>
      <c r="B1948" t="s">
        <v>6551</v>
      </c>
      <c r="C1948" t="s">
        <v>6552</v>
      </c>
      <c r="D1948" t="s">
        <v>767</v>
      </c>
      <c r="E1948" t="s">
        <v>14</v>
      </c>
      <c r="F1948" t="s">
        <v>15</v>
      </c>
      <c r="G1948">
        <v>15213</v>
      </c>
      <c r="H1948" t="s">
        <v>16</v>
      </c>
      <c r="I1948">
        <v>3</v>
      </c>
      <c r="J1948">
        <v>0</v>
      </c>
      <c r="K1948" t="s">
        <v>8131</v>
      </c>
    </row>
    <row r="1949" spans="1:11" x14ac:dyDescent="0.25">
      <c r="A1949" t="s">
        <v>6553</v>
      </c>
      <c r="B1949" t="s">
        <v>1729</v>
      </c>
      <c r="C1949" t="s">
        <v>6554</v>
      </c>
      <c r="D1949" t="s">
        <v>1565</v>
      </c>
      <c r="E1949" t="s">
        <v>14</v>
      </c>
      <c r="F1949" t="s">
        <v>15</v>
      </c>
      <c r="G1949">
        <v>15222</v>
      </c>
      <c r="H1949" t="s">
        <v>48</v>
      </c>
      <c r="I1949">
        <v>170</v>
      </c>
      <c r="J1949">
        <v>1</v>
      </c>
      <c r="K1949" t="s">
        <v>8131</v>
      </c>
    </row>
    <row r="1950" spans="1:11" x14ac:dyDescent="0.25">
      <c r="A1950" t="s">
        <v>6555</v>
      </c>
      <c r="B1950" t="s">
        <v>6556</v>
      </c>
      <c r="C1950" t="s">
        <v>6557</v>
      </c>
      <c r="D1950" t="s">
        <v>3374</v>
      </c>
      <c r="E1950" t="s">
        <v>14</v>
      </c>
      <c r="F1950" t="s">
        <v>15</v>
      </c>
      <c r="G1950">
        <v>15213</v>
      </c>
      <c r="H1950" t="s">
        <v>48</v>
      </c>
      <c r="I1950">
        <v>3</v>
      </c>
      <c r="J1950">
        <v>1</v>
      </c>
      <c r="K1950" t="s">
        <v>8131</v>
      </c>
    </row>
    <row r="1951" spans="1:11" x14ac:dyDescent="0.25">
      <c r="A1951" t="s">
        <v>6558</v>
      </c>
      <c r="B1951" t="s">
        <v>6559</v>
      </c>
      <c r="C1951" t="s">
        <v>3436</v>
      </c>
      <c r="D1951" t="s">
        <v>6560</v>
      </c>
      <c r="E1951" t="s">
        <v>14</v>
      </c>
      <c r="F1951" t="s">
        <v>15</v>
      </c>
      <c r="G1951">
        <v>15206</v>
      </c>
      <c r="H1951" t="s">
        <v>48</v>
      </c>
      <c r="I1951">
        <v>44</v>
      </c>
      <c r="J1951">
        <v>1</v>
      </c>
      <c r="K1951" t="s">
        <v>8131</v>
      </c>
    </row>
    <row r="1952" spans="1:11" x14ac:dyDescent="0.25">
      <c r="A1952" t="s">
        <v>6561</v>
      </c>
      <c r="B1952" t="s">
        <v>6562</v>
      </c>
      <c r="C1952" t="s">
        <v>6563</v>
      </c>
      <c r="D1952" t="s">
        <v>3878</v>
      </c>
      <c r="E1952" t="s">
        <v>14</v>
      </c>
      <c r="F1952" t="s">
        <v>15</v>
      </c>
      <c r="G1952">
        <v>15232</v>
      </c>
      <c r="H1952" t="s">
        <v>48</v>
      </c>
      <c r="I1952">
        <v>16</v>
      </c>
      <c r="J1952">
        <v>0</v>
      </c>
      <c r="K1952" t="s">
        <v>8131</v>
      </c>
    </row>
    <row r="1953" spans="1:11" x14ac:dyDescent="0.25">
      <c r="A1953" t="s">
        <v>6564</v>
      </c>
      <c r="B1953" t="s">
        <v>877</v>
      </c>
      <c r="C1953" t="s">
        <v>6565</v>
      </c>
      <c r="D1953" t="s">
        <v>6566</v>
      </c>
      <c r="E1953" t="s">
        <v>14</v>
      </c>
      <c r="F1953" t="s">
        <v>15</v>
      </c>
      <c r="G1953">
        <v>15289</v>
      </c>
      <c r="H1953" t="s">
        <v>16</v>
      </c>
      <c r="I1953">
        <v>55</v>
      </c>
      <c r="J1953">
        <v>1</v>
      </c>
      <c r="K1953" t="s">
        <v>8131</v>
      </c>
    </row>
    <row r="1954" spans="1:11" x14ac:dyDescent="0.25">
      <c r="A1954" t="s">
        <v>6567</v>
      </c>
      <c r="B1954" t="s">
        <v>3126</v>
      </c>
      <c r="C1954" t="s">
        <v>6568</v>
      </c>
      <c r="D1954" t="s">
        <v>6569</v>
      </c>
      <c r="E1954" t="s">
        <v>14</v>
      </c>
      <c r="F1954" t="s">
        <v>15</v>
      </c>
      <c r="G1954">
        <v>15210</v>
      </c>
      <c r="H1954" t="s">
        <v>48</v>
      </c>
      <c r="I1954">
        <v>3</v>
      </c>
      <c r="J1954">
        <v>0</v>
      </c>
      <c r="K1954" t="s">
        <v>8131</v>
      </c>
    </row>
    <row r="1955" spans="1:11" x14ac:dyDescent="0.25">
      <c r="A1955" t="s">
        <v>6570</v>
      </c>
      <c r="B1955" t="s">
        <v>920</v>
      </c>
      <c r="C1955" t="s">
        <v>6571</v>
      </c>
      <c r="D1955" t="s">
        <v>5662</v>
      </c>
      <c r="E1955" t="s">
        <v>14</v>
      </c>
      <c r="F1955" t="s">
        <v>15</v>
      </c>
      <c r="G1955">
        <v>15201</v>
      </c>
      <c r="H1955" t="s">
        <v>48</v>
      </c>
      <c r="I1955">
        <v>26</v>
      </c>
      <c r="J1955">
        <v>0</v>
      </c>
      <c r="K1955" t="s">
        <v>8131</v>
      </c>
    </row>
    <row r="1956" spans="1:11" x14ac:dyDescent="0.25">
      <c r="A1956" t="s">
        <v>6572</v>
      </c>
      <c r="B1956" t="s">
        <v>6573</v>
      </c>
      <c r="C1956" t="s">
        <v>3583</v>
      </c>
      <c r="D1956" t="s">
        <v>6574</v>
      </c>
      <c r="E1956" t="s">
        <v>14</v>
      </c>
      <c r="F1956" t="s">
        <v>15</v>
      </c>
      <c r="G1956">
        <v>15217</v>
      </c>
      <c r="H1956" t="s">
        <v>48</v>
      </c>
      <c r="I1956">
        <v>124</v>
      </c>
      <c r="J1956">
        <v>1</v>
      </c>
      <c r="K1956" t="s">
        <v>8131</v>
      </c>
    </row>
    <row r="1957" spans="1:11" x14ac:dyDescent="0.25">
      <c r="A1957" t="s">
        <v>6575</v>
      </c>
      <c r="B1957" t="s">
        <v>6576</v>
      </c>
      <c r="C1957" t="s">
        <v>6577</v>
      </c>
      <c r="D1957" t="s">
        <v>6578</v>
      </c>
      <c r="E1957" t="s">
        <v>14</v>
      </c>
      <c r="F1957" t="s">
        <v>15</v>
      </c>
      <c r="G1957">
        <v>15237</v>
      </c>
      <c r="H1957" t="s">
        <v>16</v>
      </c>
      <c r="I1957">
        <v>79</v>
      </c>
      <c r="J1957">
        <v>1</v>
      </c>
      <c r="K1957" t="s">
        <v>8131</v>
      </c>
    </row>
    <row r="1958" spans="1:11" x14ac:dyDescent="0.25">
      <c r="A1958" t="s">
        <v>6579</v>
      </c>
      <c r="B1958" t="s">
        <v>5826</v>
      </c>
      <c r="C1958" t="s">
        <v>6580</v>
      </c>
      <c r="D1958" t="s">
        <v>6581</v>
      </c>
      <c r="E1958" t="s">
        <v>14</v>
      </c>
      <c r="F1958" t="s">
        <v>15</v>
      </c>
      <c r="G1958">
        <v>15213</v>
      </c>
      <c r="H1958" t="s">
        <v>48</v>
      </c>
      <c r="I1958">
        <v>10</v>
      </c>
      <c r="J1958">
        <v>1</v>
      </c>
      <c r="K1958" t="s">
        <v>8131</v>
      </c>
    </row>
    <row r="1959" spans="1:11" x14ac:dyDescent="0.25">
      <c r="A1959" t="s">
        <v>6582</v>
      </c>
      <c r="B1959" t="s">
        <v>6583</v>
      </c>
      <c r="C1959" t="s">
        <v>6584</v>
      </c>
      <c r="D1959" t="s">
        <v>681</v>
      </c>
      <c r="E1959" t="s">
        <v>14</v>
      </c>
      <c r="F1959" t="s">
        <v>15</v>
      </c>
      <c r="G1959">
        <v>15206</v>
      </c>
      <c r="H1959" t="s">
        <v>21</v>
      </c>
      <c r="I1959">
        <v>26</v>
      </c>
      <c r="J1959">
        <v>1</v>
      </c>
      <c r="K1959" t="s">
        <v>8131</v>
      </c>
    </row>
    <row r="1960" spans="1:11" x14ac:dyDescent="0.25">
      <c r="A1960" t="s">
        <v>6585</v>
      </c>
      <c r="B1960" t="s">
        <v>1384</v>
      </c>
      <c r="C1960" t="s">
        <v>6586</v>
      </c>
      <c r="D1960" t="s">
        <v>677</v>
      </c>
      <c r="E1960" t="s">
        <v>14</v>
      </c>
      <c r="F1960" t="s">
        <v>15</v>
      </c>
      <c r="G1960">
        <v>15216</v>
      </c>
      <c r="H1960" t="s">
        <v>16</v>
      </c>
      <c r="I1960">
        <v>8</v>
      </c>
      <c r="J1960">
        <v>0</v>
      </c>
      <c r="K1960" t="s">
        <v>8131</v>
      </c>
    </row>
    <row r="1961" spans="1:11" x14ac:dyDescent="0.25">
      <c r="A1961" t="s">
        <v>6587</v>
      </c>
      <c r="B1961" t="s">
        <v>6588</v>
      </c>
      <c r="C1961" t="s">
        <v>6589</v>
      </c>
      <c r="D1961" t="s">
        <v>6590</v>
      </c>
      <c r="E1961" t="s">
        <v>14</v>
      </c>
      <c r="F1961" t="s">
        <v>15</v>
      </c>
      <c r="G1961">
        <v>15213</v>
      </c>
      <c r="H1961" t="s">
        <v>21</v>
      </c>
      <c r="I1961">
        <v>44</v>
      </c>
      <c r="J1961">
        <v>1</v>
      </c>
      <c r="K1961" t="s">
        <v>8131</v>
      </c>
    </row>
    <row r="1962" spans="1:11" x14ac:dyDescent="0.25">
      <c r="A1962" t="s">
        <v>6591</v>
      </c>
      <c r="B1962" t="s">
        <v>282</v>
      </c>
      <c r="C1962" t="s">
        <v>6592</v>
      </c>
      <c r="D1962" t="s">
        <v>6593</v>
      </c>
      <c r="E1962" t="s">
        <v>14</v>
      </c>
      <c r="F1962" t="s">
        <v>15</v>
      </c>
      <c r="G1962">
        <v>15217</v>
      </c>
      <c r="H1962" t="s">
        <v>16</v>
      </c>
      <c r="I1962">
        <v>236</v>
      </c>
      <c r="J1962">
        <v>1</v>
      </c>
      <c r="K1962" t="s">
        <v>8131</v>
      </c>
    </row>
    <row r="1963" spans="1:11" x14ac:dyDescent="0.25">
      <c r="A1963" t="s">
        <v>6594</v>
      </c>
      <c r="B1963" t="s">
        <v>6595</v>
      </c>
      <c r="C1963" t="s">
        <v>6596</v>
      </c>
      <c r="D1963" t="s">
        <v>6597</v>
      </c>
      <c r="E1963" t="s">
        <v>14</v>
      </c>
      <c r="F1963" t="s">
        <v>15</v>
      </c>
      <c r="G1963">
        <v>15224</v>
      </c>
      <c r="H1963" t="s">
        <v>48</v>
      </c>
      <c r="I1963">
        <v>10</v>
      </c>
      <c r="J1963">
        <v>1</v>
      </c>
      <c r="K1963" t="s">
        <v>8131</v>
      </c>
    </row>
    <row r="1964" spans="1:11" x14ac:dyDescent="0.25">
      <c r="A1964" t="s">
        <v>6598</v>
      </c>
      <c r="B1964" t="s">
        <v>6599</v>
      </c>
      <c r="C1964" t="s">
        <v>6600</v>
      </c>
      <c r="D1964" t="s">
        <v>6601</v>
      </c>
      <c r="E1964" t="s">
        <v>14</v>
      </c>
      <c r="F1964" t="s">
        <v>15</v>
      </c>
      <c r="G1964">
        <v>15201</v>
      </c>
      <c r="H1964" t="s">
        <v>16</v>
      </c>
      <c r="I1964">
        <v>221</v>
      </c>
      <c r="J1964">
        <v>1</v>
      </c>
      <c r="K1964" t="s">
        <v>8131</v>
      </c>
    </row>
    <row r="1965" spans="1:11" x14ac:dyDescent="0.25">
      <c r="A1965" t="s">
        <v>6602</v>
      </c>
      <c r="B1965" t="s">
        <v>6603</v>
      </c>
      <c r="C1965" t="s">
        <v>6604</v>
      </c>
      <c r="D1965" t="s">
        <v>1238</v>
      </c>
      <c r="E1965" t="s">
        <v>14</v>
      </c>
      <c r="F1965" t="s">
        <v>15</v>
      </c>
      <c r="G1965">
        <v>15212</v>
      </c>
      <c r="H1965" t="s">
        <v>34</v>
      </c>
      <c r="I1965">
        <v>37</v>
      </c>
      <c r="J1965">
        <v>1</v>
      </c>
      <c r="K1965" t="s">
        <v>8131</v>
      </c>
    </row>
    <row r="1966" spans="1:11" x14ac:dyDescent="0.25">
      <c r="A1966" t="s">
        <v>6605</v>
      </c>
      <c r="B1966" t="s">
        <v>6606</v>
      </c>
      <c r="C1966" t="s">
        <v>6607</v>
      </c>
      <c r="D1966" t="s">
        <v>6608</v>
      </c>
      <c r="E1966" t="s">
        <v>14</v>
      </c>
      <c r="F1966" t="s">
        <v>15</v>
      </c>
      <c r="G1966">
        <v>15241</v>
      </c>
      <c r="H1966" t="s">
        <v>21</v>
      </c>
      <c r="I1966">
        <v>26</v>
      </c>
      <c r="J1966">
        <v>1</v>
      </c>
      <c r="K1966" t="s">
        <v>8131</v>
      </c>
    </row>
    <row r="1967" spans="1:11" x14ac:dyDescent="0.25">
      <c r="A1967" t="s">
        <v>6609</v>
      </c>
      <c r="B1967" t="s">
        <v>6610</v>
      </c>
      <c r="C1967" t="s">
        <v>6611</v>
      </c>
      <c r="D1967" t="s">
        <v>371</v>
      </c>
      <c r="E1967" t="s">
        <v>14</v>
      </c>
      <c r="F1967" t="s">
        <v>15</v>
      </c>
      <c r="G1967">
        <v>15203</v>
      </c>
      <c r="H1967" t="s">
        <v>34</v>
      </c>
      <c r="I1967">
        <v>75</v>
      </c>
      <c r="J1967">
        <v>0</v>
      </c>
      <c r="K1967" t="s">
        <v>8131</v>
      </c>
    </row>
    <row r="1968" spans="1:11" x14ac:dyDescent="0.25">
      <c r="A1968" t="s">
        <v>6612</v>
      </c>
      <c r="B1968" t="s">
        <v>6613</v>
      </c>
      <c r="C1968" t="s">
        <v>491</v>
      </c>
      <c r="D1968" t="s">
        <v>6614</v>
      </c>
      <c r="E1968" t="s">
        <v>14</v>
      </c>
      <c r="F1968" t="s">
        <v>15</v>
      </c>
      <c r="G1968">
        <v>15213</v>
      </c>
      <c r="H1968" t="s">
        <v>113</v>
      </c>
      <c r="I1968">
        <v>30</v>
      </c>
      <c r="J1968">
        <v>1</v>
      </c>
      <c r="K1968" t="s">
        <v>8131</v>
      </c>
    </row>
    <row r="1969" spans="1:11" x14ac:dyDescent="0.25">
      <c r="A1969" t="s">
        <v>6615</v>
      </c>
      <c r="B1969" t="s">
        <v>6616</v>
      </c>
      <c r="C1969" t="s">
        <v>6617</v>
      </c>
      <c r="D1969" t="s">
        <v>198</v>
      </c>
      <c r="E1969" t="s">
        <v>14</v>
      </c>
      <c r="F1969" t="s">
        <v>15</v>
      </c>
      <c r="G1969">
        <v>15222</v>
      </c>
      <c r="H1969" t="s">
        <v>92</v>
      </c>
      <c r="I1969">
        <v>3</v>
      </c>
      <c r="J1969">
        <v>1</v>
      </c>
      <c r="K1969" t="s">
        <v>8131</v>
      </c>
    </row>
    <row r="1970" spans="1:11" x14ac:dyDescent="0.25">
      <c r="A1970" t="s">
        <v>6618</v>
      </c>
      <c r="B1970" t="s">
        <v>36</v>
      </c>
      <c r="C1970" t="s">
        <v>6619</v>
      </c>
      <c r="D1970" t="s">
        <v>6620</v>
      </c>
      <c r="E1970" t="s">
        <v>14</v>
      </c>
      <c r="F1970" t="s">
        <v>15</v>
      </c>
      <c r="G1970">
        <v>15203</v>
      </c>
      <c r="H1970" t="s">
        <v>21</v>
      </c>
      <c r="I1970">
        <v>99</v>
      </c>
      <c r="J1970">
        <v>1</v>
      </c>
      <c r="K1970" t="s">
        <v>8131</v>
      </c>
    </row>
    <row r="1971" spans="1:11" x14ac:dyDescent="0.25">
      <c r="A1971" t="s">
        <v>6621</v>
      </c>
      <c r="B1971" t="s">
        <v>967</v>
      </c>
      <c r="C1971" t="s">
        <v>6622</v>
      </c>
      <c r="D1971" t="s">
        <v>1898</v>
      </c>
      <c r="E1971" t="s">
        <v>14</v>
      </c>
      <c r="F1971" t="s">
        <v>15</v>
      </c>
      <c r="G1971">
        <v>15206</v>
      </c>
      <c r="H1971" t="s">
        <v>16</v>
      </c>
      <c r="I1971">
        <v>4</v>
      </c>
      <c r="J1971">
        <v>0</v>
      </c>
      <c r="K1971" t="s">
        <v>8131</v>
      </c>
    </row>
    <row r="1972" spans="1:11" x14ac:dyDescent="0.25">
      <c r="A1972" t="s">
        <v>6623</v>
      </c>
      <c r="B1972" t="s">
        <v>6624</v>
      </c>
      <c r="C1972" t="s">
        <v>5902</v>
      </c>
      <c r="D1972" t="s">
        <v>5860</v>
      </c>
      <c r="E1972" t="s">
        <v>14</v>
      </c>
      <c r="F1972" t="s">
        <v>15</v>
      </c>
      <c r="G1972">
        <v>15215</v>
      </c>
      <c r="H1972" t="s">
        <v>34</v>
      </c>
      <c r="I1972">
        <v>20</v>
      </c>
      <c r="J1972">
        <v>0</v>
      </c>
      <c r="K1972" t="s">
        <v>8131</v>
      </c>
    </row>
    <row r="1973" spans="1:11" x14ac:dyDescent="0.25">
      <c r="A1973" t="s">
        <v>6625</v>
      </c>
      <c r="B1973" t="s">
        <v>6626</v>
      </c>
      <c r="C1973" t="s">
        <v>6627</v>
      </c>
      <c r="D1973" t="s">
        <v>6628</v>
      </c>
      <c r="E1973" t="s">
        <v>14</v>
      </c>
      <c r="F1973" t="s">
        <v>15</v>
      </c>
      <c r="G1973">
        <v>15236</v>
      </c>
      <c r="H1973" t="s">
        <v>16</v>
      </c>
      <c r="I1973">
        <v>112</v>
      </c>
      <c r="J1973">
        <v>1</v>
      </c>
      <c r="K1973" t="s">
        <v>8131</v>
      </c>
    </row>
    <row r="1974" spans="1:11" x14ac:dyDescent="0.25">
      <c r="A1974" t="s">
        <v>6629</v>
      </c>
      <c r="B1974" t="s">
        <v>6630</v>
      </c>
      <c r="C1974" t="s">
        <v>6631</v>
      </c>
      <c r="D1974" t="s">
        <v>6632</v>
      </c>
      <c r="E1974" t="s">
        <v>14</v>
      </c>
      <c r="F1974" t="s">
        <v>15</v>
      </c>
      <c r="G1974">
        <v>15236</v>
      </c>
      <c r="H1974" t="s">
        <v>16</v>
      </c>
      <c r="I1974">
        <v>21</v>
      </c>
      <c r="J1974">
        <v>1</v>
      </c>
      <c r="K1974" t="s">
        <v>8131</v>
      </c>
    </row>
    <row r="1975" spans="1:11" x14ac:dyDescent="0.25">
      <c r="A1975" t="s">
        <v>6633</v>
      </c>
      <c r="B1975" t="s">
        <v>6634</v>
      </c>
      <c r="C1975" t="s">
        <v>6635</v>
      </c>
      <c r="E1975" t="s">
        <v>14</v>
      </c>
      <c r="F1975" t="s">
        <v>15</v>
      </c>
      <c r="G1975">
        <v>15219</v>
      </c>
      <c r="H1975" t="s">
        <v>48</v>
      </c>
      <c r="I1975">
        <v>4</v>
      </c>
      <c r="J1975">
        <v>1</v>
      </c>
      <c r="K1975" t="s">
        <v>8131</v>
      </c>
    </row>
    <row r="1976" spans="1:11" x14ac:dyDescent="0.25">
      <c r="A1976" t="s">
        <v>6636</v>
      </c>
      <c r="B1976" t="s">
        <v>6637</v>
      </c>
      <c r="C1976" t="s">
        <v>6638</v>
      </c>
      <c r="D1976" t="s">
        <v>6639</v>
      </c>
      <c r="E1976" t="s">
        <v>14</v>
      </c>
      <c r="F1976" t="s">
        <v>15</v>
      </c>
      <c r="G1976">
        <v>15203</v>
      </c>
      <c r="H1976" t="s">
        <v>16</v>
      </c>
      <c r="I1976">
        <v>111</v>
      </c>
      <c r="J1976">
        <v>1</v>
      </c>
      <c r="K1976" t="s">
        <v>8131</v>
      </c>
    </row>
    <row r="1977" spans="1:11" x14ac:dyDescent="0.25">
      <c r="A1977" t="s">
        <v>6640</v>
      </c>
      <c r="B1977" t="s">
        <v>119</v>
      </c>
      <c r="C1977" t="s">
        <v>6641</v>
      </c>
      <c r="D1977" t="s">
        <v>6642</v>
      </c>
      <c r="E1977" t="s">
        <v>14</v>
      </c>
      <c r="F1977" t="s">
        <v>15</v>
      </c>
      <c r="G1977">
        <v>15233</v>
      </c>
      <c r="H1977" t="s">
        <v>16</v>
      </c>
      <c r="I1977">
        <v>3</v>
      </c>
      <c r="J1977">
        <v>0</v>
      </c>
      <c r="K1977" t="s">
        <v>8131</v>
      </c>
    </row>
    <row r="1978" spans="1:11" x14ac:dyDescent="0.25">
      <c r="A1978" t="s">
        <v>6643</v>
      </c>
      <c r="B1978" t="s">
        <v>282</v>
      </c>
      <c r="C1978" t="s">
        <v>6644</v>
      </c>
      <c r="D1978" t="s">
        <v>6645</v>
      </c>
      <c r="E1978" t="s">
        <v>14</v>
      </c>
      <c r="F1978" t="s">
        <v>15</v>
      </c>
      <c r="G1978">
        <v>15227</v>
      </c>
      <c r="H1978" t="s">
        <v>16</v>
      </c>
      <c r="I1978">
        <v>40</v>
      </c>
      <c r="J1978">
        <v>1</v>
      </c>
      <c r="K1978" t="s">
        <v>8131</v>
      </c>
    </row>
    <row r="1979" spans="1:11" x14ac:dyDescent="0.25">
      <c r="A1979" t="s">
        <v>6646</v>
      </c>
      <c r="B1979" t="s">
        <v>6647</v>
      </c>
      <c r="C1979" t="s">
        <v>6648</v>
      </c>
      <c r="D1979" t="s">
        <v>6649</v>
      </c>
      <c r="E1979" t="s">
        <v>14</v>
      </c>
      <c r="F1979" t="s">
        <v>15</v>
      </c>
      <c r="G1979">
        <v>15235</v>
      </c>
      <c r="H1979" t="s">
        <v>43</v>
      </c>
      <c r="I1979">
        <v>45</v>
      </c>
      <c r="J1979">
        <v>1</v>
      </c>
      <c r="K1979" t="s">
        <v>8131</v>
      </c>
    </row>
    <row r="1980" spans="1:11" x14ac:dyDescent="0.25">
      <c r="A1980" t="s">
        <v>6650</v>
      </c>
      <c r="B1980" t="s">
        <v>5140</v>
      </c>
      <c r="C1980" t="s">
        <v>6651</v>
      </c>
      <c r="D1980" t="s">
        <v>1924</v>
      </c>
      <c r="E1980" t="s">
        <v>14</v>
      </c>
      <c r="F1980" t="s">
        <v>15</v>
      </c>
      <c r="G1980">
        <v>15231</v>
      </c>
      <c r="H1980" t="s">
        <v>43</v>
      </c>
      <c r="I1980">
        <v>20</v>
      </c>
      <c r="J1980">
        <v>1</v>
      </c>
      <c r="K1980" t="s">
        <v>8131</v>
      </c>
    </row>
    <row r="1981" spans="1:11" x14ac:dyDescent="0.25">
      <c r="A1981" t="s">
        <v>6652</v>
      </c>
      <c r="B1981" t="s">
        <v>6653</v>
      </c>
      <c r="C1981" t="s">
        <v>6654</v>
      </c>
      <c r="D1981" t="s">
        <v>6655</v>
      </c>
      <c r="E1981" t="s">
        <v>14</v>
      </c>
      <c r="F1981" t="s">
        <v>15</v>
      </c>
      <c r="G1981">
        <v>15203</v>
      </c>
      <c r="H1981" t="s">
        <v>16</v>
      </c>
      <c r="I1981">
        <v>99</v>
      </c>
      <c r="J1981">
        <v>1</v>
      </c>
      <c r="K1981" t="s">
        <v>8131</v>
      </c>
    </row>
    <row r="1982" spans="1:11" x14ac:dyDescent="0.25">
      <c r="A1982" t="s">
        <v>6656</v>
      </c>
      <c r="B1982" t="s">
        <v>2118</v>
      </c>
      <c r="C1982" t="s">
        <v>4952</v>
      </c>
      <c r="D1982" t="s">
        <v>6657</v>
      </c>
      <c r="E1982" t="s">
        <v>14</v>
      </c>
      <c r="F1982" t="s">
        <v>15</v>
      </c>
      <c r="G1982">
        <v>15212</v>
      </c>
      <c r="H1982" t="s">
        <v>16</v>
      </c>
      <c r="I1982">
        <v>196</v>
      </c>
      <c r="J1982">
        <v>1</v>
      </c>
      <c r="K1982" t="s">
        <v>8131</v>
      </c>
    </row>
    <row r="1983" spans="1:11" x14ac:dyDescent="0.25">
      <c r="A1983" t="s">
        <v>6658</v>
      </c>
      <c r="B1983" t="s">
        <v>6659</v>
      </c>
      <c r="C1983" t="s">
        <v>6660</v>
      </c>
      <c r="D1983" t="s">
        <v>4172</v>
      </c>
      <c r="E1983" t="s">
        <v>14</v>
      </c>
      <c r="F1983" t="s">
        <v>15</v>
      </c>
      <c r="G1983">
        <v>15224</v>
      </c>
      <c r="H1983" t="s">
        <v>16</v>
      </c>
      <c r="I1983">
        <v>40</v>
      </c>
      <c r="J1983">
        <v>0</v>
      </c>
      <c r="K1983" t="s">
        <v>8131</v>
      </c>
    </row>
    <row r="1984" spans="1:11" x14ac:dyDescent="0.25">
      <c r="A1984" t="s">
        <v>6661</v>
      </c>
      <c r="B1984" t="s">
        <v>6662</v>
      </c>
      <c r="C1984" t="s">
        <v>2249</v>
      </c>
      <c r="D1984" t="s">
        <v>504</v>
      </c>
      <c r="E1984" t="s">
        <v>14</v>
      </c>
      <c r="F1984" t="s">
        <v>15</v>
      </c>
      <c r="G1984">
        <v>15237</v>
      </c>
      <c r="H1984" t="s">
        <v>34</v>
      </c>
      <c r="I1984">
        <v>91</v>
      </c>
      <c r="J1984">
        <v>1</v>
      </c>
      <c r="K1984" t="s">
        <v>8131</v>
      </c>
    </row>
    <row r="1985" spans="1:11" x14ac:dyDescent="0.25">
      <c r="A1985" t="e">
        <f>-BuZrOMqgO4OU_UKYSddAg</f>
        <v>#NAME?</v>
      </c>
      <c r="B1985" t="s">
        <v>6663</v>
      </c>
      <c r="C1985" t="s">
        <v>6664</v>
      </c>
      <c r="D1985" t="s">
        <v>1351</v>
      </c>
      <c r="E1985" t="s">
        <v>14</v>
      </c>
      <c r="F1985" t="s">
        <v>15</v>
      </c>
      <c r="G1985">
        <v>15238</v>
      </c>
      <c r="H1985" t="s">
        <v>34</v>
      </c>
      <c r="I1985">
        <v>50</v>
      </c>
      <c r="J1985">
        <v>1</v>
      </c>
      <c r="K1985" t="s">
        <v>8131</v>
      </c>
    </row>
    <row r="1986" spans="1:11" x14ac:dyDescent="0.25">
      <c r="A1986" t="s">
        <v>6665</v>
      </c>
      <c r="B1986" t="s">
        <v>6666</v>
      </c>
      <c r="C1986" t="s">
        <v>1150</v>
      </c>
      <c r="D1986" t="s">
        <v>6667</v>
      </c>
      <c r="E1986" t="s">
        <v>14</v>
      </c>
      <c r="F1986" t="s">
        <v>15</v>
      </c>
      <c r="G1986">
        <v>15237</v>
      </c>
      <c r="H1986" t="s">
        <v>34</v>
      </c>
      <c r="I1986">
        <v>26</v>
      </c>
      <c r="J1986">
        <v>1</v>
      </c>
      <c r="K1986" t="s">
        <v>8131</v>
      </c>
    </row>
    <row r="1987" spans="1:11" x14ac:dyDescent="0.25">
      <c r="A1987" t="s">
        <v>6668</v>
      </c>
      <c r="B1987" t="s">
        <v>6669</v>
      </c>
      <c r="C1987" t="s">
        <v>6670</v>
      </c>
      <c r="D1987" t="s">
        <v>6671</v>
      </c>
      <c r="E1987" t="s">
        <v>14</v>
      </c>
      <c r="F1987" t="s">
        <v>15</v>
      </c>
      <c r="G1987">
        <v>15237</v>
      </c>
      <c r="H1987" t="s">
        <v>48</v>
      </c>
      <c r="I1987">
        <v>30</v>
      </c>
      <c r="J1987">
        <v>1</v>
      </c>
      <c r="K1987" t="s">
        <v>8131</v>
      </c>
    </row>
    <row r="1988" spans="1:11" x14ac:dyDescent="0.25">
      <c r="A1988" t="s">
        <v>6672</v>
      </c>
      <c r="B1988" t="s">
        <v>6673</v>
      </c>
      <c r="C1988" t="s">
        <v>6674</v>
      </c>
      <c r="D1988" t="s">
        <v>6675</v>
      </c>
      <c r="E1988" t="s">
        <v>14</v>
      </c>
      <c r="F1988" t="s">
        <v>15</v>
      </c>
      <c r="G1988">
        <v>15212</v>
      </c>
      <c r="H1988" t="s">
        <v>43</v>
      </c>
      <c r="I1988">
        <v>3</v>
      </c>
      <c r="J1988">
        <v>0</v>
      </c>
      <c r="K1988" t="s">
        <v>8131</v>
      </c>
    </row>
    <row r="1989" spans="1:11" x14ac:dyDescent="0.25">
      <c r="A1989" t="s">
        <v>6676</v>
      </c>
      <c r="B1989" t="s">
        <v>2082</v>
      </c>
      <c r="C1989" t="s">
        <v>6677</v>
      </c>
      <c r="D1989" t="s">
        <v>6678</v>
      </c>
      <c r="E1989" t="s">
        <v>14</v>
      </c>
      <c r="F1989" t="s">
        <v>15</v>
      </c>
      <c r="G1989">
        <v>15222</v>
      </c>
      <c r="H1989" t="s">
        <v>34</v>
      </c>
      <c r="I1989">
        <v>147</v>
      </c>
      <c r="J1989">
        <v>1</v>
      </c>
      <c r="K1989" t="s">
        <v>8131</v>
      </c>
    </row>
    <row r="1990" spans="1:11" x14ac:dyDescent="0.25">
      <c r="A1990" t="s">
        <v>6679</v>
      </c>
      <c r="B1990" t="s">
        <v>6680</v>
      </c>
      <c r="C1990" t="s">
        <v>6681</v>
      </c>
      <c r="D1990" t="s">
        <v>871</v>
      </c>
      <c r="E1990" t="s">
        <v>14</v>
      </c>
      <c r="F1990" t="s">
        <v>15</v>
      </c>
      <c r="G1990">
        <v>15206</v>
      </c>
      <c r="H1990" t="s">
        <v>16</v>
      </c>
      <c r="I1990">
        <v>214</v>
      </c>
      <c r="J1990">
        <v>0</v>
      </c>
      <c r="K1990" t="s">
        <v>8131</v>
      </c>
    </row>
    <row r="1991" spans="1:11" x14ac:dyDescent="0.25">
      <c r="A1991" t="s">
        <v>6682</v>
      </c>
      <c r="B1991" t="s">
        <v>6683</v>
      </c>
      <c r="C1991" t="s">
        <v>6684</v>
      </c>
      <c r="D1991" t="s">
        <v>1835</v>
      </c>
      <c r="E1991" t="s">
        <v>14</v>
      </c>
      <c r="F1991" t="s">
        <v>15</v>
      </c>
      <c r="G1991">
        <v>15238</v>
      </c>
      <c r="H1991" t="s">
        <v>43</v>
      </c>
      <c r="I1991">
        <v>11</v>
      </c>
      <c r="J1991">
        <v>1</v>
      </c>
      <c r="K1991" t="s">
        <v>8131</v>
      </c>
    </row>
    <row r="1992" spans="1:11" x14ac:dyDescent="0.25">
      <c r="A1992" t="s">
        <v>6685</v>
      </c>
      <c r="B1992" t="s">
        <v>6686</v>
      </c>
      <c r="C1992" t="s">
        <v>2800</v>
      </c>
      <c r="D1992" t="s">
        <v>6687</v>
      </c>
      <c r="E1992" t="s">
        <v>14</v>
      </c>
      <c r="F1992" t="s">
        <v>15</v>
      </c>
      <c r="G1992">
        <v>15206</v>
      </c>
      <c r="H1992" t="s">
        <v>48</v>
      </c>
      <c r="I1992">
        <v>442</v>
      </c>
      <c r="J1992">
        <v>1</v>
      </c>
      <c r="K1992" t="s">
        <v>8131</v>
      </c>
    </row>
    <row r="1993" spans="1:11" x14ac:dyDescent="0.25">
      <c r="A1993" t="s">
        <v>6688</v>
      </c>
      <c r="B1993" t="s">
        <v>65</v>
      </c>
      <c r="C1993" t="s">
        <v>271</v>
      </c>
      <c r="D1993" t="s">
        <v>6689</v>
      </c>
      <c r="E1993" t="s">
        <v>14</v>
      </c>
      <c r="F1993" t="s">
        <v>15</v>
      </c>
      <c r="G1993">
        <v>15229</v>
      </c>
      <c r="H1993" t="s">
        <v>43</v>
      </c>
      <c r="I1993">
        <v>8</v>
      </c>
      <c r="J1993">
        <v>0</v>
      </c>
      <c r="K1993" t="s">
        <v>8131</v>
      </c>
    </row>
    <row r="1994" spans="1:11" x14ac:dyDescent="0.25">
      <c r="A1994" t="s">
        <v>6690</v>
      </c>
      <c r="B1994" t="s">
        <v>274</v>
      </c>
      <c r="C1994" t="s">
        <v>2115</v>
      </c>
      <c r="D1994" t="s">
        <v>3479</v>
      </c>
      <c r="E1994" t="s">
        <v>14</v>
      </c>
      <c r="F1994" t="s">
        <v>15</v>
      </c>
      <c r="G1994">
        <v>15216</v>
      </c>
      <c r="H1994" t="s">
        <v>113</v>
      </c>
      <c r="I1994">
        <v>10</v>
      </c>
      <c r="J1994">
        <v>0</v>
      </c>
      <c r="K1994" t="s">
        <v>8131</v>
      </c>
    </row>
    <row r="1995" spans="1:11" x14ac:dyDescent="0.25">
      <c r="A1995" t="s">
        <v>6691</v>
      </c>
      <c r="B1995" t="s">
        <v>6692</v>
      </c>
      <c r="C1995" t="s">
        <v>6693</v>
      </c>
      <c r="D1995" t="s">
        <v>6694</v>
      </c>
      <c r="E1995" t="s">
        <v>14</v>
      </c>
      <c r="F1995" t="s">
        <v>15</v>
      </c>
      <c r="G1995">
        <v>15212</v>
      </c>
      <c r="H1995" t="s">
        <v>16</v>
      </c>
      <c r="I1995">
        <v>8</v>
      </c>
      <c r="J1995">
        <v>0</v>
      </c>
      <c r="K1995" t="s">
        <v>8131</v>
      </c>
    </row>
    <row r="1996" spans="1:11" x14ac:dyDescent="0.25">
      <c r="A1996" t="s">
        <v>6695</v>
      </c>
      <c r="B1996" t="s">
        <v>6696</v>
      </c>
      <c r="C1996" t="s">
        <v>6697</v>
      </c>
      <c r="D1996" t="s">
        <v>5992</v>
      </c>
      <c r="E1996" t="s">
        <v>14</v>
      </c>
      <c r="F1996" t="s">
        <v>15</v>
      </c>
      <c r="G1996">
        <v>15212</v>
      </c>
      <c r="H1996" t="s">
        <v>16</v>
      </c>
      <c r="I1996">
        <v>149</v>
      </c>
      <c r="J1996">
        <v>1</v>
      </c>
      <c r="K1996" t="s">
        <v>8131</v>
      </c>
    </row>
    <row r="1997" spans="1:11" x14ac:dyDescent="0.25">
      <c r="A1997" t="s">
        <v>6698</v>
      </c>
      <c r="B1997" t="s">
        <v>282</v>
      </c>
      <c r="C1997" t="s">
        <v>6699</v>
      </c>
      <c r="D1997" t="s">
        <v>3983</v>
      </c>
      <c r="E1997" t="s">
        <v>14</v>
      </c>
      <c r="F1997" t="s">
        <v>15</v>
      </c>
      <c r="G1997">
        <v>15220</v>
      </c>
      <c r="H1997" t="s">
        <v>48</v>
      </c>
      <c r="I1997">
        <v>3</v>
      </c>
      <c r="J1997">
        <v>0</v>
      </c>
      <c r="K1997" t="s">
        <v>8131</v>
      </c>
    </row>
    <row r="1998" spans="1:11" x14ac:dyDescent="0.25">
      <c r="A1998" t="s">
        <v>6700</v>
      </c>
      <c r="B1998" t="s">
        <v>65</v>
      </c>
      <c r="C1998" t="s">
        <v>6701</v>
      </c>
      <c r="D1998" t="s">
        <v>6702</v>
      </c>
      <c r="E1998" t="s">
        <v>14</v>
      </c>
      <c r="F1998" t="s">
        <v>15</v>
      </c>
      <c r="G1998">
        <v>15213</v>
      </c>
      <c r="H1998" t="s">
        <v>21</v>
      </c>
      <c r="I1998">
        <v>12</v>
      </c>
      <c r="J1998">
        <v>1</v>
      </c>
      <c r="K1998" t="s">
        <v>8131</v>
      </c>
    </row>
    <row r="1999" spans="1:11" x14ac:dyDescent="0.25">
      <c r="A1999" t="s">
        <v>6703</v>
      </c>
      <c r="B1999" t="s">
        <v>3358</v>
      </c>
      <c r="C1999" t="s">
        <v>6704</v>
      </c>
      <c r="D1999" t="s">
        <v>2662</v>
      </c>
      <c r="E1999" t="s">
        <v>14</v>
      </c>
      <c r="F1999" t="s">
        <v>15</v>
      </c>
      <c r="G1999">
        <v>15206</v>
      </c>
      <c r="H1999" t="s">
        <v>34</v>
      </c>
      <c r="I1999">
        <v>18</v>
      </c>
      <c r="J1999">
        <v>1</v>
      </c>
      <c r="K1999" t="s">
        <v>8131</v>
      </c>
    </row>
    <row r="2000" spans="1:11" x14ac:dyDescent="0.25">
      <c r="A2000" t="s">
        <v>6705</v>
      </c>
      <c r="B2000" t="s">
        <v>3259</v>
      </c>
      <c r="C2000" t="s">
        <v>6706</v>
      </c>
      <c r="D2000" t="s">
        <v>4222</v>
      </c>
      <c r="E2000" t="s">
        <v>14</v>
      </c>
      <c r="F2000" t="s">
        <v>15</v>
      </c>
      <c r="G2000">
        <v>15237</v>
      </c>
      <c r="H2000" t="s">
        <v>34</v>
      </c>
      <c r="I2000">
        <v>41</v>
      </c>
      <c r="J2000">
        <v>0</v>
      </c>
      <c r="K2000" t="s">
        <v>8131</v>
      </c>
    </row>
    <row r="2001" spans="1:11" x14ac:dyDescent="0.25">
      <c r="A2001" t="s">
        <v>6707</v>
      </c>
      <c r="B2001" t="s">
        <v>6708</v>
      </c>
      <c r="C2001" t="s">
        <v>6709</v>
      </c>
      <c r="D2001" t="s">
        <v>6710</v>
      </c>
      <c r="E2001" t="s">
        <v>14</v>
      </c>
      <c r="F2001" t="s">
        <v>15</v>
      </c>
      <c r="G2001">
        <v>15232</v>
      </c>
      <c r="H2001" t="s">
        <v>21</v>
      </c>
      <c r="I2001">
        <v>99</v>
      </c>
      <c r="J2001">
        <v>1</v>
      </c>
      <c r="K2001" t="s">
        <v>8131</v>
      </c>
    </row>
    <row r="2002" spans="1:11" x14ac:dyDescent="0.25">
      <c r="A2002" t="s">
        <v>6711</v>
      </c>
      <c r="B2002" t="s">
        <v>6712</v>
      </c>
      <c r="C2002" t="s">
        <v>6713</v>
      </c>
      <c r="D2002" t="s">
        <v>6714</v>
      </c>
      <c r="E2002" t="s">
        <v>14</v>
      </c>
      <c r="F2002" t="s">
        <v>15</v>
      </c>
      <c r="G2002">
        <v>15228</v>
      </c>
      <c r="H2002" t="s">
        <v>43</v>
      </c>
      <c r="I2002">
        <v>28</v>
      </c>
      <c r="J2002">
        <v>0</v>
      </c>
      <c r="K2002" t="s">
        <v>8131</v>
      </c>
    </row>
    <row r="2003" spans="1:11" x14ac:dyDescent="0.25">
      <c r="A2003" t="s">
        <v>6715</v>
      </c>
      <c r="B2003" t="s">
        <v>6716</v>
      </c>
      <c r="C2003" t="s">
        <v>6717</v>
      </c>
      <c r="D2003" t="s">
        <v>6718</v>
      </c>
      <c r="E2003" t="s">
        <v>14</v>
      </c>
      <c r="F2003" t="s">
        <v>15</v>
      </c>
      <c r="G2003">
        <v>15224</v>
      </c>
      <c r="H2003" t="s">
        <v>48</v>
      </c>
      <c r="I2003">
        <v>28</v>
      </c>
      <c r="J2003">
        <v>0</v>
      </c>
      <c r="K2003" t="s">
        <v>8131</v>
      </c>
    </row>
    <row r="2004" spans="1:11" x14ac:dyDescent="0.25">
      <c r="A2004" t="s">
        <v>6719</v>
      </c>
      <c r="B2004" t="s">
        <v>4826</v>
      </c>
      <c r="C2004" t="s">
        <v>1708</v>
      </c>
      <c r="D2004" t="s">
        <v>6720</v>
      </c>
      <c r="E2004" t="s">
        <v>14</v>
      </c>
      <c r="F2004" t="s">
        <v>15</v>
      </c>
      <c r="G2004">
        <v>15210</v>
      </c>
      <c r="H2004" t="s">
        <v>34</v>
      </c>
      <c r="I2004">
        <v>5</v>
      </c>
      <c r="J2004">
        <v>1</v>
      </c>
      <c r="K2004" t="s">
        <v>8131</v>
      </c>
    </row>
    <row r="2005" spans="1:11" x14ac:dyDescent="0.25">
      <c r="A2005" t="s">
        <v>6721</v>
      </c>
      <c r="B2005" t="s">
        <v>938</v>
      </c>
      <c r="C2005" t="s">
        <v>913</v>
      </c>
      <c r="D2005" t="s">
        <v>6722</v>
      </c>
      <c r="E2005" t="s">
        <v>14</v>
      </c>
      <c r="F2005" t="s">
        <v>15</v>
      </c>
      <c r="G2005">
        <v>15202</v>
      </c>
      <c r="H2005" t="s">
        <v>43</v>
      </c>
      <c r="I2005">
        <v>19</v>
      </c>
      <c r="J2005">
        <v>1</v>
      </c>
      <c r="K2005" t="s">
        <v>8131</v>
      </c>
    </row>
    <row r="2006" spans="1:11" x14ac:dyDescent="0.25">
      <c r="A2006" t="s">
        <v>6723</v>
      </c>
      <c r="B2006" t="s">
        <v>6724</v>
      </c>
      <c r="C2006" t="s">
        <v>6725</v>
      </c>
      <c r="D2006" t="s">
        <v>3063</v>
      </c>
      <c r="E2006" t="s">
        <v>14</v>
      </c>
      <c r="F2006" t="s">
        <v>15</v>
      </c>
      <c r="G2006">
        <v>15220</v>
      </c>
      <c r="H2006" t="s">
        <v>16</v>
      </c>
      <c r="I2006">
        <v>7</v>
      </c>
      <c r="J2006">
        <v>1</v>
      </c>
      <c r="K2006" t="s">
        <v>8131</v>
      </c>
    </row>
    <row r="2007" spans="1:11" x14ac:dyDescent="0.25">
      <c r="A2007" t="s">
        <v>6726</v>
      </c>
      <c r="B2007" t="s">
        <v>1384</v>
      </c>
      <c r="C2007" t="s">
        <v>6727</v>
      </c>
      <c r="D2007" t="s">
        <v>553</v>
      </c>
      <c r="E2007" t="s">
        <v>14</v>
      </c>
      <c r="F2007" t="s">
        <v>15</v>
      </c>
      <c r="G2007">
        <v>15213</v>
      </c>
      <c r="H2007" t="s">
        <v>92</v>
      </c>
      <c r="I2007">
        <v>4</v>
      </c>
      <c r="J2007">
        <v>0</v>
      </c>
      <c r="K2007" t="s">
        <v>8131</v>
      </c>
    </row>
    <row r="2008" spans="1:11" x14ac:dyDescent="0.25">
      <c r="A2008" t="s">
        <v>6728</v>
      </c>
      <c r="B2008" t="s">
        <v>6729</v>
      </c>
      <c r="C2008" t="s">
        <v>6730</v>
      </c>
      <c r="D2008" t="s">
        <v>6731</v>
      </c>
      <c r="E2008" t="s">
        <v>14</v>
      </c>
      <c r="F2008" t="s">
        <v>15</v>
      </c>
      <c r="G2008">
        <v>15213</v>
      </c>
      <c r="H2008" t="s">
        <v>16</v>
      </c>
      <c r="I2008">
        <v>76</v>
      </c>
      <c r="J2008">
        <v>1</v>
      </c>
      <c r="K2008" t="s">
        <v>8131</v>
      </c>
    </row>
    <row r="2009" spans="1:11" x14ac:dyDescent="0.25">
      <c r="A2009" t="s">
        <v>6732</v>
      </c>
      <c r="B2009" t="s">
        <v>6733</v>
      </c>
      <c r="C2009" t="s">
        <v>6734</v>
      </c>
      <c r="D2009" t="s">
        <v>6735</v>
      </c>
      <c r="E2009" t="s">
        <v>14</v>
      </c>
      <c r="F2009" t="s">
        <v>15</v>
      </c>
      <c r="G2009">
        <v>15222</v>
      </c>
      <c r="H2009" t="s">
        <v>48</v>
      </c>
      <c r="I2009">
        <v>20</v>
      </c>
      <c r="J2009">
        <v>1</v>
      </c>
      <c r="K2009" t="s">
        <v>8131</v>
      </c>
    </row>
    <row r="2010" spans="1:11" x14ac:dyDescent="0.25">
      <c r="A2010" t="s">
        <v>6736</v>
      </c>
      <c r="B2010" t="s">
        <v>6737</v>
      </c>
      <c r="C2010" t="s">
        <v>155</v>
      </c>
      <c r="D2010" t="s">
        <v>4601</v>
      </c>
      <c r="E2010" t="s">
        <v>14</v>
      </c>
      <c r="F2010" t="s">
        <v>15</v>
      </c>
      <c r="G2010">
        <v>15210</v>
      </c>
      <c r="H2010" t="s">
        <v>157</v>
      </c>
      <c r="I2010">
        <v>6</v>
      </c>
      <c r="J2010">
        <v>1</v>
      </c>
      <c r="K2010" t="s">
        <v>8131</v>
      </c>
    </row>
    <row r="2011" spans="1:11" x14ac:dyDescent="0.25">
      <c r="A2011" t="s">
        <v>6738</v>
      </c>
      <c r="B2011" t="s">
        <v>119</v>
      </c>
      <c r="C2011" t="s">
        <v>6739</v>
      </c>
      <c r="D2011" t="s">
        <v>5608</v>
      </c>
      <c r="E2011" t="s">
        <v>14</v>
      </c>
      <c r="F2011" t="s">
        <v>15</v>
      </c>
      <c r="G2011">
        <v>15222</v>
      </c>
      <c r="H2011" t="s">
        <v>48</v>
      </c>
      <c r="I2011">
        <v>48</v>
      </c>
      <c r="J2011">
        <v>0</v>
      </c>
      <c r="K2011" t="s">
        <v>8131</v>
      </c>
    </row>
    <row r="2012" spans="1:11" x14ac:dyDescent="0.25">
      <c r="A2012" t="s">
        <v>6740</v>
      </c>
      <c r="B2012" t="s">
        <v>6741</v>
      </c>
      <c r="C2012" t="s">
        <v>2044</v>
      </c>
      <c r="D2012" t="s">
        <v>6742</v>
      </c>
      <c r="E2012" t="s">
        <v>14</v>
      </c>
      <c r="F2012" t="s">
        <v>15</v>
      </c>
      <c r="G2012">
        <v>15222</v>
      </c>
      <c r="H2012" t="s">
        <v>157</v>
      </c>
      <c r="I2012">
        <v>23</v>
      </c>
      <c r="J2012">
        <v>1</v>
      </c>
      <c r="K2012" t="s">
        <v>8131</v>
      </c>
    </row>
    <row r="2013" spans="1:11" x14ac:dyDescent="0.25">
      <c r="A2013" t="s">
        <v>6743</v>
      </c>
      <c r="B2013" t="s">
        <v>6744</v>
      </c>
      <c r="C2013" t="s">
        <v>6745</v>
      </c>
      <c r="D2013" t="s">
        <v>4782</v>
      </c>
      <c r="E2013" t="s">
        <v>14</v>
      </c>
      <c r="F2013" t="s">
        <v>15</v>
      </c>
      <c r="G2013">
        <v>15228</v>
      </c>
      <c r="H2013" t="s">
        <v>48</v>
      </c>
      <c r="I2013">
        <v>79</v>
      </c>
      <c r="J2013">
        <v>1</v>
      </c>
      <c r="K2013" t="s">
        <v>8131</v>
      </c>
    </row>
    <row r="2014" spans="1:11" x14ac:dyDescent="0.25">
      <c r="A2014" t="s">
        <v>6746</v>
      </c>
      <c r="B2014" t="s">
        <v>1881</v>
      </c>
      <c r="C2014" t="s">
        <v>6747</v>
      </c>
      <c r="D2014" t="s">
        <v>6748</v>
      </c>
      <c r="E2014" t="s">
        <v>14</v>
      </c>
      <c r="F2014" t="s">
        <v>15</v>
      </c>
      <c r="G2014">
        <v>15222</v>
      </c>
      <c r="H2014" t="s">
        <v>16</v>
      </c>
      <c r="I2014">
        <v>124</v>
      </c>
      <c r="J2014">
        <v>1</v>
      </c>
      <c r="K2014" t="s">
        <v>8131</v>
      </c>
    </row>
    <row r="2015" spans="1:11" x14ac:dyDescent="0.25">
      <c r="A2015" t="s">
        <v>6749</v>
      </c>
      <c r="B2015" t="s">
        <v>6750</v>
      </c>
      <c r="C2015" t="s">
        <v>6751</v>
      </c>
      <c r="D2015" t="s">
        <v>3272</v>
      </c>
      <c r="E2015" t="s">
        <v>14</v>
      </c>
      <c r="F2015" t="s">
        <v>15</v>
      </c>
      <c r="G2015">
        <v>15203</v>
      </c>
      <c r="H2015" t="s">
        <v>21</v>
      </c>
      <c r="I2015">
        <v>236</v>
      </c>
      <c r="J2015">
        <v>1</v>
      </c>
      <c r="K2015" t="s">
        <v>8131</v>
      </c>
    </row>
    <row r="2016" spans="1:11" x14ac:dyDescent="0.25">
      <c r="A2016" t="s">
        <v>6752</v>
      </c>
      <c r="B2016" t="s">
        <v>1143</v>
      </c>
      <c r="C2016" t="s">
        <v>6753</v>
      </c>
      <c r="D2016" t="s">
        <v>4683</v>
      </c>
      <c r="E2016" t="s">
        <v>14</v>
      </c>
      <c r="F2016" t="s">
        <v>15</v>
      </c>
      <c r="G2016">
        <v>15222</v>
      </c>
      <c r="H2016" t="s">
        <v>34</v>
      </c>
      <c r="I2016">
        <v>3</v>
      </c>
      <c r="J2016">
        <v>0</v>
      </c>
      <c r="K2016" t="s">
        <v>8131</v>
      </c>
    </row>
    <row r="2017" spans="1:11" x14ac:dyDescent="0.25">
      <c r="A2017" t="s">
        <v>6754</v>
      </c>
      <c r="B2017" t="s">
        <v>6755</v>
      </c>
      <c r="C2017" t="s">
        <v>4838</v>
      </c>
      <c r="D2017" t="s">
        <v>6756</v>
      </c>
      <c r="E2017" t="s">
        <v>14</v>
      </c>
      <c r="F2017" t="s">
        <v>15</v>
      </c>
      <c r="G2017">
        <v>15205</v>
      </c>
      <c r="H2017" t="s">
        <v>34</v>
      </c>
      <c r="I2017">
        <v>7</v>
      </c>
      <c r="J2017">
        <v>0</v>
      </c>
      <c r="K2017" t="s">
        <v>8131</v>
      </c>
    </row>
    <row r="2018" spans="1:11" x14ac:dyDescent="0.25">
      <c r="A2018" t="s">
        <v>6757</v>
      </c>
      <c r="B2018" t="s">
        <v>447</v>
      </c>
      <c r="C2018" t="s">
        <v>6758</v>
      </c>
      <c r="D2018" t="s">
        <v>6759</v>
      </c>
      <c r="E2018" t="s">
        <v>14</v>
      </c>
      <c r="F2018" t="s">
        <v>15</v>
      </c>
      <c r="G2018">
        <v>15216</v>
      </c>
      <c r="H2018" t="s">
        <v>34</v>
      </c>
      <c r="I2018">
        <v>75</v>
      </c>
      <c r="J2018">
        <v>1</v>
      </c>
      <c r="K2018" t="s">
        <v>8131</v>
      </c>
    </row>
    <row r="2019" spans="1:11" x14ac:dyDescent="0.25">
      <c r="A2019" t="s">
        <v>6760</v>
      </c>
      <c r="B2019" t="s">
        <v>239</v>
      </c>
      <c r="C2019" t="s">
        <v>6761</v>
      </c>
      <c r="D2019" t="s">
        <v>6762</v>
      </c>
      <c r="E2019" t="s">
        <v>14</v>
      </c>
      <c r="F2019" t="s">
        <v>15</v>
      </c>
      <c r="G2019">
        <v>15205</v>
      </c>
      <c r="H2019" t="s">
        <v>48</v>
      </c>
      <c r="I2019">
        <v>52</v>
      </c>
      <c r="J2019">
        <v>1</v>
      </c>
      <c r="K2019" t="s">
        <v>8131</v>
      </c>
    </row>
    <row r="2020" spans="1:11" x14ac:dyDescent="0.25">
      <c r="A2020" t="s">
        <v>6763</v>
      </c>
      <c r="B2020" t="s">
        <v>36</v>
      </c>
      <c r="C2020" t="s">
        <v>6764</v>
      </c>
      <c r="D2020" t="s">
        <v>6765</v>
      </c>
      <c r="E2020" t="s">
        <v>14</v>
      </c>
      <c r="F2020" t="s">
        <v>15</v>
      </c>
      <c r="G2020">
        <v>15222</v>
      </c>
      <c r="H2020" t="s">
        <v>21</v>
      </c>
      <c r="I2020">
        <v>89</v>
      </c>
      <c r="J2020">
        <v>1</v>
      </c>
      <c r="K2020" t="s">
        <v>8131</v>
      </c>
    </row>
    <row r="2021" spans="1:11" x14ac:dyDescent="0.25">
      <c r="A2021" t="s">
        <v>6766</v>
      </c>
      <c r="B2021" t="s">
        <v>6767</v>
      </c>
      <c r="C2021" t="s">
        <v>479</v>
      </c>
      <c r="D2021" t="s">
        <v>2602</v>
      </c>
      <c r="E2021" t="s">
        <v>14</v>
      </c>
      <c r="F2021" t="s">
        <v>15</v>
      </c>
      <c r="G2021">
        <v>15241</v>
      </c>
      <c r="H2021" t="s">
        <v>43</v>
      </c>
      <c r="I2021">
        <v>6</v>
      </c>
      <c r="J2021">
        <v>0</v>
      </c>
      <c r="K2021" t="s">
        <v>8131</v>
      </c>
    </row>
    <row r="2022" spans="1:11" x14ac:dyDescent="0.25">
      <c r="A2022" t="s">
        <v>6768</v>
      </c>
      <c r="B2022" t="s">
        <v>6769</v>
      </c>
      <c r="C2022" t="s">
        <v>6770</v>
      </c>
      <c r="D2022" t="s">
        <v>6771</v>
      </c>
      <c r="E2022" t="s">
        <v>14</v>
      </c>
      <c r="F2022" t="s">
        <v>15</v>
      </c>
      <c r="G2022">
        <v>15223</v>
      </c>
      <c r="H2022" t="s">
        <v>43</v>
      </c>
      <c r="I2022">
        <v>17</v>
      </c>
      <c r="J2022">
        <v>1</v>
      </c>
      <c r="K2022" t="s">
        <v>8131</v>
      </c>
    </row>
    <row r="2023" spans="1:11" x14ac:dyDescent="0.25">
      <c r="A2023" t="s">
        <v>6772</v>
      </c>
      <c r="B2023" t="s">
        <v>6773</v>
      </c>
      <c r="C2023" t="s">
        <v>6774</v>
      </c>
      <c r="D2023" t="s">
        <v>6775</v>
      </c>
      <c r="E2023" t="s">
        <v>14</v>
      </c>
      <c r="F2023" t="s">
        <v>15</v>
      </c>
      <c r="G2023">
        <v>15219</v>
      </c>
      <c r="H2023" t="s">
        <v>21</v>
      </c>
      <c r="I2023">
        <v>3</v>
      </c>
      <c r="J2023">
        <v>0</v>
      </c>
      <c r="K2023" t="s">
        <v>8131</v>
      </c>
    </row>
    <row r="2024" spans="1:11" x14ac:dyDescent="0.25">
      <c r="A2024" t="s">
        <v>6776</v>
      </c>
      <c r="B2024" t="s">
        <v>6777</v>
      </c>
      <c r="C2024" t="s">
        <v>6778</v>
      </c>
      <c r="D2024" t="s">
        <v>249</v>
      </c>
      <c r="E2024" t="s">
        <v>14</v>
      </c>
      <c r="F2024" t="s">
        <v>15</v>
      </c>
      <c r="G2024">
        <v>15216</v>
      </c>
      <c r="H2024" t="s">
        <v>21</v>
      </c>
      <c r="I2024">
        <v>7</v>
      </c>
      <c r="J2024">
        <v>1</v>
      </c>
      <c r="K2024" t="s">
        <v>8131</v>
      </c>
    </row>
    <row r="2025" spans="1:11" x14ac:dyDescent="0.25">
      <c r="A2025" t="s">
        <v>6779</v>
      </c>
      <c r="B2025" t="s">
        <v>6780</v>
      </c>
      <c r="C2025" t="s">
        <v>6781</v>
      </c>
      <c r="D2025" t="s">
        <v>6782</v>
      </c>
      <c r="E2025" t="s">
        <v>14</v>
      </c>
      <c r="F2025" t="s">
        <v>15</v>
      </c>
      <c r="G2025">
        <v>15202</v>
      </c>
      <c r="H2025" t="s">
        <v>21</v>
      </c>
      <c r="I2025">
        <v>26</v>
      </c>
      <c r="J2025">
        <v>0</v>
      </c>
      <c r="K2025" t="s">
        <v>8131</v>
      </c>
    </row>
    <row r="2026" spans="1:11" x14ac:dyDescent="0.25">
      <c r="A2026" t="s">
        <v>6783</v>
      </c>
      <c r="B2026" t="s">
        <v>6784</v>
      </c>
      <c r="C2026" t="s">
        <v>6348</v>
      </c>
      <c r="D2026" t="s">
        <v>6785</v>
      </c>
      <c r="E2026" t="s">
        <v>14</v>
      </c>
      <c r="F2026" t="s">
        <v>15</v>
      </c>
      <c r="G2026">
        <v>15203</v>
      </c>
      <c r="H2026" t="s">
        <v>34</v>
      </c>
      <c r="I2026">
        <v>138</v>
      </c>
      <c r="J2026">
        <v>1</v>
      </c>
      <c r="K2026" t="s">
        <v>8131</v>
      </c>
    </row>
    <row r="2027" spans="1:11" x14ac:dyDescent="0.25">
      <c r="A2027" t="s">
        <v>6786</v>
      </c>
      <c r="B2027" t="s">
        <v>6787</v>
      </c>
      <c r="C2027" t="s">
        <v>6788</v>
      </c>
      <c r="D2027" t="s">
        <v>6789</v>
      </c>
      <c r="E2027" t="s">
        <v>14</v>
      </c>
      <c r="F2027" t="s">
        <v>15</v>
      </c>
      <c r="G2027">
        <v>15217</v>
      </c>
      <c r="H2027" t="s">
        <v>34</v>
      </c>
      <c r="I2027">
        <v>12</v>
      </c>
      <c r="J2027">
        <v>0</v>
      </c>
      <c r="K2027" t="s">
        <v>8131</v>
      </c>
    </row>
    <row r="2028" spans="1:11" x14ac:dyDescent="0.25">
      <c r="A2028" t="s">
        <v>6790</v>
      </c>
      <c r="B2028" t="s">
        <v>6791</v>
      </c>
      <c r="C2028" t="s">
        <v>419</v>
      </c>
      <c r="D2028" t="s">
        <v>6792</v>
      </c>
      <c r="E2028" t="s">
        <v>14</v>
      </c>
      <c r="F2028" t="s">
        <v>15</v>
      </c>
      <c r="G2028">
        <v>15229</v>
      </c>
      <c r="H2028" t="s">
        <v>113</v>
      </c>
      <c r="I2028">
        <v>5</v>
      </c>
      <c r="J2028">
        <v>1</v>
      </c>
      <c r="K2028" t="s">
        <v>8131</v>
      </c>
    </row>
    <row r="2029" spans="1:11" x14ac:dyDescent="0.25">
      <c r="A2029" t="s">
        <v>6793</v>
      </c>
      <c r="B2029" t="s">
        <v>227</v>
      </c>
      <c r="C2029" t="s">
        <v>228</v>
      </c>
      <c r="D2029" t="s">
        <v>6794</v>
      </c>
      <c r="E2029" t="s">
        <v>14</v>
      </c>
      <c r="F2029" t="s">
        <v>15</v>
      </c>
      <c r="G2029">
        <v>15235</v>
      </c>
      <c r="H2029" t="s">
        <v>113</v>
      </c>
      <c r="I2029">
        <v>7</v>
      </c>
      <c r="J2029">
        <v>1</v>
      </c>
      <c r="K2029" t="s">
        <v>8131</v>
      </c>
    </row>
    <row r="2030" spans="1:11" x14ac:dyDescent="0.25">
      <c r="A2030" t="s">
        <v>6795</v>
      </c>
      <c r="B2030" t="s">
        <v>239</v>
      </c>
      <c r="C2030" t="s">
        <v>2204</v>
      </c>
      <c r="D2030" t="s">
        <v>4222</v>
      </c>
      <c r="E2030" t="s">
        <v>14</v>
      </c>
      <c r="F2030" t="s">
        <v>15</v>
      </c>
      <c r="G2030">
        <v>15237</v>
      </c>
      <c r="H2030" t="s">
        <v>48</v>
      </c>
      <c r="I2030">
        <v>11</v>
      </c>
      <c r="J2030">
        <v>0</v>
      </c>
      <c r="K2030" t="s">
        <v>8131</v>
      </c>
    </row>
    <row r="2031" spans="1:11" x14ac:dyDescent="0.25">
      <c r="A2031" t="s">
        <v>6796</v>
      </c>
      <c r="B2031" t="s">
        <v>6797</v>
      </c>
      <c r="C2031" t="s">
        <v>6798</v>
      </c>
      <c r="D2031" t="s">
        <v>6119</v>
      </c>
      <c r="E2031" t="s">
        <v>14</v>
      </c>
      <c r="F2031" t="s">
        <v>15</v>
      </c>
      <c r="G2031">
        <v>15222</v>
      </c>
      <c r="H2031" t="s">
        <v>21</v>
      </c>
      <c r="I2031">
        <v>569</v>
      </c>
      <c r="J2031">
        <v>1</v>
      </c>
      <c r="K2031" t="s">
        <v>8131</v>
      </c>
    </row>
    <row r="2032" spans="1:11" x14ac:dyDescent="0.25">
      <c r="A2032" t="s">
        <v>6799</v>
      </c>
      <c r="B2032" t="s">
        <v>6800</v>
      </c>
      <c r="C2032" t="s">
        <v>6801</v>
      </c>
      <c r="D2032" t="s">
        <v>1674</v>
      </c>
      <c r="E2032" t="s">
        <v>14</v>
      </c>
      <c r="F2032" t="s">
        <v>15</v>
      </c>
      <c r="G2032">
        <v>15210</v>
      </c>
      <c r="H2032" t="s">
        <v>21</v>
      </c>
      <c r="I2032">
        <v>19</v>
      </c>
      <c r="J2032">
        <v>0</v>
      </c>
      <c r="K2032" t="s">
        <v>8131</v>
      </c>
    </row>
    <row r="2033" spans="1:11" x14ac:dyDescent="0.25">
      <c r="A2033" t="s">
        <v>6802</v>
      </c>
      <c r="B2033" t="s">
        <v>2504</v>
      </c>
      <c r="C2033" t="s">
        <v>6803</v>
      </c>
      <c r="D2033" t="s">
        <v>6804</v>
      </c>
      <c r="E2033" t="s">
        <v>14</v>
      </c>
      <c r="F2033" t="s">
        <v>15</v>
      </c>
      <c r="G2033">
        <v>15206</v>
      </c>
      <c r="H2033" t="s">
        <v>16</v>
      </c>
      <c r="I2033">
        <v>168</v>
      </c>
      <c r="J2033">
        <v>1</v>
      </c>
      <c r="K2033" t="s">
        <v>8131</v>
      </c>
    </row>
    <row r="2034" spans="1:11" x14ac:dyDescent="0.25">
      <c r="A2034" t="s">
        <v>6805</v>
      </c>
      <c r="B2034" t="s">
        <v>319</v>
      </c>
      <c r="C2034" t="s">
        <v>6806</v>
      </c>
      <c r="D2034" t="s">
        <v>6807</v>
      </c>
      <c r="E2034" t="s">
        <v>14</v>
      </c>
      <c r="F2034" t="s">
        <v>15</v>
      </c>
      <c r="G2034">
        <v>15222</v>
      </c>
      <c r="H2034" t="s">
        <v>48</v>
      </c>
      <c r="I2034">
        <v>21</v>
      </c>
      <c r="J2034">
        <v>0</v>
      </c>
      <c r="K2034" t="s">
        <v>8131</v>
      </c>
    </row>
    <row r="2035" spans="1:11" x14ac:dyDescent="0.25">
      <c r="A2035" t="s">
        <v>6808</v>
      </c>
      <c r="B2035" t="s">
        <v>36</v>
      </c>
      <c r="C2035" t="s">
        <v>6809</v>
      </c>
      <c r="D2035" t="s">
        <v>6810</v>
      </c>
      <c r="E2035" t="s">
        <v>14</v>
      </c>
      <c r="F2035" t="s">
        <v>15</v>
      </c>
      <c r="G2035">
        <v>15224</v>
      </c>
      <c r="H2035" t="s">
        <v>16</v>
      </c>
      <c r="I2035">
        <v>78</v>
      </c>
      <c r="J2035">
        <v>1</v>
      </c>
      <c r="K2035" t="s">
        <v>8131</v>
      </c>
    </row>
    <row r="2036" spans="1:11" x14ac:dyDescent="0.25">
      <c r="A2036" t="s">
        <v>6811</v>
      </c>
      <c r="B2036" t="s">
        <v>720</v>
      </c>
      <c r="C2036" t="s">
        <v>6812</v>
      </c>
      <c r="D2036" t="s">
        <v>6813</v>
      </c>
      <c r="E2036" t="s">
        <v>14</v>
      </c>
      <c r="F2036" t="s">
        <v>15</v>
      </c>
      <c r="G2036">
        <v>15219</v>
      </c>
      <c r="H2036" t="s">
        <v>48</v>
      </c>
      <c r="I2036">
        <v>39</v>
      </c>
      <c r="J2036">
        <v>1</v>
      </c>
      <c r="K2036" t="s">
        <v>8131</v>
      </c>
    </row>
    <row r="2037" spans="1:11" x14ac:dyDescent="0.25">
      <c r="A2037" t="s">
        <v>6814</v>
      </c>
      <c r="B2037" t="s">
        <v>6815</v>
      </c>
      <c r="C2037" t="s">
        <v>6451</v>
      </c>
      <c r="D2037" t="s">
        <v>6816</v>
      </c>
      <c r="E2037" t="s">
        <v>14</v>
      </c>
      <c r="F2037" t="s">
        <v>15</v>
      </c>
      <c r="G2037">
        <v>15205</v>
      </c>
      <c r="H2037" t="s">
        <v>16</v>
      </c>
      <c r="I2037">
        <v>92</v>
      </c>
      <c r="J2037">
        <v>1</v>
      </c>
      <c r="K2037" t="s">
        <v>8131</v>
      </c>
    </row>
    <row r="2038" spans="1:11" x14ac:dyDescent="0.25">
      <c r="A2038" t="s">
        <v>6817</v>
      </c>
      <c r="B2038" t="s">
        <v>6818</v>
      </c>
      <c r="C2038" t="s">
        <v>6819</v>
      </c>
      <c r="D2038" t="s">
        <v>6820</v>
      </c>
      <c r="E2038" t="s">
        <v>14</v>
      </c>
      <c r="F2038" t="s">
        <v>15</v>
      </c>
      <c r="G2038">
        <v>15237</v>
      </c>
      <c r="H2038" t="s">
        <v>113</v>
      </c>
      <c r="I2038">
        <v>24</v>
      </c>
      <c r="J2038">
        <v>1</v>
      </c>
      <c r="K2038" t="s">
        <v>8131</v>
      </c>
    </row>
    <row r="2039" spans="1:11" x14ac:dyDescent="0.25">
      <c r="A2039" t="s">
        <v>6821</v>
      </c>
      <c r="B2039" t="s">
        <v>6822</v>
      </c>
      <c r="C2039" t="s">
        <v>5226</v>
      </c>
      <c r="D2039" t="s">
        <v>6823</v>
      </c>
      <c r="E2039" t="s">
        <v>14</v>
      </c>
      <c r="F2039" t="s">
        <v>15</v>
      </c>
      <c r="G2039">
        <v>15201</v>
      </c>
      <c r="H2039" t="s">
        <v>48</v>
      </c>
      <c r="I2039">
        <v>531</v>
      </c>
      <c r="J2039">
        <v>1</v>
      </c>
      <c r="K2039" t="s">
        <v>8131</v>
      </c>
    </row>
    <row r="2040" spans="1:11" x14ac:dyDescent="0.25">
      <c r="A2040" t="s">
        <v>6824</v>
      </c>
      <c r="B2040" t="s">
        <v>6825</v>
      </c>
      <c r="C2040" t="s">
        <v>6826</v>
      </c>
      <c r="D2040" t="s">
        <v>2347</v>
      </c>
      <c r="E2040" t="s">
        <v>14</v>
      </c>
      <c r="F2040" t="s">
        <v>15</v>
      </c>
      <c r="G2040">
        <v>15228</v>
      </c>
      <c r="H2040" t="s">
        <v>21</v>
      </c>
      <c r="I2040">
        <v>300</v>
      </c>
      <c r="J2040">
        <v>1</v>
      </c>
      <c r="K2040" t="s">
        <v>8131</v>
      </c>
    </row>
    <row r="2041" spans="1:11" x14ac:dyDescent="0.25">
      <c r="A2041" t="s">
        <v>6827</v>
      </c>
      <c r="B2041" t="s">
        <v>6828</v>
      </c>
      <c r="C2041" t="s">
        <v>6829</v>
      </c>
      <c r="D2041" t="s">
        <v>6830</v>
      </c>
      <c r="E2041" t="s">
        <v>14</v>
      </c>
      <c r="F2041" t="s">
        <v>15</v>
      </c>
      <c r="G2041">
        <v>15203</v>
      </c>
      <c r="H2041" t="s">
        <v>16</v>
      </c>
      <c r="I2041">
        <v>72</v>
      </c>
      <c r="J2041">
        <v>1</v>
      </c>
      <c r="K2041" t="s">
        <v>8131</v>
      </c>
    </row>
    <row r="2042" spans="1:11" x14ac:dyDescent="0.25">
      <c r="A2042" t="s">
        <v>6831</v>
      </c>
      <c r="B2042" t="s">
        <v>6832</v>
      </c>
      <c r="C2042" t="s">
        <v>6833</v>
      </c>
      <c r="D2042" t="s">
        <v>6015</v>
      </c>
      <c r="E2042" t="s">
        <v>14</v>
      </c>
      <c r="F2042" t="s">
        <v>15</v>
      </c>
      <c r="G2042">
        <v>15206</v>
      </c>
      <c r="H2042" t="s">
        <v>48</v>
      </c>
      <c r="I2042">
        <v>125</v>
      </c>
      <c r="J2042">
        <v>0</v>
      </c>
      <c r="K2042" t="s">
        <v>8131</v>
      </c>
    </row>
    <row r="2043" spans="1:11" x14ac:dyDescent="0.25">
      <c r="A2043" t="s">
        <v>6834</v>
      </c>
      <c r="B2043" t="s">
        <v>6835</v>
      </c>
      <c r="C2043" t="s">
        <v>6836</v>
      </c>
      <c r="D2043" t="s">
        <v>1271</v>
      </c>
      <c r="E2043" t="s">
        <v>14</v>
      </c>
      <c r="F2043" t="s">
        <v>15</v>
      </c>
      <c r="G2043">
        <v>15201</v>
      </c>
      <c r="H2043" t="s">
        <v>92</v>
      </c>
      <c r="I2043">
        <v>4</v>
      </c>
      <c r="J2043">
        <v>0</v>
      </c>
      <c r="K2043" t="s">
        <v>8131</v>
      </c>
    </row>
    <row r="2044" spans="1:11" x14ac:dyDescent="0.25">
      <c r="A2044" t="s">
        <v>6837</v>
      </c>
      <c r="B2044" t="s">
        <v>6838</v>
      </c>
      <c r="C2044" t="s">
        <v>6839</v>
      </c>
      <c r="D2044" t="s">
        <v>6840</v>
      </c>
      <c r="E2044" t="s">
        <v>14</v>
      </c>
      <c r="F2044" t="s">
        <v>15</v>
      </c>
      <c r="G2044">
        <v>15219</v>
      </c>
      <c r="H2044" t="s">
        <v>92</v>
      </c>
      <c r="I2044">
        <v>3</v>
      </c>
      <c r="J2044">
        <v>1</v>
      </c>
      <c r="K2044" t="s">
        <v>8131</v>
      </c>
    </row>
    <row r="2045" spans="1:11" x14ac:dyDescent="0.25">
      <c r="A2045" t="s">
        <v>6841</v>
      </c>
      <c r="B2045" t="s">
        <v>31</v>
      </c>
      <c r="C2045" t="s">
        <v>32</v>
      </c>
      <c r="D2045" t="s">
        <v>6842</v>
      </c>
      <c r="E2045" t="s">
        <v>14</v>
      </c>
      <c r="F2045" t="s">
        <v>15</v>
      </c>
      <c r="G2045">
        <v>15237</v>
      </c>
      <c r="H2045" t="s">
        <v>48</v>
      </c>
      <c r="I2045">
        <v>3</v>
      </c>
      <c r="J2045">
        <v>1</v>
      </c>
      <c r="K2045" t="s">
        <v>8131</v>
      </c>
    </row>
    <row r="2046" spans="1:11" x14ac:dyDescent="0.25">
      <c r="A2046" t="s">
        <v>6843</v>
      </c>
      <c r="B2046" t="s">
        <v>6844</v>
      </c>
      <c r="C2046" t="s">
        <v>2044</v>
      </c>
      <c r="D2046" t="s">
        <v>6845</v>
      </c>
      <c r="E2046" t="s">
        <v>14</v>
      </c>
      <c r="F2046" t="s">
        <v>15</v>
      </c>
      <c r="G2046">
        <v>15206</v>
      </c>
      <c r="H2046" t="s">
        <v>113</v>
      </c>
      <c r="I2046">
        <v>53</v>
      </c>
      <c r="J2046">
        <v>1</v>
      </c>
      <c r="K2046" t="s">
        <v>8131</v>
      </c>
    </row>
    <row r="2047" spans="1:11" x14ac:dyDescent="0.25">
      <c r="A2047" t="s">
        <v>6846</v>
      </c>
      <c r="B2047" t="s">
        <v>2339</v>
      </c>
      <c r="C2047" t="s">
        <v>6847</v>
      </c>
      <c r="D2047" t="s">
        <v>6848</v>
      </c>
      <c r="E2047" t="s">
        <v>14</v>
      </c>
      <c r="F2047" t="s">
        <v>15</v>
      </c>
      <c r="G2047">
        <v>15221</v>
      </c>
      <c r="H2047" t="s">
        <v>21</v>
      </c>
      <c r="I2047">
        <v>13</v>
      </c>
      <c r="J2047">
        <v>1</v>
      </c>
      <c r="K2047" t="s">
        <v>8131</v>
      </c>
    </row>
    <row r="2048" spans="1:11" x14ac:dyDescent="0.25">
      <c r="A2048" t="s">
        <v>6849</v>
      </c>
      <c r="B2048" t="s">
        <v>578</v>
      </c>
      <c r="C2048" t="s">
        <v>2418</v>
      </c>
      <c r="D2048" t="s">
        <v>1744</v>
      </c>
      <c r="E2048" t="s">
        <v>14</v>
      </c>
      <c r="F2048" t="s">
        <v>15</v>
      </c>
      <c r="G2048">
        <v>15232</v>
      </c>
      <c r="H2048" t="s">
        <v>34</v>
      </c>
      <c r="I2048">
        <v>32</v>
      </c>
      <c r="J2048">
        <v>0</v>
      </c>
      <c r="K2048" t="s">
        <v>8131</v>
      </c>
    </row>
    <row r="2049" spans="1:11" x14ac:dyDescent="0.25">
      <c r="A2049" t="s">
        <v>6850</v>
      </c>
      <c r="B2049" t="s">
        <v>6851</v>
      </c>
      <c r="C2049" t="s">
        <v>2580</v>
      </c>
      <c r="D2049" t="s">
        <v>1234</v>
      </c>
      <c r="E2049" t="s">
        <v>14</v>
      </c>
      <c r="F2049" t="s">
        <v>15</v>
      </c>
      <c r="G2049">
        <v>15237</v>
      </c>
      <c r="H2049" t="s">
        <v>34</v>
      </c>
      <c r="I2049">
        <v>6</v>
      </c>
      <c r="J2049">
        <v>1</v>
      </c>
      <c r="K2049" t="s">
        <v>8131</v>
      </c>
    </row>
    <row r="2050" spans="1:11" x14ac:dyDescent="0.25">
      <c r="A2050" t="s">
        <v>6852</v>
      </c>
      <c r="B2050" t="s">
        <v>6853</v>
      </c>
      <c r="C2050" t="s">
        <v>6854</v>
      </c>
      <c r="D2050" t="s">
        <v>6855</v>
      </c>
      <c r="E2050" t="s">
        <v>14</v>
      </c>
      <c r="F2050" t="s">
        <v>15</v>
      </c>
      <c r="G2050">
        <v>15222</v>
      </c>
      <c r="H2050" t="s">
        <v>16</v>
      </c>
      <c r="I2050">
        <v>47</v>
      </c>
      <c r="J2050">
        <v>1</v>
      </c>
      <c r="K2050" t="s">
        <v>8131</v>
      </c>
    </row>
    <row r="2051" spans="1:11" x14ac:dyDescent="0.25">
      <c r="A2051" t="s">
        <v>6856</v>
      </c>
      <c r="B2051" t="s">
        <v>6857</v>
      </c>
      <c r="C2051" t="s">
        <v>6858</v>
      </c>
      <c r="D2051" t="s">
        <v>6859</v>
      </c>
      <c r="E2051" t="s">
        <v>14</v>
      </c>
      <c r="F2051" t="s">
        <v>15</v>
      </c>
      <c r="G2051">
        <v>15228</v>
      </c>
      <c r="H2051" t="s">
        <v>48</v>
      </c>
      <c r="I2051">
        <v>60</v>
      </c>
      <c r="J2051">
        <v>1</v>
      </c>
      <c r="K2051" t="s">
        <v>8131</v>
      </c>
    </row>
    <row r="2052" spans="1:11" x14ac:dyDescent="0.25">
      <c r="A2052" t="s">
        <v>6860</v>
      </c>
      <c r="B2052" t="s">
        <v>2439</v>
      </c>
      <c r="C2052" t="s">
        <v>6861</v>
      </c>
      <c r="D2052" t="s">
        <v>6862</v>
      </c>
      <c r="E2052" t="s">
        <v>14</v>
      </c>
      <c r="F2052" t="s">
        <v>15</v>
      </c>
      <c r="G2052">
        <v>15226</v>
      </c>
      <c r="H2052" t="s">
        <v>16</v>
      </c>
      <c r="I2052">
        <v>13</v>
      </c>
      <c r="J2052">
        <v>0</v>
      </c>
      <c r="K2052" t="s">
        <v>8131</v>
      </c>
    </row>
    <row r="2053" spans="1:11" x14ac:dyDescent="0.25">
      <c r="A2053" t="s">
        <v>6863</v>
      </c>
      <c r="B2053" t="s">
        <v>65</v>
      </c>
      <c r="C2053" t="s">
        <v>6864</v>
      </c>
      <c r="D2053" t="s">
        <v>6865</v>
      </c>
      <c r="E2053" t="s">
        <v>14</v>
      </c>
      <c r="F2053" t="s">
        <v>15</v>
      </c>
      <c r="G2053">
        <v>15213</v>
      </c>
      <c r="H2053" t="s">
        <v>34</v>
      </c>
      <c r="I2053">
        <v>25</v>
      </c>
      <c r="J2053">
        <v>0</v>
      </c>
      <c r="K2053" t="s">
        <v>8131</v>
      </c>
    </row>
    <row r="2054" spans="1:11" x14ac:dyDescent="0.25">
      <c r="A2054" t="s">
        <v>6866</v>
      </c>
      <c r="B2054" t="s">
        <v>6867</v>
      </c>
      <c r="C2054" t="s">
        <v>6868</v>
      </c>
      <c r="D2054" t="s">
        <v>6869</v>
      </c>
      <c r="E2054" t="s">
        <v>14</v>
      </c>
      <c r="F2054" t="s">
        <v>15</v>
      </c>
      <c r="G2054">
        <v>15226</v>
      </c>
      <c r="H2054" t="s">
        <v>21</v>
      </c>
      <c r="I2054">
        <v>96</v>
      </c>
      <c r="J2054">
        <v>1</v>
      </c>
      <c r="K2054" t="s">
        <v>8131</v>
      </c>
    </row>
    <row r="2055" spans="1:11" x14ac:dyDescent="0.25">
      <c r="A2055" t="s">
        <v>6870</v>
      </c>
      <c r="B2055" t="s">
        <v>6871</v>
      </c>
      <c r="C2055" t="s">
        <v>6872</v>
      </c>
      <c r="D2055" t="s">
        <v>5809</v>
      </c>
      <c r="E2055" t="s">
        <v>14</v>
      </c>
      <c r="F2055" t="s">
        <v>15</v>
      </c>
      <c r="G2055">
        <v>15227</v>
      </c>
      <c r="H2055" t="s">
        <v>16</v>
      </c>
      <c r="I2055">
        <v>10</v>
      </c>
      <c r="J2055">
        <v>1</v>
      </c>
      <c r="K2055" t="s">
        <v>8131</v>
      </c>
    </row>
    <row r="2056" spans="1:11" x14ac:dyDescent="0.25">
      <c r="A2056" t="e">
        <f>-RxzvvyKBOPOzeTvagqEfg</f>
        <v>#NAME?</v>
      </c>
      <c r="B2056" t="s">
        <v>6873</v>
      </c>
      <c r="C2056" t="s">
        <v>419</v>
      </c>
      <c r="D2056" t="s">
        <v>6874</v>
      </c>
      <c r="E2056" t="s">
        <v>14</v>
      </c>
      <c r="F2056" t="s">
        <v>15</v>
      </c>
      <c r="G2056">
        <v>15275</v>
      </c>
      <c r="H2056" t="s">
        <v>43</v>
      </c>
      <c r="I2056">
        <v>3</v>
      </c>
      <c r="J2056">
        <v>1</v>
      </c>
      <c r="K2056" t="s">
        <v>8131</v>
      </c>
    </row>
    <row r="2057" spans="1:11" x14ac:dyDescent="0.25">
      <c r="A2057" t="s">
        <v>6875</v>
      </c>
      <c r="B2057" t="s">
        <v>2466</v>
      </c>
      <c r="C2057" t="s">
        <v>2225</v>
      </c>
      <c r="D2057" t="s">
        <v>6876</v>
      </c>
      <c r="E2057" t="s">
        <v>14</v>
      </c>
      <c r="F2057" t="s">
        <v>15</v>
      </c>
      <c r="G2057">
        <v>15205</v>
      </c>
      <c r="H2057" t="s">
        <v>48</v>
      </c>
      <c r="I2057">
        <v>32</v>
      </c>
      <c r="J2057">
        <v>1</v>
      </c>
      <c r="K2057" t="s">
        <v>8131</v>
      </c>
    </row>
    <row r="2058" spans="1:11" x14ac:dyDescent="0.25">
      <c r="A2058" t="s">
        <v>6877</v>
      </c>
      <c r="B2058" t="s">
        <v>6878</v>
      </c>
      <c r="C2058" t="s">
        <v>6879</v>
      </c>
      <c r="D2058" t="s">
        <v>6880</v>
      </c>
      <c r="E2058" t="s">
        <v>14</v>
      </c>
      <c r="F2058" t="s">
        <v>15</v>
      </c>
      <c r="G2058">
        <v>15205</v>
      </c>
      <c r="H2058" t="s">
        <v>43</v>
      </c>
      <c r="I2058">
        <v>34</v>
      </c>
      <c r="J2058">
        <v>1</v>
      </c>
      <c r="K2058" t="s">
        <v>8131</v>
      </c>
    </row>
    <row r="2059" spans="1:11" x14ac:dyDescent="0.25">
      <c r="A2059" t="s">
        <v>6881</v>
      </c>
      <c r="B2059" t="s">
        <v>2145</v>
      </c>
      <c r="C2059" t="s">
        <v>6882</v>
      </c>
      <c r="D2059" t="s">
        <v>1189</v>
      </c>
      <c r="E2059" t="s">
        <v>14</v>
      </c>
      <c r="F2059" t="s">
        <v>15</v>
      </c>
      <c r="G2059">
        <v>15203</v>
      </c>
      <c r="H2059" t="s">
        <v>16</v>
      </c>
      <c r="I2059">
        <v>15</v>
      </c>
      <c r="J2059">
        <v>0</v>
      </c>
      <c r="K2059" t="s">
        <v>8131</v>
      </c>
    </row>
    <row r="2060" spans="1:11" x14ac:dyDescent="0.25">
      <c r="A2060" t="s">
        <v>6883</v>
      </c>
      <c r="B2060" t="s">
        <v>6884</v>
      </c>
      <c r="C2060" t="s">
        <v>6885</v>
      </c>
      <c r="D2060" t="s">
        <v>1744</v>
      </c>
      <c r="E2060" t="s">
        <v>14</v>
      </c>
      <c r="F2060" t="s">
        <v>15</v>
      </c>
      <c r="G2060">
        <v>15232</v>
      </c>
      <c r="H2060" t="s">
        <v>48</v>
      </c>
      <c r="I2060">
        <v>59</v>
      </c>
      <c r="J2060">
        <v>0</v>
      </c>
      <c r="K2060" t="s">
        <v>8131</v>
      </c>
    </row>
    <row r="2061" spans="1:11" x14ac:dyDescent="0.25">
      <c r="A2061" t="s">
        <v>6886</v>
      </c>
      <c r="B2061" t="s">
        <v>239</v>
      </c>
      <c r="C2061" t="s">
        <v>6887</v>
      </c>
      <c r="D2061" t="s">
        <v>3410</v>
      </c>
      <c r="E2061" t="s">
        <v>14</v>
      </c>
      <c r="F2061" t="s">
        <v>15</v>
      </c>
      <c r="G2061">
        <v>15216</v>
      </c>
      <c r="H2061" t="s">
        <v>16</v>
      </c>
      <c r="I2061">
        <v>10</v>
      </c>
      <c r="J2061">
        <v>0</v>
      </c>
      <c r="K2061" t="s">
        <v>8131</v>
      </c>
    </row>
    <row r="2062" spans="1:11" x14ac:dyDescent="0.25">
      <c r="A2062" t="s">
        <v>6888</v>
      </c>
      <c r="B2062" t="s">
        <v>65</v>
      </c>
      <c r="C2062" t="s">
        <v>6889</v>
      </c>
      <c r="D2062" t="s">
        <v>6890</v>
      </c>
      <c r="E2062" t="s">
        <v>14</v>
      </c>
      <c r="F2062" t="s">
        <v>15</v>
      </c>
      <c r="G2062">
        <v>15227</v>
      </c>
      <c r="H2062" t="s">
        <v>43</v>
      </c>
      <c r="I2062">
        <v>27</v>
      </c>
      <c r="J2062">
        <v>1</v>
      </c>
      <c r="K2062" t="s">
        <v>8131</v>
      </c>
    </row>
    <row r="2063" spans="1:11" x14ac:dyDescent="0.25">
      <c r="A2063" t="s">
        <v>6891</v>
      </c>
      <c r="B2063" t="s">
        <v>6892</v>
      </c>
      <c r="C2063" t="s">
        <v>6893</v>
      </c>
      <c r="D2063" t="s">
        <v>6894</v>
      </c>
      <c r="E2063" t="s">
        <v>14</v>
      </c>
      <c r="F2063" t="s">
        <v>15</v>
      </c>
      <c r="G2063">
        <v>15222</v>
      </c>
      <c r="H2063" t="s">
        <v>16</v>
      </c>
      <c r="I2063">
        <v>93</v>
      </c>
      <c r="J2063">
        <v>1</v>
      </c>
      <c r="K2063" t="s">
        <v>8131</v>
      </c>
    </row>
    <row r="2064" spans="1:11" x14ac:dyDescent="0.25">
      <c r="A2064" t="s">
        <v>6895</v>
      </c>
      <c r="B2064" t="s">
        <v>4547</v>
      </c>
      <c r="C2064" t="s">
        <v>6896</v>
      </c>
      <c r="D2064" t="s">
        <v>6897</v>
      </c>
      <c r="E2064" t="s">
        <v>14</v>
      </c>
      <c r="F2064" t="s">
        <v>15</v>
      </c>
      <c r="G2064">
        <v>15220</v>
      </c>
      <c r="H2064" t="s">
        <v>48</v>
      </c>
      <c r="I2064">
        <v>124</v>
      </c>
      <c r="J2064">
        <v>1</v>
      </c>
      <c r="K2064" t="s">
        <v>8131</v>
      </c>
    </row>
    <row r="2065" spans="1:11" x14ac:dyDescent="0.25">
      <c r="A2065" t="s">
        <v>6898</v>
      </c>
      <c r="B2065" t="s">
        <v>6899</v>
      </c>
      <c r="C2065" t="s">
        <v>244</v>
      </c>
      <c r="D2065" t="s">
        <v>6900</v>
      </c>
      <c r="E2065" t="s">
        <v>14</v>
      </c>
      <c r="F2065" t="s">
        <v>15</v>
      </c>
      <c r="G2065">
        <v>15237</v>
      </c>
      <c r="H2065" t="s">
        <v>48</v>
      </c>
      <c r="I2065">
        <v>9</v>
      </c>
      <c r="J2065">
        <v>1</v>
      </c>
      <c r="K2065" t="s">
        <v>8131</v>
      </c>
    </row>
    <row r="2066" spans="1:11" x14ac:dyDescent="0.25">
      <c r="A2066" t="s">
        <v>6901</v>
      </c>
      <c r="B2066" t="s">
        <v>6902</v>
      </c>
      <c r="C2066" t="s">
        <v>6903</v>
      </c>
      <c r="D2066" t="s">
        <v>2804</v>
      </c>
      <c r="E2066" t="s">
        <v>14</v>
      </c>
      <c r="F2066" t="s">
        <v>15</v>
      </c>
      <c r="G2066">
        <v>15222</v>
      </c>
      <c r="H2066" t="s">
        <v>16</v>
      </c>
      <c r="I2066">
        <v>56</v>
      </c>
      <c r="J2066">
        <v>1</v>
      </c>
      <c r="K2066" t="s">
        <v>8131</v>
      </c>
    </row>
    <row r="2067" spans="1:11" x14ac:dyDescent="0.25">
      <c r="A2067" t="s">
        <v>6904</v>
      </c>
      <c r="B2067" t="s">
        <v>6905</v>
      </c>
      <c r="C2067" t="s">
        <v>6906</v>
      </c>
      <c r="D2067" t="s">
        <v>6907</v>
      </c>
      <c r="E2067" t="s">
        <v>14</v>
      </c>
      <c r="F2067" t="s">
        <v>15</v>
      </c>
      <c r="G2067">
        <v>15222</v>
      </c>
      <c r="H2067" t="s">
        <v>21</v>
      </c>
      <c r="I2067">
        <v>155</v>
      </c>
      <c r="J2067">
        <v>1</v>
      </c>
      <c r="K2067" t="s">
        <v>8131</v>
      </c>
    </row>
    <row r="2068" spans="1:11" x14ac:dyDescent="0.25">
      <c r="A2068" t="s">
        <v>6908</v>
      </c>
      <c r="B2068" t="s">
        <v>6909</v>
      </c>
      <c r="C2068" t="s">
        <v>155</v>
      </c>
      <c r="D2068" t="s">
        <v>6910</v>
      </c>
      <c r="E2068" t="s">
        <v>14</v>
      </c>
      <c r="F2068" t="s">
        <v>15</v>
      </c>
      <c r="G2068">
        <v>15220</v>
      </c>
      <c r="H2068" t="s">
        <v>113</v>
      </c>
      <c r="I2068">
        <v>13</v>
      </c>
      <c r="J2068">
        <v>1</v>
      </c>
      <c r="K2068" t="s">
        <v>8131</v>
      </c>
    </row>
    <row r="2069" spans="1:11" x14ac:dyDescent="0.25">
      <c r="A2069" t="s">
        <v>6911</v>
      </c>
      <c r="B2069" t="s">
        <v>6912</v>
      </c>
      <c r="C2069" t="s">
        <v>6913</v>
      </c>
      <c r="D2069" t="s">
        <v>6914</v>
      </c>
      <c r="E2069" t="s">
        <v>14</v>
      </c>
      <c r="F2069" t="s">
        <v>15</v>
      </c>
      <c r="G2069">
        <v>15213</v>
      </c>
      <c r="H2069" t="s">
        <v>48</v>
      </c>
      <c r="I2069">
        <v>302</v>
      </c>
      <c r="J2069">
        <v>1</v>
      </c>
      <c r="K2069" t="s">
        <v>8131</v>
      </c>
    </row>
    <row r="2070" spans="1:11" x14ac:dyDescent="0.25">
      <c r="A2070" t="s">
        <v>6915</v>
      </c>
      <c r="B2070" t="s">
        <v>6916</v>
      </c>
      <c r="C2070" t="s">
        <v>6917</v>
      </c>
      <c r="D2070" t="s">
        <v>1223</v>
      </c>
      <c r="E2070" t="s">
        <v>14</v>
      </c>
      <c r="F2070" t="s">
        <v>15</v>
      </c>
      <c r="G2070">
        <v>15213</v>
      </c>
      <c r="H2070" t="s">
        <v>16</v>
      </c>
      <c r="I2070">
        <v>153</v>
      </c>
      <c r="J2070">
        <v>0</v>
      </c>
      <c r="K2070" t="s">
        <v>8131</v>
      </c>
    </row>
    <row r="2071" spans="1:11" x14ac:dyDescent="0.25">
      <c r="A2071" t="s">
        <v>6918</v>
      </c>
      <c r="B2071" t="s">
        <v>6919</v>
      </c>
      <c r="C2071" t="s">
        <v>3268</v>
      </c>
      <c r="D2071" t="s">
        <v>6920</v>
      </c>
      <c r="E2071" t="s">
        <v>14</v>
      </c>
      <c r="F2071" t="s">
        <v>15</v>
      </c>
      <c r="G2071">
        <v>15222</v>
      </c>
      <c r="H2071" t="s">
        <v>34</v>
      </c>
      <c r="I2071">
        <v>31</v>
      </c>
      <c r="J2071">
        <v>1</v>
      </c>
      <c r="K2071" t="s">
        <v>8131</v>
      </c>
    </row>
    <row r="2072" spans="1:11" x14ac:dyDescent="0.25">
      <c r="A2072" t="s">
        <v>6921</v>
      </c>
      <c r="B2072" t="s">
        <v>6922</v>
      </c>
      <c r="C2072" t="s">
        <v>6923</v>
      </c>
      <c r="D2072" t="s">
        <v>6924</v>
      </c>
      <c r="E2072" t="s">
        <v>14</v>
      </c>
      <c r="F2072" t="s">
        <v>15</v>
      </c>
      <c r="G2072">
        <v>15201</v>
      </c>
      <c r="H2072" t="s">
        <v>34</v>
      </c>
      <c r="I2072">
        <v>65</v>
      </c>
      <c r="J2072">
        <v>0</v>
      </c>
      <c r="K2072" t="s">
        <v>8131</v>
      </c>
    </row>
    <row r="2073" spans="1:11" x14ac:dyDescent="0.25">
      <c r="A2073" t="s">
        <v>6925</v>
      </c>
      <c r="B2073" t="s">
        <v>267</v>
      </c>
      <c r="C2073" t="s">
        <v>601</v>
      </c>
      <c r="D2073" t="s">
        <v>6926</v>
      </c>
      <c r="E2073" t="s">
        <v>14</v>
      </c>
      <c r="F2073" t="s">
        <v>15</v>
      </c>
      <c r="G2073">
        <v>15222</v>
      </c>
      <c r="H2073" t="s">
        <v>34</v>
      </c>
      <c r="I2073">
        <v>13</v>
      </c>
      <c r="J2073">
        <v>0</v>
      </c>
      <c r="K2073" t="s">
        <v>8131</v>
      </c>
    </row>
    <row r="2074" spans="1:11" x14ac:dyDescent="0.25">
      <c r="A2074" t="s">
        <v>6927</v>
      </c>
      <c r="B2074" t="s">
        <v>6928</v>
      </c>
      <c r="C2074" t="s">
        <v>6929</v>
      </c>
      <c r="D2074" t="s">
        <v>6930</v>
      </c>
      <c r="E2074" t="s">
        <v>14</v>
      </c>
      <c r="F2074" t="s">
        <v>15</v>
      </c>
      <c r="G2074">
        <v>15201</v>
      </c>
      <c r="H2074" t="s">
        <v>48</v>
      </c>
      <c r="I2074">
        <v>1023</v>
      </c>
      <c r="J2074">
        <v>1</v>
      </c>
      <c r="K2074" t="s">
        <v>8131</v>
      </c>
    </row>
    <row r="2075" spans="1:11" x14ac:dyDescent="0.25">
      <c r="A2075" t="s">
        <v>6931</v>
      </c>
      <c r="B2075" t="s">
        <v>6932</v>
      </c>
      <c r="C2075" t="s">
        <v>6933</v>
      </c>
      <c r="D2075" t="s">
        <v>5101</v>
      </c>
      <c r="E2075" t="s">
        <v>14</v>
      </c>
      <c r="F2075" t="s">
        <v>15</v>
      </c>
      <c r="G2075">
        <v>15236</v>
      </c>
      <c r="H2075" t="s">
        <v>16</v>
      </c>
      <c r="I2075">
        <v>223</v>
      </c>
      <c r="J2075">
        <v>1</v>
      </c>
      <c r="K2075" t="s">
        <v>8131</v>
      </c>
    </row>
    <row r="2076" spans="1:11" x14ac:dyDescent="0.25">
      <c r="A2076" t="s">
        <v>6934</v>
      </c>
      <c r="B2076" t="s">
        <v>3326</v>
      </c>
      <c r="C2076" t="s">
        <v>6935</v>
      </c>
      <c r="D2076" t="s">
        <v>3262</v>
      </c>
      <c r="E2076" t="s">
        <v>14</v>
      </c>
      <c r="F2076" t="s">
        <v>15</v>
      </c>
      <c r="G2076">
        <v>15234</v>
      </c>
      <c r="H2076" t="s">
        <v>16</v>
      </c>
      <c r="I2076">
        <v>8</v>
      </c>
      <c r="J2076">
        <v>0</v>
      </c>
      <c r="K2076" t="s">
        <v>8131</v>
      </c>
    </row>
    <row r="2077" spans="1:11" x14ac:dyDescent="0.25">
      <c r="A2077" t="s">
        <v>6936</v>
      </c>
      <c r="B2077" t="s">
        <v>586</v>
      </c>
      <c r="C2077" t="s">
        <v>6937</v>
      </c>
      <c r="D2077" t="s">
        <v>4979</v>
      </c>
      <c r="E2077" t="s">
        <v>14</v>
      </c>
      <c r="F2077" t="s">
        <v>15</v>
      </c>
      <c r="G2077">
        <v>15232</v>
      </c>
      <c r="H2077" t="s">
        <v>16</v>
      </c>
      <c r="I2077">
        <v>356</v>
      </c>
      <c r="J2077">
        <v>1</v>
      </c>
      <c r="K2077" t="s">
        <v>8131</v>
      </c>
    </row>
    <row r="2078" spans="1:11" x14ac:dyDescent="0.25">
      <c r="A2078" t="s">
        <v>6938</v>
      </c>
      <c r="B2078" t="s">
        <v>6939</v>
      </c>
      <c r="C2078" t="s">
        <v>6940</v>
      </c>
      <c r="D2078" t="s">
        <v>640</v>
      </c>
      <c r="E2078" t="s">
        <v>14</v>
      </c>
      <c r="F2078" t="s">
        <v>15</v>
      </c>
      <c r="G2078">
        <v>15213</v>
      </c>
      <c r="H2078" t="s">
        <v>92</v>
      </c>
      <c r="I2078">
        <v>3</v>
      </c>
      <c r="J2078">
        <v>0</v>
      </c>
      <c r="K2078" t="s">
        <v>8131</v>
      </c>
    </row>
    <row r="2079" spans="1:11" x14ac:dyDescent="0.25">
      <c r="A2079" t="s">
        <v>6941</v>
      </c>
      <c r="B2079" t="s">
        <v>2791</v>
      </c>
      <c r="C2079" t="s">
        <v>155</v>
      </c>
      <c r="D2079" t="s">
        <v>6942</v>
      </c>
      <c r="E2079" t="s">
        <v>14</v>
      </c>
      <c r="F2079" t="s">
        <v>15</v>
      </c>
      <c r="G2079">
        <v>15236</v>
      </c>
      <c r="H2079" t="s">
        <v>113</v>
      </c>
      <c r="I2079">
        <v>8</v>
      </c>
      <c r="J2079">
        <v>1</v>
      </c>
      <c r="K2079" t="s">
        <v>8131</v>
      </c>
    </row>
    <row r="2080" spans="1:11" x14ac:dyDescent="0.25">
      <c r="A2080" t="s">
        <v>6943</v>
      </c>
      <c r="B2080" t="s">
        <v>6944</v>
      </c>
      <c r="C2080" t="s">
        <v>2998</v>
      </c>
      <c r="D2080" t="s">
        <v>6945</v>
      </c>
      <c r="E2080" t="s">
        <v>14</v>
      </c>
      <c r="F2080" t="s">
        <v>15</v>
      </c>
      <c r="G2080">
        <v>15212</v>
      </c>
      <c r="H2080" t="s">
        <v>21</v>
      </c>
      <c r="I2080">
        <v>23</v>
      </c>
      <c r="J2080">
        <v>1</v>
      </c>
      <c r="K2080" t="s">
        <v>8131</v>
      </c>
    </row>
    <row r="2081" spans="1:11" x14ac:dyDescent="0.25">
      <c r="A2081" t="s">
        <v>6946</v>
      </c>
      <c r="B2081" t="s">
        <v>6947</v>
      </c>
      <c r="C2081" t="s">
        <v>6948</v>
      </c>
      <c r="D2081" t="s">
        <v>6949</v>
      </c>
      <c r="E2081" t="s">
        <v>14</v>
      </c>
      <c r="F2081" t="s">
        <v>15</v>
      </c>
      <c r="G2081">
        <v>15202</v>
      </c>
      <c r="H2081" t="s">
        <v>16</v>
      </c>
      <c r="I2081">
        <v>30</v>
      </c>
      <c r="J2081">
        <v>1</v>
      </c>
      <c r="K2081" t="s">
        <v>8131</v>
      </c>
    </row>
    <row r="2082" spans="1:11" x14ac:dyDescent="0.25">
      <c r="A2082" t="s">
        <v>6950</v>
      </c>
      <c r="B2082" t="s">
        <v>578</v>
      </c>
      <c r="C2082" t="s">
        <v>6951</v>
      </c>
      <c r="D2082" t="s">
        <v>1010</v>
      </c>
      <c r="E2082" t="s">
        <v>14</v>
      </c>
      <c r="F2082" t="s">
        <v>15</v>
      </c>
      <c r="G2082">
        <v>15222</v>
      </c>
      <c r="H2082" t="s">
        <v>48</v>
      </c>
      <c r="I2082">
        <v>55</v>
      </c>
      <c r="J2082">
        <v>0</v>
      </c>
      <c r="K2082" t="s">
        <v>8131</v>
      </c>
    </row>
    <row r="2083" spans="1:11" x14ac:dyDescent="0.25">
      <c r="A2083" t="s">
        <v>6952</v>
      </c>
      <c r="B2083" t="s">
        <v>377</v>
      </c>
      <c r="C2083" t="s">
        <v>6953</v>
      </c>
      <c r="D2083" t="s">
        <v>6954</v>
      </c>
      <c r="E2083" t="s">
        <v>14</v>
      </c>
      <c r="F2083" t="s">
        <v>15</v>
      </c>
      <c r="G2083">
        <v>15239</v>
      </c>
      <c r="H2083" t="s">
        <v>48</v>
      </c>
      <c r="I2083">
        <v>11</v>
      </c>
      <c r="J2083">
        <v>1</v>
      </c>
      <c r="K2083" t="s">
        <v>8131</v>
      </c>
    </row>
    <row r="2084" spans="1:11" x14ac:dyDescent="0.25">
      <c r="A2084" t="s">
        <v>6955</v>
      </c>
      <c r="B2084" t="s">
        <v>65</v>
      </c>
      <c r="C2084" t="s">
        <v>6956</v>
      </c>
      <c r="D2084" t="s">
        <v>6957</v>
      </c>
      <c r="E2084" t="s">
        <v>14</v>
      </c>
      <c r="F2084" t="s">
        <v>15</v>
      </c>
      <c r="G2084">
        <v>15212</v>
      </c>
      <c r="H2084" t="s">
        <v>43</v>
      </c>
      <c r="I2084">
        <v>18</v>
      </c>
      <c r="J2084">
        <v>1</v>
      </c>
      <c r="K2084" t="s">
        <v>8131</v>
      </c>
    </row>
    <row r="2085" spans="1:11" x14ac:dyDescent="0.25">
      <c r="A2085" t="s">
        <v>6958</v>
      </c>
      <c r="B2085" t="s">
        <v>6959</v>
      </c>
      <c r="C2085" t="s">
        <v>6960</v>
      </c>
      <c r="D2085" t="s">
        <v>3789</v>
      </c>
      <c r="E2085" t="s">
        <v>14</v>
      </c>
      <c r="F2085" t="s">
        <v>15</v>
      </c>
      <c r="G2085">
        <v>15206</v>
      </c>
      <c r="H2085" t="s">
        <v>21</v>
      </c>
      <c r="I2085">
        <v>385</v>
      </c>
      <c r="J2085">
        <v>1</v>
      </c>
      <c r="K2085" t="s">
        <v>8131</v>
      </c>
    </row>
    <row r="2086" spans="1:11" x14ac:dyDescent="0.25">
      <c r="A2086" t="s">
        <v>6961</v>
      </c>
      <c r="B2086" t="s">
        <v>6962</v>
      </c>
      <c r="C2086" t="s">
        <v>6963</v>
      </c>
      <c r="D2086" t="s">
        <v>6964</v>
      </c>
      <c r="E2086" t="s">
        <v>14</v>
      </c>
      <c r="F2086" t="s">
        <v>15</v>
      </c>
      <c r="G2086">
        <v>15219</v>
      </c>
      <c r="H2086" t="s">
        <v>48</v>
      </c>
      <c r="I2086">
        <v>5</v>
      </c>
      <c r="J2086">
        <v>1</v>
      </c>
      <c r="K2086" t="s">
        <v>8131</v>
      </c>
    </row>
    <row r="2087" spans="1:11" x14ac:dyDescent="0.25">
      <c r="A2087" t="s">
        <v>6965</v>
      </c>
      <c r="B2087" t="s">
        <v>6966</v>
      </c>
      <c r="C2087" t="s">
        <v>2838</v>
      </c>
      <c r="D2087" t="s">
        <v>6967</v>
      </c>
      <c r="E2087" t="s">
        <v>14</v>
      </c>
      <c r="F2087" t="s">
        <v>15</v>
      </c>
      <c r="G2087">
        <v>15232</v>
      </c>
      <c r="H2087" t="s">
        <v>43</v>
      </c>
      <c r="I2087">
        <v>42</v>
      </c>
      <c r="J2087">
        <v>0</v>
      </c>
      <c r="K2087" t="s">
        <v>8131</v>
      </c>
    </row>
    <row r="2088" spans="1:11" x14ac:dyDescent="0.25">
      <c r="A2088" t="s">
        <v>6968</v>
      </c>
      <c r="B2088" t="s">
        <v>6969</v>
      </c>
      <c r="C2088" t="s">
        <v>6970</v>
      </c>
      <c r="D2088" t="s">
        <v>6971</v>
      </c>
      <c r="E2088" t="s">
        <v>14</v>
      </c>
      <c r="F2088" t="s">
        <v>15</v>
      </c>
      <c r="G2088">
        <v>15227</v>
      </c>
      <c r="H2088" t="s">
        <v>21</v>
      </c>
      <c r="I2088">
        <v>3</v>
      </c>
      <c r="J2088">
        <v>0</v>
      </c>
      <c r="K2088" t="s">
        <v>8131</v>
      </c>
    </row>
    <row r="2089" spans="1:11" x14ac:dyDescent="0.25">
      <c r="A2089" t="s">
        <v>6972</v>
      </c>
      <c r="B2089" t="s">
        <v>6973</v>
      </c>
      <c r="C2089" t="s">
        <v>4360</v>
      </c>
      <c r="D2089" t="s">
        <v>6974</v>
      </c>
      <c r="E2089" t="s">
        <v>14</v>
      </c>
      <c r="F2089" t="s">
        <v>15</v>
      </c>
      <c r="G2089">
        <v>15238</v>
      </c>
      <c r="H2089" t="s">
        <v>16</v>
      </c>
      <c r="I2089">
        <v>460</v>
      </c>
      <c r="J2089">
        <v>1</v>
      </c>
      <c r="K2089" t="s">
        <v>8131</v>
      </c>
    </row>
    <row r="2090" spans="1:11" x14ac:dyDescent="0.25">
      <c r="A2090" t="s">
        <v>6975</v>
      </c>
      <c r="B2090" t="s">
        <v>6976</v>
      </c>
      <c r="C2090" t="s">
        <v>1150</v>
      </c>
      <c r="D2090" t="s">
        <v>6977</v>
      </c>
      <c r="E2090" t="s">
        <v>14</v>
      </c>
      <c r="F2090" t="s">
        <v>15</v>
      </c>
      <c r="G2090">
        <v>15235</v>
      </c>
      <c r="H2090" t="s">
        <v>48</v>
      </c>
      <c r="I2090">
        <v>11</v>
      </c>
      <c r="J2090">
        <v>1</v>
      </c>
      <c r="K2090" t="s">
        <v>8131</v>
      </c>
    </row>
    <row r="2091" spans="1:11" x14ac:dyDescent="0.25">
      <c r="A2091" t="s">
        <v>6978</v>
      </c>
      <c r="B2091" t="s">
        <v>6979</v>
      </c>
      <c r="C2091" t="s">
        <v>6980</v>
      </c>
      <c r="D2091" t="s">
        <v>6981</v>
      </c>
      <c r="E2091" t="s">
        <v>14</v>
      </c>
      <c r="F2091" t="s">
        <v>15</v>
      </c>
      <c r="G2091">
        <v>15213</v>
      </c>
      <c r="H2091" t="s">
        <v>48</v>
      </c>
      <c r="I2091">
        <v>96</v>
      </c>
      <c r="J2091">
        <v>1</v>
      </c>
      <c r="K2091" t="s">
        <v>8131</v>
      </c>
    </row>
    <row r="2092" spans="1:11" x14ac:dyDescent="0.25">
      <c r="A2092" t="s">
        <v>6982</v>
      </c>
      <c r="B2092" t="s">
        <v>6983</v>
      </c>
      <c r="C2092" t="s">
        <v>6984</v>
      </c>
      <c r="D2092" t="s">
        <v>6985</v>
      </c>
      <c r="E2092" t="s">
        <v>14</v>
      </c>
      <c r="F2092" t="s">
        <v>15</v>
      </c>
      <c r="G2092">
        <v>15206</v>
      </c>
      <c r="H2092" t="s">
        <v>48</v>
      </c>
      <c r="I2092">
        <v>155</v>
      </c>
      <c r="J2092">
        <v>1</v>
      </c>
      <c r="K2092" t="s">
        <v>8131</v>
      </c>
    </row>
    <row r="2093" spans="1:11" x14ac:dyDescent="0.25">
      <c r="A2093" t="s">
        <v>6986</v>
      </c>
      <c r="B2093" t="s">
        <v>6987</v>
      </c>
      <c r="C2093" t="s">
        <v>419</v>
      </c>
      <c r="D2093" t="s">
        <v>6988</v>
      </c>
      <c r="E2093" t="s">
        <v>14</v>
      </c>
      <c r="F2093" t="s">
        <v>15</v>
      </c>
      <c r="G2093">
        <v>15226</v>
      </c>
      <c r="H2093" t="s">
        <v>113</v>
      </c>
      <c r="I2093">
        <v>19</v>
      </c>
      <c r="J2093">
        <v>1</v>
      </c>
      <c r="K2093" t="s">
        <v>8131</v>
      </c>
    </row>
    <row r="2094" spans="1:11" x14ac:dyDescent="0.25">
      <c r="A2094" t="s">
        <v>6989</v>
      </c>
      <c r="B2094" t="s">
        <v>1416</v>
      </c>
      <c r="C2094" t="s">
        <v>32</v>
      </c>
      <c r="D2094" t="s">
        <v>6990</v>
      </c>
      <c r="E2094" t="s">
        <v>14</v>
      </c>
      <c r="F2094" t="s">
        <v>15</v>
      </c>
      <c r="G2094">
        <v>15237</v>
      </c>
      <c r="H2094" t="s">
        <v>92</v>
      </c>
      <c r="I2094">
        <v>3</v>
      </c>
      <c r="J2094">
        <v>1</v>
      </c>
      <c r="K2094" t="s">
        <v>8131</v>
      </c>
    </row>
    <row r="2095" spans="1:11" x14ac:dyDescent="0.25">
      <c r="A2095" t="s">
        <v>6991</v>
      </c>
      <c r="B2095" t="s">
        <v>6992</v>
      </c>
      <c r="C2095" t="s">
        <v>6725</v>
      </c>
      <c r="D2095" t="s">
        <v>6993</v>
      </c>
      <c r="E2095" t="s">
        <v>14</v>
      </c>
      <c r="F2095" t="s">
        <v>15</v>
      </c>
      <c r="G2095">
        <v>15210</v>
      </c>
      <c r="H2095" t="s">
        <v>34</v>
      </c>
      <c r="I2095">
        <v>4</v>
      </c>
      <c r="J2095">
        <v>0</v>
      </c>
      <c r="K2095" t="s">
        <v>8131</v>
      </c>
    </row>
    <row r="2096" spans="1:11" x14ac:dyDescent="0.25">
      <c r="A2096" t="s">
        <v>6994</v>
      </c>
      <c r="B2096" t="s">
        <v>6995</v>
      </c>
      <c r="C2096" t="s">
        <v>5833</v>
      </c>
      <c r="D2096" t="s">
        <v>6996</v>
      </c>
      <c r="E2096" t="s">
        <v>14</v>
      </c>
      <c r="F2096" t="s">
        <v>15</v>
      </c>
      <c r="G2096">
        <v>15222</v>
      </c>
      <c r="H2096" t="s">
        <v>16</v>
      </c>
      <c r="I2096">
        <v>62</v>
      </c>
      <c r="J2096">
        <v>1</v>
      </c>
      <c r="K2096" t="s">
        <v>8131</v>
      </c>
    </row>
    <row r="2097" spans="1:11" x14ac:dyDescent="0.25">
      <c r="A2097" t="s">
        <v>6997</v>
      </c>
      <c r="B2097" t="s">
        <v>664</v>
      </c>
      <c r="C2097" t="s">
        <v>228</v>
      </c>
      <c r="D2097" t="s">
        <v>6998</v>
      </c>
      <c r="E2097" t="s">
        <v>14</v>
      </c>
      <c r="F2097" t="s">
        <v>15</v>
      </c>
      <c r="G2097">
        <v>15229</v>
      </c>
      <c r="H2097" t="s">
        <v>157</v>
      </c>
      <c r="I2097">
        <v>14</v>
      </c>
      <c r="J2097">
        <v>1</v>
      </c>
      <c r="K2097" t="s">
        <v>8131</v>
      </c>
    </row>
    <row r="2098" spans="1:11" x14ac:dyDescent="0.25">
      <c r="A2098" t="s">
        <v>6999</v>
      </c>
      <c r="B2098" t="s">
        <v>7000</v>
      </c>
      <c r="C2098" t="s">
        <v>7001</v>
      </c>
      <c r="D2098" t="s">
        <v>681</v>
      </c>
      <c r="E2098" t="s">
        <v>14</v>
      </c>
      <c r="F2098" t="s">
        <v>15</v>
      </c>
      <c r="G2098">
        <v>15206</v>
      </c>
      <c r="H2098" t="s">
        <v>92</v>
      </c>
      <c r="I2098">
        <v>4</v>
      </c>
      <c r="J2098">
        <v>0</v>
      </c>
      <c r="K2098" t="s">
        <v>8131</v>
      </c>
    </row>
    <row r="2099" spans="1:11" x14ac:dyDescent="0.25">
      <c r="A2099" t="s">
        <v>7002</v>
      </c>
      <c r="B2099" t="s">
        <v>7003</v>
      </c>
      <c r="C2099" t="s">
        <v>7004</v>
      </c>
      <c r="D2099" t="s">
        <v>4203</v>
      </c>
      <c r="E2099" t="s">
        <v>14</v>
      </c>
      <c r="F2099" t="s">
        <v>15</v>
      </c>
      <c r="G2099">
        <v>15206</v>
      </c>
      <c r="H2099" t="s">
        <v>16</v>
      </c>
      <c r="I2099">
        <v>75</v>
      </c>
      <c r="J2099">
        <v>1</v>
      </c>
      <c r="K2099" t="s">
        <v>8131</v>
      </c>
    </row>
    <row r="2100" spans="1:11" x14ac:dyDescent="0.25">
      <c r="A2100" t="s">
        <v>7005</v>
      </c>
      <c r="B2100" t="s">
        <v>7006</v>
      </c>
      <c r="C2100" t="s">
        <v>7007</v>
      </c>
      <c r="D2100" t="s">
        <v>7008</v>
      </c>
      <c r="E2100" t="s">
        <v>14</v>
      </c>
      <c r="F2100" t="s">
        <v>15</v>
      </c>
      <c r="G2100">
        <v>15213</v>
      </c>
      <c r="H2100" t="s">
        <v>34</v>
      </c>
      <c r="I2100">
        <v>394</v>
      </c>
      <c r="J2100">
        <v>1</v>
      </c>
      <c r="K2100" t="s">
        <v>8131</v>
      </c>
    </row>
    <row r="2101" spans="1:11" x14ac:dyDescent="0.25">
      <c r="A2101" t="s">
        <v>7009</v>
      </c>
      <c r="B2101" t="s">
        <v>7010</v>
      </c>
      <c r="C2101" t="s">
        <v>7011</v>
      </c>
      <c r="D2101" t="s">
        <v>5557</v>
      </c>
      <c r="E2101" t="s">
        <v>14</v>
      </c>
      <c r="F2101" t="s">
        <v>15</v>
      </c>
      <c r="G2101">
        <v>15289</v>
      </c>
      <c r="H2101" t="s">
        <v>48</v>
      </c>
      <c r="I2101">
        <v>46</v>
      </c>
      <c r="J2101">
        <v>0</v>
      </c>
      <c r="K2101" t="s">
        <v>8131</v>
      </c>
    </row>
    <row r="2102" spans="1:11" x14ac:dyDescent="0.25">
      <c r="A2102" t="s">
        <v>7012</v>
      </c>
      <c r="B2102" t="s">
        <v>7013</v>
      </c>
      <c r="C2102" t="s">
        <v>7014</v>
      </c>
      <c r="D2102" t="s">
        <v>7015</v>
      </c>
      <c r="E2102" t="s">
        <v>14</v>
      </c>
      <c r="F2102" t="s">
        <v>15</v>
      </c>
      <c r="G2102">
        <v>15222</v>
      </c>
      <c r="H2102" t="s">
        <v>48</v>
      </c>
      <c r="I2102">
        <v>199</v>
      </c>
      <c r="J2102">
        <v>1</v>
      </c>
      <c r="K2102" t="s">
        <v>8131</v>
      </c>
    </row>
    <row r="2103" spans="1:11" x14ac:dyDescent="0.25">
      <c r="A2103" t="s">
        <v>7016</v>
      </c>
      <c r="B2103" t="s">
        <v>7017</v>
      </c>
      <c r="C2103" t="s">
        <v>4360</v>
      </c>
      <c r="D2103" t="s">
        <v>7018</v>
      </c>
      <c r="E2103" t="s">
        <v>14</v>
      </c>
      <c r="F2103" t="s">
        <v>15</v>
      </c>
      <c r="G2103">
        <v>15275</v>
      </c>
      <c r="H2103" t="s">
        <v>16</v>
      </c>
      <c r="I2103">
        <v>534</v>
      </c>
      <c r="J2103">
        <v>1</v>
      </c>
      <c r="K2103" t="s">
        <v>8131</v>
      </c>
    </row>
    <row r="2104" spans="1:11" x14ac:dyDescent="0.25">
      <c r="A2104" t="s">
        <v>7019</v>
      </c>
      <c r="B2104" t="s">
        <v>7020</v>
      </c>
      <c r="C2104" t="s">
        <v>7021</v>
      </c>
      <c r="D2104" t="s">
        <v>7022</v>
      </c>
      <c r="E2104" t="s">
        <v>14</v>
      </c>
      <c r="F2104" t="s">
        <v>15</v>
      </c>
      <c r="G2104">
        <v>15222</v>
      </c>
      <c r="H2104" t="s">
        <v>34</v>
      </c>
      <c r="I2104">
        <v>29</v>
      </c>
      <c r="J2104">
        <v>0</v>
      </c>
      <c r="K2104" t="s">
        <v>8131</v>
      </c>
    </row>
    <row r="2105" spans="1:11" x14ac:dyDescent="0.25">
      <c r="A2105" t="s">
        <v>7023</v>
      </c>
      <c r="B2105" t="s">
        <v>119</v>
      </c>
      <c r="C2105" t="s">
        <v>7024</v>
      </c>
      <c r="D2105" t="s">
        <v>7025</v>
      </c>
      <c r="E2105" t="s">
        <v>14</v>
      </c>
      <c r="F2105" t="s">
        <v>15</v>
      </c>
      <c r="G2105">
        <v>15217</v>
      </c>
      <c r="H2105" t="s">
        <v>48</v>
      </c>
      <c r="I2105">
        <v>132</v>
      </c>
      <c r="J2105">
        <v>1</v>
      </c>
      <c r="K2105" t="s">
        <v>8131</v>
      </c>
    </row>
    <row r="2106" spans="1:11" x14ac:dyDescent="0.25">
      <c r="A2106" t="s">
        <v>7026</v>
      </c>
      <c r="B2106" t="s">
        <v>7027</v>
      </c>
      <c r="C2106" t="s">
        <v>7028</v>
      </c>
      <c r="D2106" t="s">
        <v>7029</v>
      </c>
      <c r="E2106" t="s">
        <v>14</v>
      </c>
      <c r="F2106" t="s">
        <v>15</v>
      </c>
      <c r="G2106">
        <v>15234</v>
      </c>
      <c r="H2106" t="s">
        <v>16</v>
      </c>
      <c r="I2106">
        <v>27</v>
      </c>
      <c r="J2106">
        <v>1</v>
      </c>
      <c r="K2106" t="s">
        <v>8131</v>
      </c>
    </row>
    <row r="2107" spans="1:11" x14ac:dyDescent="0.25">
      <c r="A2107" t="s">
        <v>7030</v>
      </c>
      <c r="B2107" t="s">
        <v>7031</v>
      </c>
      <c r="C2107" t="s">
        <v>366</v>
      </c>
      <c r="D2107" t="s">
        <v>2581</v>
      </c>
      <c r="E2107" t="s">
        <v>14</v>
      </c>
      <c r="F2107" t="s">
        <v>15</v>
      </c>
      <c r="G2107">
        <v>15222</v>
      </c>
      <c r="H2107" t="s">
        <v>48</v>
      </c>
      <c r="I2107">
        <v>10</v>
      </c>
      <c r="J2107">
        <v>1</v>
      </c>
      <c r="K2107" t="s">
        <v>8131</v>
      </c>
    </row>
    <row r="2108" spans="1:11" x14ac:dyDescent="0.25">
      <c r="A2108" t="s">
        <v>7032</v>
      </c>
      <c r="B2108" t="s">
        <v>7033</v>
      </c>
      <c r="C2108" t="s">
        <v>7034</v>
      </c>
      <c r="D2108" t="s">
        <v>7035</v>
      </c>
      <c r="E2108" t="s">
        <v>14</v>
      </c>
      <c r="F2108" t="s">
        <v>15</v>
      </c>
      <c r="G2108">
        <v>15203</v>
      </c>
      <c r="H2108" t="s">
        <v>48</v>
      </c>
      <c r="I2108">
        <v>53</v>
      </c>
      <c r="J2108">
        <v>1</v>
      </c>
      <c r="K2108" t="s">
        <v>8131</v>
      </c>
    </row>
    <row r="2109" spans="1:11" x14ac:dyDescent="0.25">
      <c r="A2109" t="s">
        <v>7036</v>
      </c>
      <c r="B2109" t="s">
        <v>7037</v>
      </c>
      <c r="C2109" t="s">
        <v>6351</v>
      </c>
      <c r="D2109" t="s">
        <v>7038</v>
      </c>
      <c r="E2109" t="s">
        <v>14</v>
      </c>
      <c r="F2109" t="s">
        <v>15</v>
      </c>
      <c r="G2109">
        <v>15120</v>
      </c>
      <c r="H2109" t="s">
        <v>16</v>
      </c>
      <c r="I2109">
        <v>151</v>
      </c>
      <c r="J2109">
        <v>0</v>
      </c>
      <c r="K2109" t="s">
        <v>8131</v>
      </c>
    </row>
    <row r="2110" spans="1:11" x14ac:dyDescent="0.25">
      <c r="A2110" t="s">
        <v>7039</v>
      </c>
      <c r="B2110" t="s">
        <v>7040</v>
      </c>
      <c r="C2110" t="s">
        <v>7041</v>
      </c>
      <c r="D2110" t="s">
        <v>7042</v>
      </c>
      <c r="E2110" t="s">
        <v>14</v>
      </c>
      <c r="F2110" t="s">
        <v>15</v>
      </c>
      <c r="G2110">
        <v>15219</v>
      </c>
      <c r="H2110" t="s">
        <v>43</v>
      </c>
      <c r="I2110">
        <v>68</v>
      </c>
      <c r="J2110">
        <v>1</v>
      </c>
      <c r="K2110" t="s">
        <v>8131</v>
      </c>
    </row>
    <row r="2111" spans="1:11" x14ac:dyDescent="0.25">
      <c r="A2111" t="s">
        <v>7043</v>
      </c>
      <c r="B2111" t="s">
        <v>7044</v>
      </c>
      <c r="C2111" t="s">
        <v>7045</v>
      </c>
      <c r="D2111" t="s">
        <v>979</v>
      </c>
      <c r="E2111" t="s">
        <v>14</v>
      </c>
      <c r="F2111" t="s">
        <v>15</v>
      </c>
      <c r="G2111">
        <v>15222</v>
      </c>
      <c r="H2111" t="s">
        <v>21</v>
      </c>
      <c r="I2111">
        <v>3</v>
      </c>
      <c r="J2111">
        <v>0</v>
      </c>
      <c r="K2111" t="s">
        <v>8131</v>
      </c>
    </row>
    <row r="2112" spans="1:11" x14ac:dyDescent="0.25">
      <c r="A2112" t="s">
        <v>7046</v>
      </c>
      <c r="B2112" t="s">
        <v>7047</v>
      </c>
      <c r="C2112" t="s">
        <v>7048</v>
      </c>
      <c r="D2112" t="s">
        <v>681</v>
      </c>
      <c r="E2112" t="s">
        <v>14</v>
      </c>
      <c r="F2112" t="s">
        <v>15</v>
      </c>
      <c r="G2112">
        <v>15206</v>
      </c>
      <c r="H2112" t="s">
        <v>48</v>
      </c>
      <c r="I2112">
        <v>94</v>
      </c>
      <c r="J2112">
        <v>0</v>
      </c>
      <c r="K2112" t="s">
        <v>8131</v>
      </c>
    </row>
    <row r="2113" spans="1:11" x14ac:dyDescent="0.25">
      <c r="A2113" t="s">
        <v>7049</v>
      </c>
      <c r="B2113" t="s">
        <v>1950</v>
      </c>
      <c r="C2113" t="s">
        <v>3902</v>
      </c>
      <c r="D2113" t="s">
        <v>4189</v>
      </c>
      <c r="E2113" t="s">
        <v>14</v>
      </c>
      <c r="F2113" t="s">
        <v>15</v>
      </c>
      <c r="G2113">
        <v>15229</v>
      </c>
      <c r="H2113" t="s">
        <v>1028</v>
      </c>
      <c r="I2113">
        <v>3</v>
      </c>
      <c r="J2113">
        <v>0</v>
      </c>
      <c r="K2113" t="s">
        <v>8131</v>
      </c>
    </row>
    <row r="2114" spans="1:11" x14ac:dyDescent="0.25">
      <c r="A2114" t="s">
        <v>7050</v>
      </c>
      <c r="B2114" t="s">
        <v>2755</v>
      </c>
      <c r="C2114" t="s">
        <v>1464</v>
      </c>
      <c r="D2114" t="s">
        <v>7051</v>
      </c>
      <c r="E2114" t="s">
        <v>14</v>
      </c>
      <c r="F2114" t="s">
        <v>15</v>
      </c>
      <c r="G2114">
        <v>15275</v>
      </c>
      <c r="H2114" t="s">
        <v>157</v>
      </c>
      <c r="I2114">
        <v>8</v>
      </c>
      <c r="J2114">
        <v>1</v>
      </c>
      <c r="K2114" t="s">
        <v>8131</v>
      </c>
    </row>
    <row r="2115" spans="1:11" x14ac:dyDescent="0.25">
      <c r="A2115" t="s">
        <v>7052</v>
      </c>
      <c r="B2115" t="s">
        <v>7053</v>
      </c>
      <c r="C2115" t="s">
        <v>7054</v>
      </c>
      <c r="D2115" t="s">
        <v>1789</v>
      </c>
      <c r="E2115" t="s">
        <v>14</v>
      </c>
      <c r="F2115" t="s">
        <v>15</v>
      </c>
      <c r="G2115">
        <v>15222</v>
      </c>
      <c r="H2115" t="s">
        <v>21</v>
      </c>
      <c r="I2115">
        <v>65</v>
      </c>
      <c r="J2115">
        <v>0</v>
      </c>
      <c r="K2115" t="s">
        <v>8131</v>
      </c>
    </row>
    <row r="2116" spans="1:11" x14ac:dyDescent="0.25">
      <c r="A2116" t="s">
        <v>7055</v>
      </c>
      <c r="B2116" t="s">
        <v>1929</v>
      </c>
      <c r="C2116" t="s">
        <v>7056</v>
      </c>
      <c r="D2116" t="s">
        <v>7057</v>
      </c>
      <c r="E2116" t="s">
        <v>14</v>
      </c>
      <c r="F2116" t="s">
        <v>15</v>
      </c>
      <c r="G2116">
        <v>15203</v>
      </c>
      <c r="H2116" t="s">
        <v>48</v>
      </c>
      <c r="I2116">
        <v>114</v>
      </c>
      <c r="J2116">
        <v>1</v>
      </c>
      <c r="K2116" t="s">
        <v>8131</v>
      </c>
    </row>
    <row r="2117" spans="1:11" x14ac:dyDescent="0.25">
      <c r="A2117" t="s">
        <v>7058</v>
      </c>
      <c r="B2117" t="s">
        <v>7059</v>
      </c>
      <c r="C2117" t="s">
        <v>7060</v>
      </c>
      <c r="D2117" t="s">
        <v>5705</v>
      </c>
      <c r="E2117" t="s">
        <v>14</v>
      </c>
      <c r="F2117" t="s">
        <v>15</v>
      </c>
      <c r="G2117">
        <v>15222</v>
      </c>
      <c r="H2117" t="s">
        <v>48</v>
      </c>
      <c r="I2117">
        <v>112</v>
      </c>
      <c r="J2117">
        <v>1</v>
      </c>
      <c r="K2117" t="s">
        <v>8131</v>
      </c>
    </row>
    <row r="2118" spans="1:11" x14ac:dyDescent="0.25">
      <c r="A2118" t="s">
        <v>7061</v>
      </c>
      <c r="B2118" t="s">
        <v>3117</v>
      </c>
      <c r="C2118" t="s">
        <v>7062</v>
      </c>
      <c r="D2118" t="s">
        <v>375</v>
      </c>
      <c r="E2118" t="s">
        <v>14</v>
      </c>
      <c r="F2118" t="s">
        <v>15</v>
      </c>
      <c r="G2118">
        <v>15228</v>
      </c>
      <c r="H2118" t="s">
        <v>21</v>
      </c>
      <c r="I2118">
        <v>32</v>
      </c>
      <c r="J2118">
        <v>1</v>
      </c>
      <c r="K2118" t="s">
        <v>8131</v>
      </c>
    </row>
    <row r="2119" spans="1:11" x14ac:dyDescent="0.25">
      <c r="A2119" t="s">
        <v>7063</v>
      </c>
      <c r="B2119" t="s">
        <v>7064</v>
      </c>
      <c r="C2119" t="s">
        <v>7065</v>
      </c>
      <c r="D2119" t="s">
        <v>7066</v>
      </c>
      <c r="E2119" t="s">
        <v>14</v>
      </c>
      <c r="F2119" t="s">
        <v>15</v>
      </c>
      <c r="G2119">
        <v>15228</v>
      </c>
      <c r="H2119" t="s">
        <v>16</v>
      </c>
      <c r="I2119">
        <v>168</v>
      </c>
      <c r="J2119">
        <v>1</v>
      </c>
      <c r="K2119" t="s">
        <v>8131</v>
      </c>
    </row>
    <row r="2120" spans="1:11" x14ac:dyDescent="0.25">
      <c r="A2120" t="s">
        <v>7067</v>
      </c>
      <c r="B2120" t="s">
        <v>7068</v>
      </c>
      <c r="C2120" t="s">
        <v>3182</v>
      </c>
      <c r="D2120" t="s">
        <v>7069</v>
      </c>
      <c r="E2120" t="s">
        <v>14</v>
      </c>
      <c r="F2120" t="s">
        <v>15</v>
      </c>
      <c r="G2120">
        <v>15222</v>
      </c>
      <c r="H2120" t="s">
        <v>16</v>
      </c>
      <c r="I2120">
        <v>29</v>
      </c>
      <c r="J2120">
        <v>1</v>
      </c>
      <c r="K2120" t="s">
        <v>8131</v>
      </c>
    </row>
    <row r="2121" spans="1:11" x14ac:dyDescent="0.25">
      <c r="A2121" t="e">
        <f>-j0CbYvlwuJ3Tfx__X38gA</f>
        <v>#NAME?</v>
      </c>
      <c r="B2121" t="s">
        <v>319</v>
      </c>
      <c r="C2121" t="s">
        <v>7070</v>
      </c>
      <c r="D2121" t="s">
        <v>7071</v>
      </c>
      <c r="E2121" t="s">
        <v>14</v>
      </c>
      <c r="F2121" t="s">
        <v>15</v>
      </c>
      <c r="G2121">
        <v>15206</v>
      </c>
      <c r="H2121" t="s">
        <v>21</v>
      </c>
      <c r="I2121">
        <v>117</v>
      </c>
      <c r="J2121">
        <v>1</v>
      </c>
      <c r="K2121" t="s">
        <v>8131</v>
      </c>
    </row>
    <row r="2122" spans="1:11" x14ac:dyDescent="0.25">
      <c r="A2122" t="s">
        <v>7072</v>
      </c>
      <c r="B2122" t="s">
        <v>7073</v>
      </c>
      <c r="C2122" t="s">
        <v>7074</v>
      </c>
      <c r="D2122" t="s">
        <v>7075</v>
      </c>
      <c r="E2122" t="s">
        <v>14</v>
      </c>
      <c r="F2122" t="s">
        <v>15</v>
      </c>
      <c r="G2122">
        <v>15217</v>
      </c>
      <c r="H2122" t="s">
        <v>16</v>
      </c>
      <c r="I2122">
        <v>207</v>
      </c>
      <c r="J2122">
        <v>1</v>
      </c>
      <c r="K2122" t="s">
        <v>8131</v>
      </c>
    </row>
    <row r="2123" spans="1:11" x14ac:dyDescent="0.25">
      <c r="A2123" t="s">
        <v>7076</v>
      </c>
      <c r="B2123" t="s">
        <v>7077</v>
      </c>
      <c r="C2123" t="s">
        <v>7078</v>
      </c>
      <c r="D2123" t="s">
        <v>4300</v>
      </c>
      <c r="E2123" t="s">
        <v>14</v>
      </c>
      <c r="F2123" t="s">
        <v>15</v>
      </c>
      <c r="G2123">
        <v>15226</v>
      </c>
      <c r="H2123" t="s">
        <v>48</v>
      </c>
      <c r="I2123">
        <v>6</v>
      </c>
      <c r="J2123">
        <v>0</v>
      </c>
      <c r="K2123" t="s">
        <v>8131</v>
      </c>
    </row>
    <row r="2124" spans="1:11" x14ac:dyDescent="0.25">
      <c r="A2124" t="s">
        <v>7079</v>
      </c>
      <c r="B2124" t="s">
        <v>578</v>
      </c>
      <c r="C2124" t="s">
        <v>2678</v>
      </c>
      <c r="D2124" t="s">
        <v>602</v>
      </c>
      <c r="E2124" t="s">
        <v>14</v>
      </c>
      <c r="F2124" t="s">
        <v>15</v>
      </c>
      <c r="G2124">
        <v>15232</v>
      </c>
      <c r="H2124" t="s">
        <v>34</v>
      </c>
      <c r="I2124">
        <v>85</v>
      </c>
      <c r="J2124">
        <v>0</v>
      </c>
      <c r="K2124" t="s">
        <v>8131</v>
      </c>
    </row>
    <row r="2125" spans="1:11" x14ac:dyDescent="0.25">
      <c r="A2125" t="s">
        <v>7080</v>
      </c>
      <c r="B2125" t="s">
        <v>2009</v>
      </c>
      <c r="C2125" t="s">
        <v>7081</v>
      </c>
      <c r="D2125" t="s">
        <v>6985</v>
      </c>
      <c r="E2125" t="s">
        <v>14</v>
      </c>
      <c r="F2125" t="s">
        <v>15</v>
      </c>
      <c r="G2125">
        <v>15206</v>
      </c>
      <c r="H2125" t="s">
        <v>48</v>
      </c>
      <c r="I2125">
        <v>106</v>
      </c>
      <c r="J2125">
        <v>0</v>
      </c>
      <c r="K2125" t="s">
        <v>8131</v>
      </c>
    </row>
    <row r="2126" spans="1:11" x14ac:dyDescent="0.25">
      <c r="A2126" t="s">
        <v>7082</v>
      </c>
      <c r="B2126" t="s">
        <v>377</v>
      </c>
      <c r="C2126" t="s">
        <v>7083</v>
      </c>
      <c r="D2126" t="s">
        <v>7084</v>
      </c>
      <c r="E2126" t="s">
        <v>14</v>
      </c>
      <c r="F2126" t="s">
        <v>15</v>
      </c>
      <c r="G2126">
        <v>15229</v>
      </c>
      <c r="H2126" t="s">
        <v>21</v>
      </c>
      <c r="I2126">
        <v>59</v>
      </c>
      <c r="J2126">
        <v>1</v>
      </c>
      <c r="K2126" t="s">
        <v>8131</v>
      </c>
    </row>
    <row r="2127" spans="1:11" x14ac:dyDescent="0.25">
      <c r="A2127" t="s">
        <v>7085</v>
      </c>
      <c r="B2127" t="s">
        <v>7086</v>
      </c>
      <c r="C2127" t="s">
        <v>2580</v>
      </c>
      <c r="D2127" t="s">
        <v>7087</v>
      </c>
      <c r="E2127" t="s">
        <v>14</v>
      </c>
      <c r="F2127" t="s">
        <v>15</v>
      </c>
      <c r="G2127">
        <v>15238</v>
      </c>
      <c r="H2127" t="s">
        <v>16</v>
      </c>
      <c r="I2127">
        <v>16</v>
      </c>
      <c r="J2127">
        <v>1</v>
      </c>
      <c r="K2127" t="s">
        <v>8131</v>
      </c>
    </row>
    <row r="2128" spans="1:11" x14ac:dyDescent="0.25">
      <c r="A2128" t="s">
        <v>7088</v>
      </c>
      <c r="B2128" t="s">
        <v>7089</v>
      </c>
      <c r="C2128" t="s">
        <v>7090</v>
      </c>
      <c r="D2128" t="s">
        <v>7091</v>
      </c>
      <c r="E2128" t="s">
        <v>14</v>
      </c>
      <c r="F2128" t="s">
        <v>15</v>
      </c>
      <c r="G2128">
        <v>15223</v>
      </c>
      <c r="H2128" t="s">
        <v>16</v>
      </c>
      <c r="I2128">
        <v>9</v>
      </c>
      <c r="J2128">
        <v>1</v>
      </c>
      <c r="K2128" t="s">
        <v>8131</v>
      </c>
    </row>
    <row r="2129" spans="1:11" x14ac:dyDescent="0.25">
      <c r="A2129" t="s">
        <v>7092</v>
      </c>
      <c r="B2129" t="s">
        <v>4419</v>
      </c>
      <c r="C2129" t="s">
        <v>6753</v>
      </c>
      <c r="D2129" t="s">
        <v>7093</v>
      </c>
      <c r="E2129" t="s">
        <v>14</v>
      </c>
      <c r="F2129" t="s">
        <v>15</v>
      </c>
      <c r="G2129">
        <v>15212</v>
      </c>
      <c r="H2129" t="s">
        <v>92</v>
      </c>
      <c r="I2129">
        <v>4</v>
      </c>
      <c r="J2129">
        <v>0</v>
      </c>
      <c r="K2129" t="s">
        <v>8131</v>
      </c>
    </row>
    <row r="2130" spans="1:11" x14ac:dyDescent="0.25">
      <c r="A2130" t="s">
        <v>7094</v>
      </c>
      <c r="B2130" t="s">
        <v>2952</v>
      </c>
      <c r="C2130" t="s">
        <v>32</v>
      </c>
      <c r="D2130" t="s">
        <v>7095</v>
      </c>
      <c r="E2130" t="s">
        <v>14</v>
      </c>
      <c r="F2130" t="s">
        <v>15</v>
      </c>
      <c r="G2130">
        <v>15228</v>
      </c>
      <c r="H2130" t="s">
        <v>43</v>
      </c>
      <c r="I2130">
        <v>3</v>
      </c>
      <c r="J2130">
        <v>1</v>
      </c>
      <c r="K2130" t="s">
        <v>8131</v>
      </c>
    </row>
    <row r="2131" spans="1:11" x14ac:dyDescent="0.25">
      <c r="A2131" t="s">
        <v>7096</v>
      </c>
      <c r="B2131" t="s">
        <v>7097</v>
      </c>
      <c r="C2131" t="s">
        <v>7098</v>
      </c>
      <c r="D2131" t="s">
        <v>7099</v>
      </c>
      <c r="E2131" t="s">
        <v>14</v>
      </c>
      <c r="F2131" t="s">
        <v>15</v>
      </c>
      <c r="G2131">
        <v>15232</v>
      </c>
      <c r="H2131" t="s">
        <v>48</v>
      </c>
      <c r="I2131">
        <v>285</v>
      </c>
      <c r="J2131">
        <v>1</v>
      </c>
      <c r="K2131" t="s">
        <v>8131</v>
      </c>
    </row>
    <row r="2132" spans="1:11" x14ac:dyDescent="0.25">
      <c r="A2132" t="s">
        <v>7100</v>
      </c>
      <c r="B2132" t="s">
        <v>7101</v>
      </c>
      <c r="C2132" t="s">
        <v>5617</v>
      </c>
      <c r="D2132" t="s">
        <v>7102</v>
      </c>
      <c r="E2132" t="s">
        <v>14</v>
      </c>
      <c r="F2132" t="s">
        <v>15</v>
      </c>
      <c r="G2132">
        <v>15205</v>
      </c>
      <c r="H2132" t="s">
        <v>113</v>
      </c>
      <c r="I2132">
        <v>52</v>
      </c>
      <c r="J2132">
        <v>1</v>
      </c>
      <c r="K2132" t="s">
        <v>8131</v>
      </c>
    </row>
    <row r="2133" spans="1:11" x14ac:dyDescent="0.25">
      <c r="A2133" t="s">
        <v>7103</v>
      </c>
      <c r="B2133" t="s">
        <v>7104</v>
      </c>
      <c r="C2133" t="s">
        <v>7105</v>
      </c>
      <c r="D2133" t="s">
        <v>7106</v>
      </c>
      <c r="E2133" t="s">
        <v>14</v>
      </c>
      <c r="F2133" t="s">
        <v>15</v>
      </c>
      <c r="G2133">
        <v>15213</v>
      </c>
      <c r="H2133" t="s">
        <v>48</v>
      </c>
      <c r="I2133">
        <v>3</v>
      </c>
      <c r="J2133">
        <v>1</v>
      </c>
      <c r="K2133" t="s">
        <v>8131</v>
      </c>
    </row>
    <row r="2134" spans="1:11" x14ac:dyDescent="0.25">
      <c r="A2134" t="s">
        <v>7107</v>
      </c>
      <c r="B2134" t="s">
        <v>7108</v>
      </c>
      <c r="C2134" t="s">
        <v>7109</v>
      </c>
      <c r="D2134" t="s">
        <v>7110</v>
      </c>
      <c r="E2134" t="s">
        <v>14</v>
      </c>
      <c r="F2134" t="s">
        <v>15</v>
      </c>
      <c r="G2134">
        <v>15219</v>
      </c>
      <c r="H2134" t="s">
        <v>48</v>
      </c>
      <c r="I2134">
        <v>8</v>
      </c>
      <c r="J2134">
        <v>1</v>
      </c>
      <c r="K2134" t="s">
        <v>8131</v>
      </c>
    </row>
    <row r="2135" spans="1:11" x14ac:dyDescent="0.25">
      <c r="A2135" t="s">
        <v>7111</v>
      </c>
      <c r="B2135" t="s">
        <v>1539</v>
      </c>
      <c r="C2135" t="s">
        <v>7112</v>
      </c>
      <c r="D2135" t="s">
        <v>7113</v>
      </c>
      <c r="E2135" t="s">
        <v>14</v>
      </c>
      <c r="F2135" t="s">
        <v>15</v>
      </c>
      <c r="G2135">
        <v>15222</v>
      </c>
      <c r="H2135" t="s">
        <v>43</v>
      </c>
      <c r="I2135">
        <v>44</v>
      </c>
      <c r="J2135">
        <v>1</v>
      </c>
      <c r="K2135" t="s">
        <v>8131</v>
      </c>
    </row>
    <row r="2136" spans="1:11" x14ac:dyDescent="0.25">
      <c r="A2136" t="s">
        <v>7114</v>
      </c>
      <c r="B2136" t="s">
        <v>7115</v>
      </c>
      <c r="C2136" t="s">
        <v>7116</v>
      </c>
      <c r="D2136" t="s">
        <v>7117</v>
      </c>
      <c r="E2136" t="s">
        <v>14</v>
      </c>
      <c r="F2136" t="s">
        <v>15</v>
      </c>
      <c r="G2136">
        <v>15224</v>
      </c>
      <c r="H2136" t="s">
        <v>16</v>
      </c>
      <c r="I2136">
        <v>96</v>
      </c>
      <c r="J2136">
        <v>0</v>
      </c>
      <c r="K2136" t="s">
        <v>8131</v>
      </c>
    </row>
    <row r="2137" spans="1:11" x14ac:dyDescent="0.25">
      <c r="A2137" t="s">
        <v>7118</v>
      </c>
      <c r="B2137" t="s">
        <v>7119</v>
      </c>
      <c r="C2137" t="s">
        <v>7120</v>
      </c>
      <c r="D2137" t="s">
        <v>7121</v>
      </c>
      <c r="E2137" t="s">
        <v>14</v>
      </c>
      <c r="F2137" t="s">
        <v>15</v>
      </c>
      <c r="G2137">
        <v>15201</v>
      </c>
      <c r="H2137" t="s">
        <v>16</v>
      </c>
      <c r="I2137">
        <v>21</v>
      </c>
      <c r="J2137">
        <v>1</v>
      </c>
      <c r="K2137" t="s">
        <v>8131</v>
      </c>
    </row>
    <row r="2138" spans="1:11" x14ac:dyDescent="0.25">
      <c r="A2138" t="s">
        <v>7122</v>
      </c>
      <c r="B2138" t="s">
        <v>7123</v>
      </c>
      <c r="C2138" t="s">
        <v>7124</v>
      </c>
      <c r="D2138" t="s">
        <v>7125</v>
      </c>
      <c r="E2138" t="s">
        <v>14</v>
      </c>
      <c r="F2138" t="s">
        <v>15</v>
      </c>
      <c r="G2138">
        <v>15228</v>
      </c>
      <c r="H2138" t="s">
        <v>48</v>
      </c>
      <c r="I2138">
        <v>104</v>
      </c>
      <c r="J2138">
        <v>1</v>
      </c>
      <c r="K2138" t="s">
        <v>8131</v>
      </c>
    </row>
    <row r="2139" spans="1:11" x14ac:dyDescent="0.25">
      <c r="A2139" t="s">
        <v>7126</v>
      </c>
      <c r="B2139" t="s">
        <v>7127</v>
      </c>
      <c r="C2139" t="s">
        <v>7128</v>
      </c>
      <c r="D2139" t="s">
        <v>7129</v>
      </c>
      <c r="E2139" t="s">
        <v>14</v>
      </c>
      <c r="F2139" t="s">
        <v>15</v>
      </c>
      <c r="G2139">
        <v>15210</v>
      </c>
      <c r="H2139" t="s">
        <v>21</v>
      </c>
      <c r="I2139">
        <v>3</v>
      </c>
      <c r="J2139">
        <v>1</v>
      </c>
      <c r="K2139" t="s">
        <v>8131</v>
      </c>
    </row>
    <row r="2140" spans="1:11" x14ac:dyDescent="0.25">
      <c r="A2140" t="s">
        <v>7130</v>
      </c>
      <c r="B2140" t="s">
        <v>215</v>
      </c>
      <c r="C2140" t="s">
        <v>7131</v>
      </c>
      <c r="D2140" t="s">
        <v>7132</v>
      </c>
      <c r="E2140" t="s">
        <v>14</v>
      </c>
      <c r="F2140" t="s">
        <v>15</v>
      </c>
      <c r="G2140">
        <v>15203</v>
      </c>
      <c r="H2140" t="s">
        <v>34</v>
      </c>
      <c r="I2140">
        <v>7</v>
      </c>
      <c r="J2140">
        <v>0</v>
      </c>
      <c r="K2140" t="s">
        <v>8131</v>
      </c>
    </row>
    <row r="2141" spans="1:11" x14ac:dyDescent="0.25">
      <c r="A2141" t="s">
        <v>7133</v>
      </c>
      <c r="B2141" t="s">
        <v>7134</v>
      </c>
      <c r="C2141" t="s">
        <v>7135</v>
      </c>
      <c r="D2141" t="s">
        <v>7136</v>
      </c>
      <c r="E2141" t="s">
        <v>14</v>
      </c>
      <c r="F2141" t="s">
        <v>15</v>
      </c>
      <c r="G2141">
        <v>15227</v>
      </c>
      <c r="H2141" t="s">
        <v>34</v>
      </c>
      <c r="I2141">
        <v>3</v>
      </c>
      <c r="J2141">
        <v>0</v>
      </c>
      <c r="K2141" t="s">
        <v>8131</v>
      </c>
    </row>
    <row r="2142" spans="1:11" x14ac:dyDescent="0.25">
      <c r="A2142" t="s">
        <v>7137</v>
      </c>
      <c r="B2142" t="s">
        <v>7138</v>
      </c>
      <c r="C2142" t="s">
        <v>7139</v>
      </c>
      <c r="D2142" t="s">
        <v>7140</v>
      </c>
      <c r="E2142" t="s">
        <v>14</v>
      </c>
      <c r="F2142" t="s">
        <v>15</v>
      </c>
      <c r="G2142">
        <v>15236</v>
      </c>
      <c r="H2142" t="s">
        <v>21</v>
      </c>
      <c r="I2142">
        <v>13</v>
      </c>
      <c r="J2142">
        <v>0</v>
      </c>
      <c r="K2142" t="s">
        <v>8131</v>
      </c>
    </row>
    <row r="2143" spans="1:11" x14ac:dyDescent="0.25">
      <c r="A2143" t="s">
        <v>7141</v>
      </c>
      <c r="B2143" t="s">
        <v>1950</v>
      </c>
      <c r="C2143" t="s">
        <v>4104</v>
      </c>
      <c r="D2143" t="s">
        <v>7142</v>
      </c>
      <c r="E2143" t="s">
        <v>14</v>
      </c>
      <c r="F2143" t="s">
        <v>15</v>
      </c>
      <c r="G2143">
        <v>15213</v>
      </c>
      <c r="H2143" t="s">
        <v>16</v>
      </c>
      <c r="I2143">
        <v>5</v>
      </c>
      <c r="J2143">
        <v>0</v>
      </c>
      <c r="K2143" t="s">
        <v>8131</v>
      </c>
    </row>
    <row r="2144" spans="1:11" x14ac:dyDescent="0.25">
      <c r="A2144" t="s">
        <v>7143</v>
      </c>
      <c r="B2144" t="s">
        <v>586</v>
      </c>
      <c r="C2144" t="s">
        <v>7144</v>
      </c>
      <c r="D2144" t="s">
        <v>7145</v>
      </c>
      <c r="E2144" t="s">
        <v>14</v>
      </c>
      <c r="F2144" t="s">
        <v>15</v>
      </c>
      <c r="G2144">
        <v>15220</v>
      </c>
      <c r="H2144" t="s">
        <v>48</v>
      </c>
      <c r="I2144">
        <v>46</v>
      </c>
      <c r="J2144">
        <v>1</v>
      </c>
      <c r="K2144" t="s">
        <v>8131</v>
      </c>
    </row>
    <row r="2145" spans="1:11" x14ac:dyDescent="0.25">
      <c r="A2145" t="s">
        <v>7146</v>
      </c>
      <c r="B2145" t="s">
        <v>1664</v>
      </c>
      <c r="C2145" t="s">
        <v>7147</v>
      </c>
      <c r="D2145" t="s">
        <v>7148</v>
      </c>
      <c r="E2145" t="s">
        <v>14</v>
      </c>
      <c r="F2145" t="s">
        <v>15</v>
      </c>
      <c r="G2145">
        <v>15222</v>
      </c>
      <c r="H2145" t="s">
        <v>21</v>
      </c>
      <c r="I2145">
        <v>28</v>
      </c>
      <c r="J2145">
        <v>1</v>
      </c>
      <c r="K2145" t="s">
        <v>8131</v>
      </c>
    </row>
    <row r="2146" spans="1:11" x14ac:dyDescent="0.25">
      <c r="A2146" t="s">
        <v>7149</v>
      </c>
      <c r="B2146" t="s">
        <v>7150</v>
      </c>
      <c r="C2146" t="s">
        <v>7151</v>
      </c>
      <c r="D2146" t="s">
        <v>7152</v>
      </c>
      <c r="E2146" t="s">
        <v>14</v>
      </c>
      <c r="F2146" t="s">
        <v>15</v>
      </c>
      <c r="G2146">
        <v>15203</v>
      </c>
      <c r="H2146" t="s">
        <v>21</v>
      </c>
      <c r="I2146">
        <v>26</v>
      </c>
      <c r="J2146">
        <v>1</v>
      </c>
      <c r="K2146" t="s">
        <v>8131</v>
      </c>
    </row>
    <row r="2147" spans="1:11" x14ac:dyDescent="0.25">
      <c r="A2147" t="s">
        <v>7153</v>
      </c>
      <c r="B2147" t="s">
        <v>7154</v>
      </c>
      <c r="C2147" t="s">
        <v>7155</v>
      </c>
      <c r="D2147" t="s">
        <v>1177</v>
      </c>
      <c r="E2147" t="s">
        <v>14</v>
      </c>
      <c r="F2147" t="s">
        <v>15</v>
      </c>
      <c r="G2147">
        <v>15213</v>
      </c>
      <c r="H2147" t="s">
        <v>16</v>
      </c>
      <c r="I2147">
        <v>37</v>
      </c>
      <c r="J2147">
        <v>0</v>
      </c>
      <c r="K2147" t="s">
        <v>8131</v>
      </c>
    </row>
    <row r="2148" spans="1:11" x14ac:dyDescent="0.25">
      <c r="A2148" t="s">
        <v>7156</v>
      </c>
      <c r="B2148" t="s">
        <v>377</v>
      </c>
      <c r="C2148" t="s">
        <v>7157</v>
      </c>
      <c r="D2148" t="s">
        <v>7158</v>
      </c>
      <c r="E2148" t="s">
        <v>14</v>
      </c>
      <c r="F2148" t="s">
        <v>15</v>
      </c>
      <c r="G2148">
        <v>15224</v>
      </c>
      <c r="H2148" t="s">
        <v>48</v>
      </c>
      <c r="I2148">
        <v>125</v>
      </c>
      <c r="J2148">
        <v>1</v>
      </c>
      <c r="K2148" t="s">
        <v>8131</v>
      </c>
    </row>
    <row r="2149" spans="1:11" x14ac:dyDescent="0.25">
      <c r="A2149" t="s">
        <v>7159</v>
      </c>
      <c r="B2149" t="s">
        <v>7160</v>
      </c>
      <c r="C2149" t="s">
        <v>7161</v>
      </c>
      <c r="D2149" t="s">
        <v>6425</v>
      </c>
      <c r="E2149" t="s">
        <v>14</v>
      </c>
      <c r="F2149" t="s">
        <v>15</v>
      </c>
      <c r="G2149">
        <v>15241</v>
      </c>
      <c r="H2149" t="s">
        <v>16</v>
      </c>
      <c r="I2149">
        <v>17</v>
      </c>
      <c r="J2149">
        <v>0</v>
      </c>
      <c r="K2149" t="s">
        <v>8131</v>
      </c>
    </row>
    <row r="2150" spans="1:11" x14ac:dyDescent="0.25">
      <c r="A2150" t="s">
        <v>7162</v>
      </c>
      <c r="B2150" t="s">
        <v>7163</v>
      </c>
      <c r="C2150" t="s">
        <v>1866</v>
      </c>
      <c r="D2150" t="s">
        <v>7164</v>
      </c>
      <c r="E2150" t="s">
        <v>14</v>
      </c>
      <c r="F2150" t="s">
        <v>15</v>
      </c>
      <c r="G2150">
        <v>15237</v>
      </c>
      <c r="H2150" t="s">
        <v>48</v>
      </c>
      <c r="I2150">
        <v>70</v>
      </c>
      <c r="J2150">
        <v>1</v>
      </c>
      <c r="K2150" t="s">
        <v>8131</v>
      </c>
    </row>
    <row r="2151" spans="1:11" x14ac:dyDescent="0.25">
      <c r="A2151" t="s">
        <v>7165</v>
      </c>
      <c r="B2151" t="s">
        <v>7166</v>
      </c>
      <c r="C2151" t="s">
        <v>7167</v>
      </c>
      <c r="D2151" t="s">
        <v>7168</v>
      </c>
      <c r="E2151" t="s">
        <v>14</v>
      </c>
      <c r="F2151" t="s">
        <v>15</v>
      </c>
      <c r="G2151">
        <v>15222</v>
      </c>
      <c r="H2151" t="s">
        <v>48</v>
      </c>
      <c r="I2151">
        <v>111</v>
      </c>
      <c r="J2151">
        <v>1</v>
      </c>
      <c r="K2151" t="s">
        <v>8131</v>
      </c>
    </row>
    <row r="2152" spans="1:11" x14ac:dyDescent="0.25">
      <c r="A2152" t="s">
        <v>7169</v>
      </c>
      <c r="B2152" t="s">
        <v>274</v>
      </c>
      <c r="C2152" t="s">
        <v>7170</v>
      </c>
      <c r="D2152" t="s">
        <v>6007</v>
      </c>
      <c r="E2152" t="s">
        <v>14</v>
      </c>
      <c r="F2152" t="s">
        <v>15</v>
      </c>
      <c r="G2152">
        <v>15217</v>
      </c>
      <c r="H2152" t="s">
        <v>113</v>
      </c>
      <c r="I2152">
        <v>4</v>
      </c>
      <c r="J2152">
        <v>1</v>
      </c>
      <c r="K2152" t="s">
        <v>8131</v>
      </c>
    </row>
    <row r="2153" spans="1:11" x14ac:dyDescent="0.25">
      <c r="A2153" t="s">
        <v>7171</v>
      </c>
      <c r="B2153" t="s">
        <v>1621</v>
      </c>
      <c r="C2153" t="s">
        <v>7172</v>
      </c>
      <c r="D2153" t="s">
        <v>7173</v>
      </c>
      <c r="E2153" t="s">
        <v>14</v>
      </c>
      <c r="F2153" t="s">
        <v>15</v>
      </c>
      <c r="G2153">
        <v>15206</v>
      </c>
      <c r="H2153" t="s">
        <v>16</v>
      </c>
      <c r="I2153">
        <v>9</v>
      </c>
      <c r="J2153">
        <v>1</v>
      </c>
      <c r="K2153" t="s">
        <v>8131</v>
      </c>
    </row>
    <row r="2154" spans="1:11" x14ac:dyDescent="0.25">
      <c r="A2154" t="s">
        <v>7174</v>
      </c>
      <c r="B2154" t="s">
        <v>7175</v>
      </c>
      <c r="C2154" t="s">
        <v>7176</v>
      </c>
      <c r="D2154" t="s">
        <v>1924</v>
      </c>
      <c r="E2154" t="s">
        <v>14</v>
      </c>
      <c r="F2154" t="s">
        <v>15</v>
      </c>
      <c r="G2154">
        <v>15231</v>
      </c>
      <c r="H2154" t="s">
        <v>34</v>
      </c>
      <c r="I2154">
        <v>6</v>
      </c>
      <c r="J2154">
        <v>1</v>
      </c>
      <c r="K2154" t="s">
        <v>8131</v>
      </c>
    </row>
    <row r="2155" spans="1:11" x14ac:dyDescent="0.25">
      <c r="A2155" t="s">
        <v>7177</v>
      </c>
      <c r="B2155" t="s">
        <v>7178</v>
      </c>
      <c r="C2155" t="s">
        <v>1150</v>
      </c>
      <c r="D2155" t="s">
        <v>7179</v>
      </c>
      <c r="E2155" t="s">
        <v>14</v>
      </c>
      <c r="F2155" t="s">
        <v>15</v>
      </c>
      <c r="G2155">
        <v>15216</v>
      </c>
      <c r="H2155" t="s">
        <v>48</v>
      </c>
      <c r="I2155">
        <v>33</v>
      </c>
      <c r="J2155">
        <v>1</v>
      </c>
      <c r="K2155" t="s">
        <v>8131</v>
      </c>
    </row>
    <row r="2156" spans="1:11" x14ac:dyDescent="0.25">
      <c r="A2156" t="s">
        <v>7180</v>
      </c>
      <c r="B2156" t="s">
        <v>3635</v>
      </c>
      <c r="C2156" t="s">
        <v>6861</v>
      </c>
      <c r="D2156" t="s">
        <v>7181</v>
      </c>
      <c r="E2156" t="s">
        <v>14</v>
      </c>
      <c r="F2156" t="s">
        <v>15</v>
      </c>
      <c r="G2156">
        <v>15236</v>
      </c>
      <c r="H2156" t="s">
        <v>16</v>
      </c>
      <c r="I2156">
        <v>3</v>
      </c>
      <c r="J2156">
        <v>0</v>
      </c>
      <c r="K2156" t="s">
        <v>8131</v>
      </c>
    </row>
    <row r="2157" spans="1:11" x14ac:dyDescent="0.25">
      <c r="A2157" t="s">
        <v>7182</v>
      </c>
      <c r="B2157" t="s">
        <v>239</v>
      </c>
      <c r="C2157" t="s">
        <v>7183</v>
      </c>
      <c r="D2157" t="s">
        <v>449</v>
      </c>
      <c r="E2157" t="s">
        <v>14</v>
      </c>
      <c r="F2157" t="s">
        <v>15</v>
      </c>
      <c r="G2157">
        <v>15203</v>
      </c>
      <c r="H2157" t="s">
        <v>16</v>
      </c>
      <c r="I2157">
        <v>10</v>
      </c>
      <c r="J2157">
        <v>0</v>
      </c>
      <c r="K2157" t="s">
        <v>8131</v>
      </c>
    </row>
    <row r="2158" spans="1:11" x14ac:dyDescent="0.25">
      <c r="A2158" t="s">
        <v>7184</v>
      </c>
      <c r="B2158" t="s">
        <v>7185</v>
      </c>
      <c r="C2158" t="s">
        <v>7186</v>
      </c>
      <c r="D2158" t="s">
        <v>7187</v>
      </c>
      <c r="E2158" t="s">
        <v>14</v>
      </c>
      <c r="F2158" t="s">
        <v>15</v>
      </c>
      <c r="G2158">
        <v>15228</v>
      </c>
      <c r="H2158" t="s">
        <v>21</v>
      </c>
      <c r="I2158">
        <v>63</v>
      </c>
      <c r="J2158">
        <v>1</v>
      </c>
      <c r="K2158" t="s">
        <v>8131</v>
      </c>
    </row>
    <row r="2159" spans="1:11" x14ac:dyDescent="0.25">
      <c r="A2159" t="s">
        <v>7188</v>
      </c>
      <c r="B2159" t="s">
        <v>7189</v>
      </c>
      <c r="C2159" t="s">
        <v>7190</v>
      </c>
      <c r="D2159" t="s">
        <v>7191</v>
      </c>
      <c r="E2159" t="s">
        <v>14</v>
      </c>
      <c r="F2159" t="s">
        <v>15</v>
      </c>
      <c r="G2159">
        <v>15222</v>
      </c>
      <c r="H2159" t="s">
        <v>16</v>
      </c>
      <c r="I2159">
        <v>278</v>
      </c>
      <c r="J2159">
        <v>1</v>
      </c>
      <c r="K2159" t="s">
        <v>8131</v>
      </c>
    </row>
    <row r="2160" spans="1:11" x14ac:dyDescent="0.25">
      <c r="A2160" t="s">
        <v>7192</v>
      </c>
      <c r="B2160" t="s">
        <v>7193</v>
      </c>
      <c r="C2160" t="s">
        <v>291</v>
      </c>
      <c r="D2160" t="s">
        <v>7194</v>
      </c>
      <c r="E2160" t="s">
        <v>14</v>
      </c>
      <c r="F2160" t="s">
        <v>15</v>
      </c>
      <c r="G2160">
        <v>15205</v>
      </c>
      <c r="H2160" t="s">
        <v>48</v>
      </c>
      <c r="I2160">
        <v>14</v>
      </c>
      <c r="J2160">
        <v>0</v>
      </c>
      <c r="K2160" t="s">
        <v>8131</v>
      </c>
    </row>
    <row r="2161" spans="1:11" x14ac:dyDescent="0.25">
      <c r="A2161" t="s">
        <v>7195</v>
      </c>
      <c r="B2161" t="s">
        <v>267</v>
      </c>
      <c r="C2161" t="s">
        <v>7196</v>
      </c>
      <c r="D2161" t="s">
        <v>7197</v>
      </c>
      <c r="E2161" t="s">
        <v>14</v>
      </c>
      <c r="F2161" t="s">
        <v>15</v>
      </c>
      <c r="G2161">
        <v>15203</v>
      </c>
      <c r="H2161" t="s">
        <v>48</v>
      </c>
      <c r="I2161">
        <v>184</v>
      </c>
      <c r="J2161">
        <v>1</v>
      </c>
      <c r="K2161" t="s">
        <v>8131</v>
      </c>
    </row>
    <row r="2162" spans="1:11" x14ac:dyDescent="0.25">
      <c r="A2162" t="s">
        <v>7198</v>
      </c>
      <c r="B2162" t="s">
        <v>7199</v>
      </c>
      <c r="C2162" t="s">
        <v>7200</v>
      </c>
      <c r="D2162" t="s">
        <v>7201</v>
      </c>
      <c r="E2162" t="s">
        <v>14</v>
      </c>
      <c r="F2162" t="s">
        <v>15</v>
      </c>
      <c r="G2162">
        <v>15237</v>
      </c>
      <c r="H2162" t="s">
        <v>34</v>
      </c>
      <c r="I2162">
        <v>12</v>
      </c>
      <c r="J2162">
        <v>0</v>
      </c>
      <c r="K2162" t="s">
        <v>8131</v>
      </c>
    </row>
    <row r="2163" spans="1:11" x14ac:dyDescent="0.25">
      <c r="A2163" t="s">
        <v>7202</v>
      </c>
      <c r="B2163" t="s">
        <v>3738</v>
      </c>
      <c r="C2163" t="s">
        <v>7203</v>
      </c>
      <c r="D2163" t="s">
        <v>7204</v>
      </c>
      <c r="E2163" t="s">
        <v>14</v>
      </c>
      <c r="F2163" t="s">
        <v>15</v>
      </c>
      <c r="G2163">
        <v>15213</v>
      </c>
      <c r="H2163" t="s">
        <v>48</v>
      </c>
      <c r="I2163">
        <v>271</v>
      </c>
      <c r="J2163">
        <v>1</v>
      </c>
      <c r="K2163" t="s">
        <v>8131</v>
      </c>
    </row>
    <row r="2164" spans="1:11" x14ac:dyDescent="0.25">
      <c r="A2164" t="s">
        <v>7205</v>
      </c>
      <c r="B2164" t="s">
        <v>7206</v>
      </c>
      <c r="C2164" t="s">
        <v>7207</v>
      </c>
      <c r="D2164" t="s">
        <v>7208</v>
      </c>
      <c r="E2164" t="s">
        <v>14</v>
      </c>
      <c r="F2164" t="s">
        <v>15</v>
      </c>
      <c r="G2164">
        <v>15221</v>
      </c>
      <c r="H2164" t="s">
        <v>16</v>
      </c>
      <c r="I2164">
        <v>16</v>
      </c>
      <c r="J2164">
        <v>1</v>
      </c>
      <c r="K2164" t="s">
        <v>8131</v>
      </c>
    </row>
    <row r="2165" spans="1:11" x14ac:dyDescent="0.25">
      <c r="A2165" t="s">
        <v>7209</v>
      </c>
      <c r="B2165" t="s">
        <v>7210</v>
      </c>
      <c r="C2165" t="s">
        <v>7211</v>
      </c>
      <c r="D2165" t="s">
        <v>7212</v>
      </c>
      <c r="E2165" t="s">
        <v>14</v>
      </c>
      <c r="F2165" t="s">
        <v>15</v>
      </c>
      <c r="G2165">
        <v>15213</v>
      </c>
      <c r="H2165" t="s">
        <v>34</v>
      </c>
      <c r="I2165">
        <v>3</v>
      </c>
      <c r="J2165">
        <v>1</v>
      </c>
      <c r="K2165" t="s">
        <v>8131</v>
      </c>
    </row>
    <row r="2166" spans="1:11" x14ac:dyDescent="0.25">
      <c r="A2166" t="s">
        <v>7213</v>
      </c>
      <c r="B2166" t="s">
        <v>7214</v>
      </c>
      <c r="C2166" t="s">
        <v>7215</v>
      </c>
      <c r="D2166" t="s">
        <v>2600</v>
      </c>
      <c r="E2166" t="s">
        <v>14</v>
      </c>
      <c r="F2166" t="s">
        <v>15</v>
      </c>
      <c r="G2166">
        <v>15217</v>
      </c>
      <c r="H2166" t="s">
        <v>48</v>
      </c>
      <c r="I2166">
        <v>285</v>
      </c>
      <c r="J2166">
        <v>1</v>
      </c>
      <c r="K2166" t="s">
        <v>8131</v>
      </c>
    </row>
    <row r="2167" spans="1:11" x14ac:dyDescent="0.25">
      <c r="A2167" t="s">
        <v>7216</v>
      </c>
      <c r="B2167" t="s">
        <v>7217</v>
      </c>
      <c r="C2167" t="s">
        <v>7218</v>
      </c>
      <c r="D2167" t="s">
        <v>7219</v>
      </c>
      <c r="E2167" t="s">
        <v>14</v>
      </c>
      <c r="F2167" t="s">
        <v>15</v>
      </c>
      <c r="G2167">
        <v>15222</v>
      </c>
      <c r="H2167" t="s">
        <v>48</v>
      </c>
      <c r="I2167">
        <v>105</v>
      </c>
      <c r="J2167">
        <v>1</v>
      </c>
      <c r="K2167" t="s">
        <v>8131</v>
      </c>
    </row>
    <row r="2168" spans="1:11" x14ac:dyDescent="0.25">
      <c r="A2168" t="s">
        <v>7220</v>
      </c>
      <c r="B2168" t="s">
        <v>7221</v>
      </c>
      <c r="C2168" t="s">
        <v>7222</v>
      </c>
      <c r="D2168" t="s">
        <v>751</v>
      </c>
      <c r="E2168" t="s">
        <v>14</v>
      </c>
      <c r="F2168" t="s">
        <v>15</v>
      </c>
      <c r="G2168">
        <v>15234</v>
      </c>
      <c r="H2168" t="s">
        <v>43</v>
      </c>
      <c r="I2168">
        <v>103</v>
      </c>
      <c r="J2168">
        <v>1</v>
      </c>
      <c r="K2168" t="s">
        <v>8131</v>
      </c>
    </row>
    <row r="2169" spans="1:11" x14ac:dyDescent="0.25">
      <c r="A2169" t="s">
        <v>7223</v>
      </c>
      <c r="B2169" t="s">
        <v>239</v>
      </c>
      <c r="C2169" t="s">
        <v>7224</v>
      </c>
      <c r="D2169" t="s">
        <v>4909</v>
      </c>
      <c r="E2169" t="s">
        <v>14</v>
      </c>
      <c r="F2169" t="s">
        <v>15</v>
      </c>
      <c r="G2169">
        <v>15222</v>
      </c>
      <c r="H2169" t="s">
        <v>113</v>
      </c>
      <c r="I2169">
        <v>4</v>
      </c>
      <c r="J2169">
        <v>1</v>
      </c>
      <c r="K2169" t="s">
        <v>8131</v>
      </c>
    </row>
    <row r="2170" spans="1:11" x14ac:dyDescent="0.25">
      <c r="A2170" t="s">
        <v>7225</v>
      </c>
      <c r="B2170" t="s">
        <v>7226</v>
      </c>
      <c r="C2170" t="s">
        <v>7227</v>
      </c>
      <c r="D2170" t="s">
        <v>7228</v>
      </c>
      <c r="E2170" t="s">
        <v>14</v>
      </c>
      <c r="F2170" t="s">
        <v>15</v>
      </c>
      <c r="G2170">
        <v>15219</v>
      </c>
      <c r="H2170" t="s">
        <v>48</v>
      </c>
      <c r="I2170">
        <v>24</v>
      </c>
      <c r="J2170">
        <v>0</v>
      </c>
      <c r="K2170" t="s">
        <v>8131</v>
      </c>
    </row>
    <row r="2171" spans="1:11" x14ac:dyDescent="0.25">
      <c r="A2171" t="s">
        <v>7229</v>
      </c>
      <c r="B2171" t="s">
        <v>1112</v>
      </c>
      <c r="C2171" t="s">
        <v>7230</v>
      </c>
      <c r="D2171" t="s">
        <v>7231</v>
      </c>
      <c r="E2171" t="s">
        <v>14</v>
      </c>
      <c r="F2171" t="s">
        <v>15</v>
      </c>
      <c r="G2171">
        <v>15224</v>
      </c>
      <c r="H2171" t="s">
        <v>16</v>
      </c>
      <c r="I2171">
        <v>116</v>
      </c>
      <c r="J2171">
        <v>1</v>
      </c>
      <c r="K2171" t="s">
        <v>8131</v>
      </c>
    </row>
    <row r="2172" spans="1:11" x14ac:dyDescent="0.25">
      <c r="A2172" t="s">
        <v>7232</v>
      </c>
      <c r="B2172" t="s">
        <v>282</v>
      </c>
      <c r="C2172" t="s">
        <v>3930</v>
      </c>
      <c r="D2172" t="s">
        <v>7233</v>
      </c>
      <c r="E2172" t="s">
        <v>14</v>
      </c>
      <c r="F2172" t="s">
        <v>15</v>
      </c>
      <c r="G2172">
        <v>15205</v>
      </c>
      <c r="H2172" t="s">
        <v>16</v>
      </c>
      <c r="I2172">
        <v>24</v>
      </c>
      <c r="J2172">
        <v>1</v>
      </c>
      <c r="K2172" t="s">
        <v>8131</v>
      </c>
    </row>
    <row r="2173" spans="1:11" x14ac:dyDescent="0.25">
      <c r="A2173" t="s">
        <v>7234</v>
      </c>
      <c r="B2173" t="s">
        <v>7235</v>
      </c>
      <c r="C2173" t="s">
        <v>7236</v>
      </c>
      <c r="D2173" t="s">
        <v>7237</v>
      </c>
      <c r="E2173" t="s">
        <v>14</v>
      </c>
      <c r="F2173" t="s">
        <v>15</v>
      </c>
      <c r="G2173">
        <v>15223</v>
      </c>
      <c r="H2173" t="s">
        <v>48</v>
      </c>
      <c r="I2173">
        <v>18</v>
      </c>
      <c r="J2173">
        <v>0</v>
      </c>
      <c r="K2173" t="s">
        <v>8131</v>
      </c>
    </row>
    <row r="2174" spans="1:11" x14ac:dyDescent="0.25">
      <c r="A2174" t="s">
        <v>7238</v>
      </c>
      <c r="B2174" t="s">
        <v>451</v>
      </c>
      <c r="C2174" t="s">
        <v>7239</v>
      </c>
      <c r="D2174" t="s">
        <v>3535</v>
      </c>
      <c r="E2174" t="s">
        <v>14</v>
      </c>
      <c r="F2174" t="s">
        <v>15</v>
      </c>
      <c r="G2174">
        <v>15224</v>
      </c>
      <c r="H2174" t="s">
        <v>43</v>
      </c>
      <c r="I2174">
        <v>3</v>
      </c>
      <c r="J2174">
        <v>0</v>
      </c>
      <c r="K2174" t="s">
        <v>8131</v>
      </c>
    </row>
    <row r="2175" spans="1:11" x14ac:dyDescent="0.25">
      <c r="A2175" t="s">
        <v>7240</v>
      </c>
      <c r="B2175" t="s">
        <v>7241</v>
      </c>
      <c r="C2175" t="s">
        <v>7242</v>
      </c>
      <c r="D2175" t="s">
        <v>7243</v>
      </c>
      <c r="E2175" t="s">
        <v>14</v>
      </c>
      <c r="F2175" t="s">
        <v>15</v>
      </c>
      <c r="G2175">
        <v>15232</v>
      </c>
      <c r="H2175" t="s">
        <v>34</v>
      </c>
      <c r="I2175">
        <v>104</v>
      </c>
      <c r="J2175">
        <v>1</v>
      </c>
      <c r="K2175" t="s">
        <v>8131</v>
      </c>
    </row>
    <row r="2176" spans="1:11" x14ac:dyDescent="0.25">
      <c r="A2176" t="s">
        <v>7244</v>
      </c>
      <c r="B2176" t="s">
        <v>7245</v>
      </c>
      <c r="C2176" t="s">
        <v>7246</v>
      </c>
      <c r="D2176" t="s">
        <v>7247</v>
      </c>
      <c r="E2176" t="s">
        <v>14</v>
      </c>
      <c r="F2176" t="s">
        <v>15</v>
      </c>
      <c r="G2176">
        <v>15235</v>
      </c>
      <c r="H2176" t="s">
        <v>16</v>
      </c>
      <c r="I2176">
        <v>9</v>
      </c>
      <c r="J2176">
        <v>1</v>
      </c>
      <c r="K2176" t="s">
        <v>8131</v>
      </c>
    </row>
    <row r="2177" spans="1:11" x14ac:dyDescent="0.25">
      <c r="A2177" t="s">
        <v>7248</v>
      </c>
      <c r="B2177" t="s">
        <v>7249</v>
      </c>
      <c r="C2177" t="s">
        <v>7250</v>
      </c>
      <c r="D2177" t="s">
        <v>7251</v>
      </c>
      <c r="E2177" t="s">
        <v>14</v>
      </c>
      <c r="F2177" t="s">
        <v>15</v>
      </c>
      <c r="G2177">
        <v>15234</v>
      </c>
      <c r="H2177" t="s">
        <v>113</v>
      </c>
      <c r="I2177">
        <v>7</v>
      </c>
      <c r="J2177">
        <v>1</v>
      </c>
      <c r="K2177" t="s">
        <v>8131</v>
      </c>
    </row>
    <row r="2178" spans="1:11" x14ac:dyDescent="0.25">
      <c r="A2178" t="s">
        <v>7252</v>
      </c>
      <c r="B2178" t="s">
        <v>7253</v>
      </c>
      <c r="C2178" t="s">
        <v>7254</v>
      </c>
      <c r="D2178" t="s">
        <v>1731</v>
      </c>
      <c r="E2178" t="s">
        <v>14</v>
      </c>
      <c r="F2178" t="s">
        <v>15</v>
      </c>
      <c r="G2178">
        <v>15222</v>
      </c>
      <c r="H2178" t="s">
        <v>16</v>
      </c>
      <c r="I2178">
        <v>218</v>
      </c>
      <c r="J2178">
        <v>1</v>
      </c>
      <c r="K2178" t="s">
        <v>8131</v>
      </c>
    </row>
    <row r="2179" spans="1:11" x14ac:dyDescent="0.25">
      <c r="A2179" t="s">
        <v>7255</v>
      </c>
      <c r="B2179" t="s">
        <v>474</v>
      </c>
      <c r="C2179" t="s">
        <v>7256</v>
      </c>
      <c r="D2179" t="s">
        <v>7257</v>
      </c>
      <c r="E2179" t="s">
        <v>14</v>
      </c>
      <c r="F2179" t="s">
        <v>15</v>
      </c>
      <c r="G2179">
        <v>15226</v>
      </c>
      <c r="H2179" t="s">
        <v>48</v>
      </c>
      <c r="I2179">
        <v>28</v>
      </c>
      <c r="J2179">
        <v>1</v>
      </c>
      <c r="K2179" t="s">
        <v>8131</v>
      </c>
    </row>
    <row r="2180" spans="1:11" x14ac:dyDescent="0.25">
      <c r="A2180" t="e">
        <f>-syU1HD-Iw_GEH8P5l03_A</f>
        <v>#NAME?</v>
      </c>
      <c r="B2180" t="s">
        <v>7258</v>
      </c>
      <c r="C2180" t="s">
        <v>7259</v>
      </c>
      <c r="D2180" t="s">
        <v>7260</v>
      </c>
      <c r="E2180" t="s">
        <v>14</v>
      </c>
      <c r="F2180" t="s">
        <v>15</v>
      </c>
      <c r="G2180">
        <v>15210</v>
      </c>
      <c r="H2180" t="s">
        <v>16</v>
      </c>
      <c r="I2180">
        <v>10</v>
      </c>
      <c r="J2180">
        <v>1</v>
      </c>
      <c r="K2180" t="s">
        <v>8131</v>
      </c>
    </row>
    <row r="2181" spans="1:11" x14ac:dyDescent="0.25">
      <c r="A2181" t="s">
        <v>7261</v>
      </c>
      <c r="B2181" t="s">
        <v>7262</v>
      </c>
      <c r="C2181" t="s">
        <v>7263</v>
      </c>
      <c r="D2181" t="s">
        <v>7264</v>
      </c>
      <c r="E2181" t="s">
        <v>14</v>
      </c>
      <c r="F2181" t="s">
        <v>15</v>
      </c>
      <c r="G2181">
        <v>15203</v>
      </c>
      <c r="H2181" t="s">
        <v>34</v>
      </c>
      <c r="I2181">
        <v>100</v>
      </c>
      <c r="J2181">
        <v>1</v>
      </c>
      <c r="K2181" t="s">
        <v>8131</v>
      </c>
    </row>
    <row r="2182" spans="1:11" x14ac:dyDescent="0.25">
      <c r="A2182" t="s">
        <v>7265</v>
      </c>
      <c r="B2182" t="s">
        <v>7266</v>
      </c>
      <c r="C2182" t="s">
        <v>1476</v>
      </c>
      <c r="D2182" t="s">
        <v>7267</v>
      </c>
      <c r="E2182" t="s">
        <v>14</v>
      </c>
      <c r="F2182" t="s">
        <v>15</v>
      </c>
      <c r="G2182">
        <v>15238</v>
      </c>
      <c r="H2182" t="s">
        <v>34</v>
      </c>
      <c r="I2182">
        <v>13</v>
      </c>
      <c r="J2182">
        <v>0</v>
      </c>
      <c r="K2182" t="s">
        <v>8131</v>
      </c>
    </row>
    <row r="2183" spans="1:11" x14ac:dyDescent="0.25">
      <c r="A2183" t="s">
        <v>7268</v>
      </c>
      <c r="B2183" t="s">
        <v>3259</v>
      </c>
      <c r="C2183" t="s">
        <v>1464</v>
      </c>
      <c r="D2183" t="s">
        <v>7269</v>
      </c>
      <c r="E2183" t="s">
        <v>14</v>
      </c>
      <c r="F2183" t="s">
        <v>15</v>
      </c>
      <c r="G2183">
        <v>15205</v>
      </c>
      <c r="H2183" t="s">
        <v>1028</v>
      </c>
      <c r="I2183">
        <v>13</v>
      </c>
      <c r="J2183">
        <v>1</v>
      </c>
      <c r="K2183" t="s">
        <v>8131</v>
      </c>
    </row>
    <row r="2184" spans="1:11" x14ac:dyDescent="0.25">
      <c r="A2184" t="s">
        <v>7270</v>
      </c>
      <c r="B2184" t="s">
        <v>7271</v>
      </c>
      <c r="C2184" t="s">
        <v>7272</v>
      </c>
      <c r="D2184" t="s">
        <v>7273</v>
      </c>
      <c r="E2184" t="s">
        <v>14</v>
      </c>
      <c r="F2184" t="s">
        <v>15</v>
      </c>
      <c r="G2184">
        <v>15241</v>
      </c>
      <c r="H2184" t="s">
        <v>34</v>
      </c>
      <c r="I2184">
        <v>7</v>
      </c>
      <c r="J2184">
        <v>1</v>
      </c>
      <c r="K2184" t="s">
        <v>8131</v>
      </c>
    </row>
    <row r="2185" spans="1:11" x14ac:dyDescent="0.25">
      <c r="A2185" t="s">
        <v>7274</v>
      </c>
      <c r="B2185" t="s">
        <v>65</v>
      </c>
      <c r="C2185" t="s">
        <v>7275</v>
      </c>
      <c r="D2185" t="s">
        <v>7276</v>
      </c>
      <c r="E2185" t="s">
        <v>14</v>
      </c>
      <c r="F2185" t="s">
        <v>15</v>
      </c>
      <c r="G2185">
        <v>15237</v>
      </c>
      <c r="H2185" t="s">
        <v>48</v>
      </c>
      <c r="I2185">
        <v>35</v>
      </c>
      <c r="J2185">
        <v>1</v>
      </c>
      <c r="K2185" t="s">
        <v>8131</v>
      </c>
    </row>
    <row r="2186" spans="1:11" x14ac:dyDescent="0.25">
      <c r="A2186" t="s">
        <v>7277</v>
      </c>
      <c r="B2186" t="s">
        <v>7278</v>
      </c>
      <c r="C2186" t="s">
        <v>7279</v>
      </c>
      <c r="D2186" t="s">
        <v>7280</v>
      </c>
      <c r="E2186" t="s">
        <v>14</v>
      </c>
      <c r="F2186" t="s">
        <v>15</v>
      </c>
      <c r="G2186">
        <v>15237</v>
      </c>
      <c r="H2186" t="s">
        <v>113</v>
      </c>
      <c r="I2186">
        <v>4</v>
      </c>
      <c r="J2186">
        <v>0</v>
      </c>
      <c r="K2186" t="s">
        <v>8131</v>
      </c>
    </row>
    <row r="2187" spans="1:11" x14ac:dyDescent="0.25">
      <c r="A2187" t="s">
        <v>7281</v>
      </c>
      <c r="B2187" t="s">
        <v>377</v>
      </c>
      <c r="C2187" t="s">
        <v>7282</v>
      </c>
      <c r="D2187" t="s">
        <v>7283</v>
      </c>
      <c r="E2187" t="s">
        <v>14</v>
      </c>
      <c r="F2187" t="s">
        <v>15</v>
      </c>
      <c r="G2187">
        <v>15212</v>
      </c>
      <c r="H2187" t="s">
        <v>21</v>
      </c>
      <c r="I2187">
        <v>18</v>
      </c>
      <c r="J2187">
        <v>1</v>
      </c>
      <c r="K2187" t="s">
        <v>8131</v>
      </c>
    </row>
    <row r="2188" spans="1:11" x14ac:dyDescent="0.25">
      <c r="A2188" t="s">
        <v>7284</v>
      </c>
      <c r="B2188" t="s">
        <v>7285</v>
      </c>
      <c r="C2188" t="s">
        <v>7286</v>
      </c>
      <c r="D2188" t="s">
        <v>7287</v>
      </c>
      <c r="E2188" t="s">
        <v>14</v>
      </c>
      <c r="F2188" t="s">
        <v>15</v>
      </c>
      <c r="G2188">
        <v>15213</v>
      </c>
      <c r="H2188" t="s">
        <v>48</v>
      </c>
      <c r="I2188">
        <v>31</v>
      </c>
      <c r="J2188">
        <v>0</v>
      </c>
      <c r="K2188" t="s">
        <v>8131</v>
      </c>
    </row>
    <row r="2189" spans="1:11" x14ac:dyDescent="0.25">
      <c r="A2189" t="s">
        <v>7288</v>
      </c>
      <c r="B2189" t="s">
        <v>7289</v>
      </c>
      <c r="C2189" t="s">
        <v>340</v>
      </c>
      <c r="D2189" t="s">
        <v>7290</v>
      </c>
      <c r="E2189" t="s">
        <v>14</v>
      </c>
      <c r="F2189" t="s">
        <v>15</v>
      </c>
      <c r="G2189">
        <v>15219</v>
      </c>
      <c r="H2189" t="s">
        <v>16</v>
      </c>
      <c r="I2189">
        <v>33</v>
      </c>
      <c r="J2189">
        <v>1</v>
      </c>
      <c r="K2189" t="s">
        <v>8131</v>
      </c>
    </row>
    <row r="2190" spans="1:11" x14ac:dyDescent="0.25">
      <c r="A2190" t="s">
        <v>7291</v>
      </c>
      <c r="B2190" t="s">
        <v>7292</v>
      </c>
      <c r="C2190" t="s">
        <v>7293</v>
      </c>
      <c r="D2190" t="s">
        <v>7294</v>
      </c>
      <c r="E2190" t="s">
        <v>14</v>
      </c>
      <c r="F2190" t="s">
        <v>15</v>
      </c>
      <c r="G2190">
        <v>15203</v>
      </c>
      <c r="H2190" t="s">
        <v>48</v>
      </c>
      <c r="I2190">
        <v>466</v>
      </c>
      <c r="J2190">
        <v>1</v>
      </c>
      <c r="K2190" t="s">
        <v>8131</v>
      </c>
    </row>
    <row r="2191" spans="1:11" x14ac:dyDescent="0.25">
      <c r="A2191" t="s">
        <v>7295</v>
      </c>
      <c r="B2191" t="s">
        <v>7296</v>
      </c>
      <c r="C2191" t="s">
        <v>7297</v>
      </c>
      <c r="D2191" t="s">
        <v>7298</v>
      </c>
      <c r="E2191" t="s">
        <v>14</v>
      </c>
      <c r="F2191" t="s">
        <v>15</v>
      </c>
      <c r="G2191">
        <v>15224</v>
      </c>
      <c r="H2191" t="s">
        <v>21</v>
      </c>
      <c r="I2191">
        <v>5</v>
      </c>
      <c r="J2191">
        <v>1</v>
      </c>
      <c r="K2191" t="s">
        <v>8131</v>
      </c>
    </row>
    <row r="2192" spans="1:11" x14ac:dyDescent="0.25">
      <c r="A2192" t="s">
        <v>7299</v>
      </c>
      <c r="B2192" t="s">
        <v>7300</v>
      </c>
      <c r="C2192" t="s">
        <v>7301</v>
      </c>
      <c r="D2192" t="s">
        <v>6308</v>
      </c>
      <c r="E2192" t="s">
        <v>14</v>
      </c>
      <c r="F2192" t="s">
        <v>15</v>
      </c>
      <c r="G2192">
        <v>15201</v>
      </c>
      <c r="H2192" t="s">
        <v>21</v>
      </c>
      <c r="I2192">
        <v>19</v>
      </c>
      <c r="J2192">
        <v>1</v>
      </c>
      <c r="K2192" t="s">
        <v>8131</v>
      </c>
    </row>
    <row r="2193" spans="1:11" x14ac:dyDescent="0.25">
      <c r="A2193" t="s">
        <v>7302</v>
      </c>
      <c r="B2193" t="s">
        <v>7303</v>
      </c>
      <c r="C2193" t="s">
        <v>7304</v>
      </c>
      <c r="D2193" t="s">
        <v>7305</v>
      </c>
      <c r="E2193" t="s">
        <v>14</v>
      </c>
      <c r="F2193" t="s">
        <v>15</v>
      </c>
      <c r="G2193">
        <v>15206</v>
      </c>
      <c r="H2193" t="s">
        <v>21</v>
      </c>
      <c r="I2193">
        <v>53</v>
      </c>
      <c r="J2193">
        <v>1</v>
      </c>
      <c r="K2193" t="s">
        <v>8131</v>
      </c>
    </row>
    <row r="2194" spans="1:11" x14ac:dyDescent="0.25">
      <c r="A2194" t="s">
        <v>7306</v>
      </c>
      <c r="B2194" t="s">
        <v>7307</v>
      </c>
      <c r="C2194" t="s">
        <v>7308</v>
      </c>
      <c r="D2194" t="s">
        <v>7309</v>
      </c>
      <c r="E2194" t="s">
        <v>14</v>
      </c>
      <c r="F2194" t="s">
        <v>15</v>
      </c>
      <c r="G2194">
        <v>15220</v>
      </c>
      <c r="H2194" t="s">
        <v>48</v>
      </c>
      <c r="I2194">
        <v>59</v>
      </c>
      <c r="J2194">
        <v>1</v>
      </c>
      <c r="K2194" t="s">
        <v>8131</v>
      </c>
    </row>
    <row r="2195" spans="1:11" x14ac:dyDescent="0.25">
      <c r="A2195" t="s">
        <v>7310</v>
      </c>
      <c r="B2195" t="s">
        <v>7311</v>
      </c>
      <c r="C2195" t="s">
        <v>7312</v>
      </c>
      <c r="E2195" t="s">
        <v>14</v>
      </c>
      <c r="F2195" t="s">
        <v>15</v>
      </c>
      <c r="G2195">
        <v>15122</v>
      </c>
      <c r="H2195" t="s">
        <v>21</v>
      </c>
      <c r="I2195">
        <v>3</v>
      </c>
      <c r="J2195">
        <v>1</v>
      </c>
      <c r="K2195" t="s">
        <v>8131</v>
      </c>
    </row>
    <row r="2196" spans="1:11" x14ac:dyDescent="0.25">
      <c r="A2196" t="s">
        <v>7313</v>
      </c>
      <c r="B2196" t="s">
        <v>7314</v>
      </c>
      <c r="C2196" t="s">
        <v>7315</v>
      </c>
      <c r="D2196" t="s">
        <v>379</v>
      </c>
      <c r="E2196" t="s">
        <v>14</v>
      </c>
      <c r="F2196" t="s">
        <v>15</v>
      </c>
      <c r="G2196">
        <v>15217</v>
      </c>
      <c r="H2196" t="s">
        <v>16</v>
      </c>
      <c r="I2196">
        <v>20</v>
      </c>
      <c r="J2196">
        <v>0</v>
      </c>
      <c r="K2196" t="s">
        <v>8131</v>
      </c>
    </row>
    <row r="2197" spans="1:11" x14ac:dyDescent="0.25">
      <c r="A2197" t="s">
        <v>7316</v>
      </c>
      <c r="B2197" t="s">
        <v>7317</v>
      </c>
      <c r="C2197" t="s">
        <v>7318</v>
      </c>
      <c r="D2197" t="s">
        <v>4755</v>
      </c>
      <c r="E2197" t="s">
        <v>14</v>
      </c>
      <c r="F2197" t="s">
        <v>15</v>
      </c>
      <c r="G2197">
        <v>15222</v>
      </c>
      <c r="H2197" t="s">
        <v>34</v>
      </c>
      <c r="I2197">
        <v>5</v>
      </c>
      <c r="J2197">
        <v>0</v>
      </c>
      <c r="K2197" t="s">
        <v>8131</v>
      </c>
    </row>
    <row r="2198" spans="1:11" x14ac:dyDescent="0.25">
      <c r="A2198" t="s">
        <v>7319</v>
      </c>
      <c r="B2198" t="s">
        <v>7320</v>
      </c>
      <c r="C2198" t="s">
        <v>7321</v>
      </c>
      <c r="D2198" t="s">
        <v>7322</v>
      </c>
      <c r="E2198" t="s">
        <v>14</v>
      </c>
      <c r="F2198" t="s">
        <v>15</v>
      </c>
      <c r="G2198">
        <v>15235</v>
      </c>
      <c r="H2198" t="s">
        <v>21</v>
      </c>
      <c r="I2198">
        <v>31</v>
      </c>
      <c r="J2198">
        <v>1</v>
      </c>
      <c r="K2198" t="s">
        <v>8131</v>
      </c>
    </row>
    <row r="2199" spans="1:11" x14ac:dyDescent="0.25">
      <c r="A2199" t="s">
        <v>7323</v>
      </c>
      <c r="B2199" t="s">
        <v>7324</v>
      </c>
      <c r="C2199" t="s">
        <v>3700</v>
      </c>
      <c r="D2199" t="s">
        <v>7325</v>
      </c>
      <c r="E2199" t="s">
        <v>14</v>
      </c>
      <c r="F2199" t="s">
        <v>15</v>
      </c>
      <c r="G2199">
        <v>15228</v>
      </c>
      <c r="H2199" t="s">
        <v>48</v>
      </c>
      <c r="I2199">
        <v>76</v>
      </c>
      <c r="J2199">
        <v>1</v>
      </c>
      <c r="K2199" t="s">
        <v>8131</v>
      </c>
    </row>
    <row r="2200" spans="1:11" x14ac:dyDescent="0.25">
      <c r="A2200" t="s">
        <v>7326</v>
      </c>
      <c r="B2200" t="s">
        <v>7327</v>
      </c>
      <c r="C2200" t="s">
        <v>7328</v>
      </c>
      <c r="D2200" t="s">
        <v>7329</v>
      </c>
      <c r="E2200" t="s">
        <v>14</v>
      </c>
      <c r="F2200" t="s">
        <v>15</v>
      </c>
      <c r="G2200">
        <v>15237</v>
      </c>
      <c r="H2200" t="s">
        <v>92</v>
      </c>
      <c r="I2200">
        <v>5</v>
      </c>
      <c r="J2200">
        <v>1</v>
      </c>
      <c r="K2200" t="s">
        <v>8131</v>
      </c>
    </row>
    <row r="2201" spans="1:11" x14ac:dyDescent="0.25">
      <c r="A2201" t="s">
        <v>7330</v>
      </c>
      <c r="B2201" t="s">
        <v>2541</v>
      </c>
      <c r="C2201" t="s">
        <v>7331</v>
      </c>
      <c r="D2201" t="s">
        <v>7332</v>
      </c>
      <c r="E2201" t="s">
        <v>14</v>
      </c>
      <c r="F2201" t="s">
        <v>15</v>
      </c>
      <c r="G2201">
        <v>15241</v>
      </c>
      <c r="H2201" t="s">
        <v>21</v>
      </c>
      <c r="I2201">
        <v>11</v>
      </c>
      <c r="J2201">
        <v>1</v>
      </c>
      <c r="K2201" t="s">
        <v>8131</v>
      </c>
    </row>
    <row r="2202" spans="1:11" x14ac:dyDescent="0.25">
      <c r="A2202" t="s">
        <v>7333</v>
      </c>
      <c r="B2202" t="s">
        <v>7334</v>
      </c>
      <c r="C2202" t="s">
        <v>7335</v>
      </c>
      <c r="D2202" t="s">
        <v>7336</v>
      </c>
      <c r="E2202" t="s">
        <v>14</v>
      </c>
      <c r="F2202" t="s">
        <v>15</v>
      </c>
      <c r="G2202">
        <v>15232</v>
      </c>
      <c r="H2202" t="s">
        <v>16</v>
      </c>
      <c r="I2202">
        <v>105</v>
      </c>
      <c r="J2202">
        <v>0</v>
      </c>
      <c r="K2202" t="s">
        <v>8131</v>
      </c>
    </row>
    <row r="2203" spans="1:11" x14ac:dyDescent="0.25">
      <c r="A2203" t="s">
        <v>7337</v>
      </c>
      <c r="B2203" t="s">
        <v>7338</v>
      </c>
      <c r="C2203" t="s">
        <v>7339</v>
      </c>
      <c r="D2203" t="s">
        <v>1630</v>
      </c>
      <c r="E2203" t="s">
        <v>14</v>
      </c>
      <c r="F2203" t="s">
        <v>15</v>
      </c>
      <c r="G2203">
        <v>15215</v>
      </c>
      <c r="H2203" t="s">
        <v>21</v>
      </c>
      <c r="I2203">
        <v>7</v>
      </c>
      <c r="J2203">
        <v>0</v>
      </c>
      <c r="K2203" t="s">
        <v>8131</v>
      </c>
    </row>
    <row r="2204" spans="1:11" x14ac:dyDescent="0.25">
      <c r="A2204" t="s">
        <v>7340</v>
      </c>
      <c r="B2204" t="s">
        <v>7341</v>
      </c>
      <c r="C2204" t="s">
        <v>7342</v>
      </c>
      <c r="D2204" t="s">
        <v>1067</v>
      </c>
      <c r="E2204" t="s">
        <v>14</v>
      </c>
      <c r="F2204" t="s">
        <v>15</v>
      </c>
      <c r="G2204">
        <v>15221</v>
      </c>
      <c r="H2204" t="s">
        <v>48</v>
      </c>
      <c r="I2204">
        <v>8</v>
      </c>
      <c r="J2204">
        <v>0</v>
      </c>
      <c r="K2204" t="s">
        <v>8131</v>
      </c>
    </row>
    <row r="2205" spans="1:11" x14ac:dyDescent="0.25">
      <c r="A2205" t="s">
        <v>7343</v>
      </c>
      <c r="B2205" t="s">
        <v>7344</v>
      </c>
      <c r="C2205" t="s">
        <v>7345</v>
      </c>
      <c r="D2205" t="s">
        <v>7346</v>
      </c>
      <c r="E2205" t="s">
        <v>14</v>
      </c>
      <c r="F2205" t="s">
        <v>15</v>
      </c>
      <c r="G2205">
        <v>15205</v>
      </c>
      <c r="H2205" t="s">
        <v>48</v>
      </c>
      <c r="I2205">
        <v>91</v>
      </c>
      <c r="J2205">
        <v>1</v>
      </c>
      <c r="K2205" t="s">
        <v>8131</v>
      </c>
    </row>
    <row r="2206" spans="1:11" x14ac:dyDescent="0.25">
      <c r="A2206" t="s">
        <v>7347</v>
      </c>
      <c r="B2206" t="s">
        <v>877</v>
      </c>
      <c r="C2206" t="s">
        <v>7348</v>
      </c>
      <c r="D2206" t="s">
        <v>7349</v>
      </c>
      <c r="E2206" t="s">
        <v>14</v>
      </c>
      <c r="F2206" t="s">
        <v>15</v>
      </c>
      <c r="G2206">
        <v>15225</v>
      </c>
      <c r="H2206" t="s">
        <v>113</v>
      </c>
      <c r="I2206">
        <v>12</v>
      </c>
      <c r="J2206">
        <v>1</v>
      </c>
      <c r="K2206" t="s">
        <v>8131</v>
      </c>
    </row>
    <row r="2207" spans="1:11" x14ac:dyDescent="0.25">
      <c r="A2207" t="s">
        <v>7350</v>
      </c>
      <c r="B2207" t="s">
        <v>7351</v>
      </c>
      <c r="C2207" t="s">
        <v>3739</v>
      </c>
      <c r="D2207" t="s">
        <v>7352</v>
      </c>
      <c r="E2207" t="s">
        <v>14</v>
      </c>
      <c r="F2207" t="s">
        <v>15</v>
      </c>
      <c r="G2207">
        <v>15222</v>
      </c>
      <c r="H2207" t="s">
        <v>34</v>
      </c>
      <c r="I2207">
        <v>64</v>
      </c>
      <c r="J2207">
        <v>1</v>
      </c>
      <c r="K2207" t="s">
        <v>8131</v>
      </c>
    </row>
    <row r="2208" spans="1:11" x14ac:dyDescent="0.25">
      <c r="A2208" t="s">
        <v>7353</v>
      </c>
      <c r="B2208" t="s">
        <v>5003</v>
      </c>
      <c r="C2208" t="s">
        <v>7354</v>
      </c>
      <c r="D2208" t="s">
        <v>7355</v>
      </c>
      <c r="E2208" t="s">
        <v>14</v>
      </c>
      <c r="F2208" t="s">
        <v>15</v>
      </c>
      <c r="G2208">
        <v>15206</v>
      </c>
      <c r="H2208" t="s">
        <v>21</v>
      </c>
      <c r="I2208">
        <v>109</v>
      </c>
      <c r="J2208">
        <v>1</v>
      </c>
      <c r="K2208" t="s">
        <v>8131</v>
      </c>
    </row>
    <row r="2209" spans="1:11" x14ac:dyDescent="0.25">
      <c r="A2209" t="s">
        <v>7356</v>
      </c>
      <c r="B2209" t="s">
        <v>7357</v>
      </c>
      <c r="C2209" t="s">
        <v>32</v>
      </c>
      <c r="D2209" t="s">
        <v>7358</v>
      </c>
      <c r="E2209" t="s">
        <v>14</v>
      </c>
      <c r="F2209" t="s">
        <v>15</v>
      </c>
      <c r="G2209">
        <v>15237</v>
      </c>
      <c r="H2209" t="s">
        <v>16</v>
      </c>
      <c r="I2209">
        <v>4</v>
      </c>
      <c r="J2209">
        <v>1</v>
      </c>
      <c r="K2209" t="s">
        <v>8131</v>
      </c>
    </row>
    <row r="2210" spans="1:11" x14ac:dyDescent="0.25">
      <c r="A2210" t="s">
        <v>7359</v>
      </c>
      <c r="B2210" t="s">
        <v>7360</v>
      </c>
      <c r="C2210" t="s">
        <v>7361</v>
      </c>
      <c r="D2210" t="s">
        <v>7362</v>
      </c>
      <c r="E2210" t="s">
        <v>14</v>
      </c>
      <c r="F2210" t="s">
        <v>15</v>
      </c>
      <c r="G2210">
        <v>15221</v>
      </c>
      <c r="H2210" t="s">
        <v>21</v>
      </c>
      <c r="I2210">
        <v>3</v>
      </c>
      <c r="J2210">
        <v>1</v>
      </c>
      <c r="K2210" t="s">
        <v>8131</v>
      </c>
    </row>
    <row r="2211" spans="1:11" x14ac:dyDescent="0.25">
      <c r="A2211" t="s">
        <v>7363</v>
      </c>
      <c r="B2211" t="s">
        <v>7364</v>
      </c>
      <c r="C2211" t="s">
        <v>7365</v>
      </c>
      <c r="D2211" t="s">
        <v>7366</v>
      </c>
      <c r="E2211" t="s">
        <v>14</v>
      </c>
      <c r="F2211" t="s">
        <v>15</v>
      </c>
      <c r="G2211">
        <v>15203</v>
      </c>
      <c r="H2211" t="s">
        <v>16</v>
      </c>
      <c r="I2211">
        <v>84</v>
      </c>
      <c r="J2211">
        <v>1</v>
      </c>
      <c r="K2211" t="s">
        <v>8131</v>
      </c>
    </row>
    <row r="2212" spans="1:11" x14ac:dyDescent="0.25">
      <c r="A2212" t="s">
        <v>7367</v>
      </c>
      <c r="B2212" t="s">
        <v>7368</v>
      </c>
      <c r="C2212" t="s">
        <v>479</v>
      </c>
      <c r="D2212" t="s">
        <v>7369</v>
      </c>
      <c r="E2212" t="s">
        <v>14</v>
      </c>
      <c r="F2212" t="s">
        <v>15</v>
      </c>
      <c r="G2212">
        <v>15237</v>
      </c>
      <c r="H2212" t="s">
        <v>43</v>
      </c>
      <c r="I2212">
        <v>17</v>
      </c>
      <c r="J2212">
        <v>1</v>
      </c>
      <c r="K2212" t="s">
        <v>8131</v>
      </c>
    </row>
    <row r="2213" spans="1:11" x14ac:dyDescent="0.25">
      <c r="A2213" t="s">
        <v>7370</v>
      </c>
      <c r="B2213" t="s">
        <v>7371</v>
      </c>
      <c r="C2213" t="s">
        <v>7372</v>
      </c>
      <c r="D2213" t="s">
        <v>7373</v>
      </c>
      <c r="E2213" t="s">
        <v>14</v>
      </c>
      <c r="F2213" t="s">
        <v>15</v>
      </c>
      <c r="G2213">
        <v>15205</v>
      </c>
      <c r="H2213" t="s">
        <v>113</v>
      </c>
      <c r="I2213">
        <v>16</v>
      </c>
      <c r="J2213">
        <v>1</v>
      </c>
      <c r="K2213" t="s">
        <v>8131</v>
      </c>
    </row>
    <row r="2214" spans="1:11" x14ac:dyDescent="0.25">
      <c r="A2214" t="s">
        <v>7374</v>
      </c>
      <c r="B2214" t="s">
        <v>7375</v>
      </c>
      <c r="C2214" t="s">
        <v>340</v>
      </c>
      <c r="D2214" t="s">
        <v>4531</v>
      </c>
      <c r="E2214" t="s">
        <v>14</v>
      </c>
      <c r="F2214" t="s">
        <v>15</v>
      </c>
      <c r="G2214">
        <v>15275</v>
      </c>
      <c r="H2214" t="s">
        <v>48</v>
      </c>
      <c r="I2214">
        <v>13</v>
      </c>
      <c r="J2214">
        <v>0</v>
      </c>
      <c r="K2214" t="s">
        <v>8131</v>
      </c>
    </row>
    <row r="2215" spans="1:11" x14ac:dyDescent="0.25">
      <c r="A2215" t="s">
        <v>7376</v>
      </c>
      <c r="B2215" t="s">
        <v>1338</v>
      </c>
      <c r="C2215" t="s">
        <v>7377</v>
      </c>
      <c r="D2215" t="s">
        <v>7378</v>
      </c>
      <c r="E2215" t="s">
        <v>14</v>
      </c>
      <c r="F2215" t="s">
        <v>15</v>
      </c>
      <c r="G2215">
        <v>15222</v>
      </c>
      <c r="H2215" t="s">
        <v>48</v>
      </c>
      <c r="I2215">
        <v>71</v>
      </c>
      <c r="J2215">
        <v>1</v>
      </c>
      <c r="K2215" t="s">
        <v>8131</v>
      </c>
    </row>
    <row r="2216" spans="1:11" x14ac:dyDescent="0.25">
      <c r="A2216" t="s">
        <v>7379</v>
      </c>
      <c r="B2216" t="s">
        <v>282</v>
      </c>
      <c r="C2216" t="s">
        <v>7380</v>
      </c>
      <c r="D2216" t="s">
        <v>879</v>
      </c>
      <c r="E2216" t="s">
        <v>14</v>
      </c>
      <c r="F2216" t="s">
        <v>15</v>
      </c>
      <c r="G2216">
        <v>15237</v>
      </c>
      <c r="H2216" t="s">
        <v>48</v>
      </c>
      <c r="I2216">
        <v>12</v>
      </c>
      <c r="J2216">
        <v>0</v>
      </c>
      <c r="K2216" t="s">
        <v>8131</v>
      </c>
    </row>
    <row r="2217" spans="1:11" x14ac:dyDescent="0.25">
      <c r="A2217" t="s">
        <v>7381</v>
      </c>
      <c r="B2217" t="s">
        <v>7382</v>
      </c>
      <c r="C2217" t="s">
        <v>7383</v>
      </c>
      <c r="D2217" t="s">
        <v>6865</v>
      </c>
      <c r="E2217" t="s">
        <v>14</v>
      </c>
      <c r="F2217" t="s">
        <v>15</v>
      </c>
      <c r="G2217">
        <v>15213</v>
      </c>
      <c r="H2217" t="s">
        <v>43</v>
      </c>
      <c r="I2217">
        <v>13</v>
      </c>
      <c r="J2217">
        <v>0</v>
      </c>
      <c r="K2217" t="s">
        <v>8131</v>
      </c>
    </row>
    <row r="2218" spans="1:11" x14ac:dyDescent="0.25">
      <c r="A2218" t="s">
        <v>7384</v>
      </c>
      <c r="B2218" t="s">
        <v>7385</v>
      </c>
      <c r="C2218" t="s">
        <v>1150</v>
      </c>
      <c r="D2218" t="s">
        <v>7386</v>
      </c>
      <c r="E2218" t="s">
        <v>14</v>
      </c>
      <c r="F2218" t="s">
        <v>15</v>
      </c>
      <c r="G2218">
        <v>15216</v>
      </c>
      <c r="H2218" t="s">
        <v>34</v>
      </c>
      <c r="I2218">
        <v>49</v>
      </c>
      <c r="J2218">
        <v>1</v>
      </c>
      <c r="K2218" t="s">
        <v>8131</v>
      </c>
    </row>
    <row r="2219" spans="1:11" x14ac:dyDescent="0.25">
      <c r="A2219" t="s">
        <v>7387</v>
      </c>
      <c r="B2219" t="s">
        <v>7388</v>
      </c>
      <c r="C2219" t="s">
        <v>419</v>
      </c>
      <c r="D2219" t="s">
        <v>4909</v>
      </c>
      <c r="E2219" t="s">
        <v>14</v>
      </c>
      <c r="F2219" t="s">
        <v>15</v>
      </c>
      <c r="G2219">
        <v>15222</v>
      </c>
      <c r="H2219" t="s">
        <v>157</v>
      </c>
      <c r="I2219">
        <v>21</v>
      </c>
      <c r="J2219">
        <v>1</v>
      </c>
      <c r="K2219" t="s">
        <v>8131</v>
      </c>
    </row>
    <row r="2220" spans="1:11" x14ac:dyDescent="0.25">
      <c r="A2220" t="s">
        <v>7389</v>
      </c>
      <c r="B2220" t="s">
        <v>877</v>
      </c>
      <c r="C2220" t="s">
        <v>7390</v>
      </c>
      <c r="D2220" t="s">
        <v>7391</v>
      </c>
      <c r="E2220" t="s">
        <v>14</v>
      </c>
      <c r="F2220" t="s">
        <v>15</v>
      </c>
      <c r="G2220">
        <v>15221</v>
      </c>
      <c r="H2220" t="s">
        <v>16</v>
      </c>
      <c r="I2220">
        <v>41</v>
      </c>
      <c r="J2220">
        <v>1</v>
      </c>
      <c r="K2220" t="s">
        <v>8131</v>
      </c>
    </row>
    <row r="2221" spans="1:11" x14ac:dyDescent="0.25">
      <c r="A2221" t="s">
        <v>7392</v>
      </c>
      <c r="B2221" t="s">
        <v>7393</v>
      </c>
      <c r="C2221" t="s">
        <v>7394</v>
      </c>
      <c r="D2221" t="s">
        <v>7395</v>
      </c>
      <c r="E2221" t="s">
        <v>14</v>
      </c>
      <c r="F2221" t="s">
        <v>15</v>
      </c>
      <c r="G2221">
        <v>15224</v>
      </c>
      <c r="H2221" t="s">
        <v>16</v>
      </c>
      <c r="I2221">
        <v>55</v>
      </c>
      <c r="J2221">
        <v>0</v>
      </c>
      <c r="K2221" t="s">
        <v>8131</v>
      </c>
    </row>
    <row r="2222" spans="1:11" x14ac:dyDescent="0.25">
      <c r="A2222" t="s">
        <v>7396</v>
      </c>
      <c r="B2222" t="s">
        <v>282</v>
      </c>
      <c r="C2222" t="s">
        <v>7397</v>
      </c>
      <c r="D2222" t="s">
        <v>7398</v>
      </c>
      <c r="E2222" t="s">
        <v>14</v>
      </c>
      <c r="F2222" t="s">
        <v>15</v>
      </c>
      <c r="G2222">
        <v>15210</v>
      </c>
      <c r="H2222" t="s">
        <v>48</v>
      </c>
      <c r="I2222">
        <v>8</v>
      </c>
      <c r="J2222">
        <v>1</v>
      </c>
      <c r="K2222" t="s">
        <v>8131</v>
      </c>
    </row>
    <row r="2223" spans="1:11" x14ac:dyDescent="0.25">
      <c r="A2223" t="s">
        <v>7399</v>
      </c>
      <c r="B2223" t="s">
        <v>7400</v>
      </c>
      <c r="C2223" t="s">
        <v>7401</v>
      </c>
      <c r="D2223" t="s">
        <v>7402</v>
      </c>
      <c r="E2223" t="s">
        <v>14</v>
      </c>
      <c r="F2223" t="s">
        <v>15</v>
      </c>
      <c r="G2223">
        <v>15209</v>
      </c>
      <c r="H2223" t="s">
        <v>16</v>
      </c>
      <c r="I2223">
        <v>85</v>
      </c>
      <c r="J2223">
        <v>1</v>
      </c>
      <c r="K2223" t="s">
        <v>8131</v>
      </c>
    </row>
    <row r="2224" spans="1:11" x14ac:dyDescent="0.25">
      <c r="A2224" t="s">
        <v>7403</v>
      </c>
      <c r="B2224" t="s">
        <v>7404</v>
      </c>
      <c r="C2224" t="s">
        <v>913</v>
      </c>
      <c r="D2224" t="s">
        <v>7405</v>
      </c>
      <c r="E2224" t="s">
        <v>14</v>
      </c>
      <c r="F2224" t="s">
        <v>15</v>
      </c>
      <c r="G2224">
        <v>15205</v>
      </c>
      <c r="H2224" t="s">
        <v>43</v>
      </c>
      <c r="I2224">
        <v>13</v>
      </c>
      <c r="J2224">
        <v>1</v>
      </c>
      <c r="K2224" t="s">
        <v>8131</v>
      </c>
    </row>
    <row r="2225" spans="1:11" x14ac:dyDescent="0.25">
      <c r="A2225" t="s">
        <v>7406</v>
      </c>
      <c r="B2225" t="s">
        <v>7407</v>
      </c>
      <c r="C2225" t="s">
        <v>479</v>
      </c>
      <c r="D2225" t="s">
        <v>7408</v>
      </c>
      <c r="E2225" t="s">
        <v>14</v>
      </c>
      <c r="F2225" t="s">
        <v>15</v>
      </c>
      <c r="G2225">
        <v>15219</v>
      </c>
      <c r="H2225" t="s">
        <v>48</v>
      </c>
      <c r="I2225">
        <v>12</v>
      </c>
      <c r="J2225">
        <v>1</v>
      </c>
      <c r="K2225" t="s">
        <v>8131</v>
      </c>
    </row>
    <row r="2226" spans="1:11" x14ac:dyDescent="0.25">
      <c r="A2226" t="s">
        <v>7409</v>
      </c>
      <c r="B2226" t="s">
        <v>536</v>
      </c>
      <c r="C2226" t="s">
        <v>7410</v>
      </c>
      <c r="D2226" t="s">
        <v>7411</v>
      </c>
      <c r="E2226" t="s">
        <v>14</v>
      </c>
      <c r="F2226" t="s">
        <v>15</v>
      </c>
      <c r="G2226">
        <v>15237</v>
      </c>
      <c r="H2226" t="s">
        <v>92</v>
      </c>
      <c r="I2226">
        <v>3</v>
      </c>
      <c r="J2226">
        <v>0</v>
      </c>
      <c r="K2226" t="s">
        <v>8131</v>
      </c>
    </row>
    <row r="2227" spans="1:11" x14ac:dyDescent="0.25">
      <c r="A2227" t="s">
        <v>7412</v>
      </c>
      <c r="B2227" t="s">
        <v>282</v>
      </c>
      <c r="C2227" t="s">
        <v>7413</v>
      </c>
      <c r="D2227" t="s">
        <v>1931</v>
      </c>
      <c r="E2227" t="s">
        <v>14</v>
      </c>
      <c r="F2227" t="s">
        <v>15</v>
      </c>
      <c r="G2227">
        <v>15222</v>
      </c>
      <c r="H2227" t="s">
        <v>157</v>
      </c>
      <c r="I2227">
        <v>7</v>
      </c>
      <c r="J2227">
        <v>0</v>
      </c>
      <c r="K2227" t="s">
        <v>8131</v>
      </c>
    </row>
    <row r="2228" spans="1:11" x14ac:dyDescent="0.25">
      <c r="A2228" t="s">
        <v>7414</v>
      </c>
      <c r="B2228" t="s">
        <v>7415</v>
      </c>
      <c r="C2228" t="s">
        <v>7416</v>
      </c>
      <c r="D2228" t="s">
        <v>7417</v>
      </c>
      <c r="E2228" t="s">
        <v>14</v>
      </c>
      <c r="F2228" t="s">
        <v>15</v>
      </c>
      <c r="G2228">
        <v>15205</v>
      </c>
      <c r="H2228" t="s">
        <v>43</v>
      </c>
      <c r="I2228">
        <v>50</v>
      </c>
      <c r="J2228">
        <v>0</v>
      </c>
      <c r="K2228" t="s">
        <v>8131</v>
      </c>
    </row>
    <row r="2229" spans="1:11" x14ac:dyDescent="0.25">
      <c r="A2229" t="s">
        <v>7418</v>
      </c>
      <c r="B2229" t="s">
        <v>7419</v>
      </c>
      <c r="C2229" t="s">
        <v>7420</v>
      </c>
      <c r="D2229" t="s">
        <v>7421</v>
      </c>
      <c r="E2229" t="s">
        <v>14</v>
      </c>
      <c r="F2229" t="s">
        <v>15</v>
      </c>
      <c r="G2229">
        <v>15211</v>
      </c>
      <c r="H2229" t="s">
        <v>43</v>
      </c>
      <c r="I2229">
        <v>77</v>
      </c>
      <c r="J2229">
        <v>1</v>
      </c>
      <c r="K2229" t="s">
        <v>8131</v>
      </c>
    </row>
    <row r="2230" spans="1:11" x14ac:dyDescent="0.25">
      <c r="A2230" t="s">
        <v>7422</v>
      </c>
      <c r="B2230" t="s">
        <v>7423</v>
      </c>
      <c r="C2230" t="s">
        <v>7424</v>
      </c>
      <c r="D2230" t="s">
        <v>7425</v>
      </c>
      <c r="E2230" t="s">
        <v>14</v>
      </c>
      <c r="F2230" t="s">
        <v>15</v>
      </c>
      <c r="G2230">
        <v>15216</v>
      </c>
      <c r="H2230" t="s">
        <v>113</v>
      </c>
      <c r="I2230">
        <v>7</v>
      </c>
      <c r="J2230">
        <v>1</v>
      </c>
      <c r="K2230" t="s">
        <v>8131</v>
      </c>
    </row>
    <row r="2231" spans="1:11" x14ac:dyDescent="0.25">
      <c r="A2231" t="s">
        <v>7426</v>
      </c>
      <c r="B2231" t="s">
        <v>7427</v>
      </c>
      <c r="C2231" t="s">
        <v>7428</v>
      </c>
      <c r="D2231" t="s">
        <v>7429</v>
      </c>
      <c r="E2231" t="s">
        <v>14</v>
      </c>
      <c r="F2231" t="s">
        <v>15</v>
      </c>
      <c r="G2231">
        <v>15219</v>
      </c>
      <c r="H2231" t="s">
        <v>34</v>
      </c>
      <c r="I2231">
        <v>84</v>
      </c>
      <c r="J2231">
        <v>0</v>
      </c>
      <c r="K2231" t="s">
        <v>8131</v>
      </c>
    </row>
    <row r="2232" spans="1:11" x14ac:dyDescent="0.25">
      <c r="A2232" t="s">
        <v>7430</v>
      </c>
      <c r="B2232" t="s">
        <v>7431</v>
      </c>
      <c r="C2232" t="s">
        <v>7432</v>
      </c>
      <c r="D2232" t="s">
        <v>4934</v>
      </c>
      <c r="E2232" t="s">
        <v>14</v>
      </c>
      <c r="F2232" t="s">
        <v>15</v>
      </c>
      <c r="G2232">
        <v>15222</v>
      </c>
      <c r="H2232" t="s">
        <v>21</v>
      </c>
      <c r="I2232">
        <v>809</v>
      </c>
      <c r="J2232">
        <v>1</v>
      </c>
      <c r="K2232" t="s">
        <v>8131</v>
      </c>
    </row>
    <row r="2233" spans="1:11" x14ac:dyDescent="0.25">
      <c r="A2233" t="s">
        <v>7433</v>
      </c>
      <c r="B2233" t="s">
        <v>578</v>
      </c>
      <c r="C2233" t="s">
        <v>7434</v>
      </c>
      <c r="D2233" t="s">
        <v>7435</v>
      </c>
      <c r="E2233" t="s">
        <v>14</v>
      </c>
      <c r="F2233" t="s">
        <v>15</v>
      </c>
      <c r="G2233">
        <v>15211</v>
      </c>
      <c r="H2233" t="s">
        <v>16</v>
      </c>
      <c r="I2233">
        <v>323</v>
      </c>
      <c r="J2233">
        <v>1</v>
      </c>
      <c r="K2233" t="s">
        <v>8131</v>
      </c>
    </row>
    <row r="2234" spans="1:11" x14ac:dyDescent="0.25">
      <c r="A2234" t="s">
        <v>7436</v>
      </c>
      <c r="B2234" t="s">
        <v>7437</v>
      </c>
      <c r="C2234" t="s">
        <v>7438</v>
      </c>
      <c r="D2234" t="s">
        <v>7439</v>
      </c>
      <c r="E2234" t="s">
        <v>14</v>
      </c>
      <c r="F2234" t="s">
        <v>15</v>
      </c>
      <c r="G2234">
        <v>15222</v>
      </c>
      <c r="H2234" t="s">
        <v>16</v>
      </c>
      <c r="I2234">
        <v>6</v>
      </c>
      <c r="J2234">
        <v>0</v>
      </c>
      <c r="K2234" t="s">
        <v>8131</v>
      </c>
    </row>
    <row r="2235" spans="1:11" x14ac:dyDescent="0.25">
      <c r="A2235" t="s">
        <v>7440</v>
      </c>
      <c r="B2235" t="s">
        <v>7441</v>
      </c>
      <c r="C2235" t="s">
        <v>419</v>
      </c>
      <c r="D2235" t="s">
        <v>7442</v>
      </c>
      <c r="E2235" t="s">
        <v>14</v>
      </c>
      <c r="F2235" t="s">
        <v>15</v>
      </c>
      <c r="G2235">
        <v>15206</v>
      </c>
      <c r="H2235" t="s">
        <v>1028</v>
      </c>
      <c r="I2235">
        <v>3</v>
      </c>
      <c r="J2235">
        <v>1</v>
      </c>
      <c r="K2235" t="s">
        <v>8131</v>
      </c>
    </row>
    <row r="2236" spans="1:11" x14ac:dyDescent="0.25">
      <c r="A2236" t="s">
        <v>7443</v>
      </c>
      <c r="B2236" t="s">
        <v>7444</v>
      </c>
      <c r="C2236" t="s">
        <v>7445</v>
      </c>
      <c r="D2236" t="s">
        <v>2510</v>
      </c>
      <c r="E2236" t="s">
        <v>14</v>
      </c>
      <c r="F2236" t="s">
        <v>15</v>
      </c>
      <c r="G2236">
        <v>15213</v>
      </c>
      <c r="H2236" t="s">
        <v>34</v>
      </c>
      <c r="I2236">
        <v>25</v>
      </c>
      <c r="J2236">
        <v>0</v>
      </c>
      <c r="K2236" t="s">
        <v>8131</v>
      </c>
    </row>
    <row r="2237" spans="1:11" x14ac:dyDescent="0.25">
      <c r="A2237" t="s">
        <v>7446</v>
      </c>
      <c r="B2237" t="s">
        <v>7447</v>
      </c>
      <c r="C2237" t="s">
        <v>3552</v>
      </c>
      <c r="D2237" t="s">
        <v>394</v>
      </c>
      <c r="E2237" t="s">
        <v>14</v>
      </c>
      <c r="F2237" t="s">
        <v>15</v>
      </c>
      <c r="G2237">
        <v>15232</v>
      </c>
      <c r="H2237" t="s">
        <v>16</v>
      </c>
      <c r="I2237">
        <v>72</v>
      </c>
      <c r="J2237">
        <v>0</v>
      </c>
      <c r="K2237" t="s">
        <v>8131</v>
      </c>
    </row>
    <row r="2238" spans="1:11" x14ac:dyDescent="0.25">
      <c r="A2238" t="s">
        <v>7448</v>
      </c>
      <c r="B2238" t="s">
        <v>2016</v>
      </c>
      <c r="C2238" t="s">
        <v>7449</v>
      </c>
      <c r="D2238" t="s">
        <v>1063</v>
      </c>
      <c r="E2238" t="s">
        <v>14</v>
      </c>
      <c r="F2238" t="s">
        <v>15</v>
      </c>
      <c r="G2238">
        <v>15203</v>
      </c>
      <c r="H2238" t="s">
        <v>34</v>
      </c>
      <c r="I2238">
        <v>5</v>
      </c>
      <c r="J2238">
        <v>0</v>
      </c>
      <c r="K2238" t="s">
        <v>8131</v>
      </c>
    </row>
    <row r="2239" spans="1:11" x14ac:dyDescent="0.25">
      <c r="A2239" t="s">
        <v>7450</v>
      </c>
      <c r="B2239" t="s">
        <v>65</v>
      </c>
      <c r="C2239" t="s">
        <v>7451</v>
      </c>
      <c r="D2239" t="s">
        <v>314</v>
      </c>
      <c r="E2239" t="s">
        <v>14</v>
      </c>
      <c r="F2239" t="s">
        <v>15</v>
      </c>
      <c r="G2239">
        <v>15213</v>
      </c>
      <c r="H2239" t="s">
        <v>48</v>
      </c>
      <c r="I2239">
        <v>22</v>
      </c>
      <c r="J2239">
        <v>0</v>
      </c>
      <c r="K2239" t="s">
        <v>8131</v>
      </c>
    </row>
    <row r="2240" spans="1:11" x14ac:dyDescent="0.25">
      <c r="A2240" t="s">
        <v>7452</v>
      </c>
      <c r="B2240" t="s">
        <v>7453</v>
      </c>
      <c r="C2240" t="s">
        <v>7454</v>
      </c>
      <c r="D2240" t="s">
        <v>1562</v>
      </c>
      <c r="E2240" t="s">
        <v>14</v>
      </c>
      <c r="F2240" t="s">
        <v>15</v>
      </c>
      <c r="G2240">
        <v>15234</v>
      </c>
      <c r="H2240" t="s">
        <v>16</v>
      </c>
      <c r="I2240">
        <v>5</v>
      </c>
      <c r="J2240">
        <v>1</v>
      </c>
      <c r="K2240" t="s">
        <v>8131</v>
      </c>
    </row>
    <row r="2241" spans="1:11" x14ac:dyDescent="0.25">
      <c r="A2241" t="s">
        <v>7455</v>
      </c>
      <c r="B2241" t="s">
        <v>65</v>
      </c>
      <c r="C2241" t="s">
        <v>1870</v>
      </c>
      <c r="D2241" t="s">
        <v>7456</v>
      </c>
      <c r="E2241" t="s">
        <v>14</v>
      </c>
      <c r="F2241" t="s">
        <v>15</v>
      </c>
      <c r="G2241">
        <v>15232</v>
      </c>
      <c r="H2241" t="s">
        <v>34</v>
      </c>
      <c r="I2241">
        <v>63</v>
      </c>
      <c r="J2241">
        <v>1</v>
      </c>
      <c r="K2241" t="s">
        <v>8131</v>
      </c>
    </row>
    <row r="2242" spans="1:11" x14ac:dyDescent="0.25">
      <c r="A2242" t="s">
        <v>7457</v>
      </c>
      <c r="B2242" t="s">
        <v>23</v>
      </c>
      <c r="C2242" t="s">
        <v>7458</v>
      </c>
      <c r="D2242" t="s">
        <v>6321</v>
      </c>
      <c r="E2242" t="s">
        <v>14</v>
      </c>
      <c r="F2242" t="s">
        <v>15</v>
      </c>
      <c r="G2242">
        <v>15232</v>
      </c>
      <c r="H2242" t="s">
        <v>16</v>
      </c>
      <c r="I2242">
        <v>136</v>
      </c>
      <c r="J2242">
        <v>1</v>
      </c>
      <c r="K2242" t="s">
        <v>8131</v>
      </c>
    </row>
    <row r="2243" spans="1:11" x14ac:dyDescent="0.25">
      <c r="A2243" t="s">
        <v>7459</v>
      </c>
      <c r="B2243" t="s">
        <v>7460</v>
      </c>
      <c r="C2243" t="s">
        <v>7461</v>
      </c>
      <c r="D2243" t="s">
        <v>7462</v>
      </c>
      <c r="E2243" t="s">
        <v>14</v>
      </c>
      <c r="F2243" t="s">
        <v>15</v>
      </c>
      <c r="G2243">
        <v>15218</v>
      </c>
      <c r="H2243" t="s">
        <v>16</v>
      </c>
      <c r="I2243">
        <v>463</v>
      </c>
      <c r="J2243">
        <v>1</v>
      </c>
      <c r="K2243" t="s">
        <v>8131</v>
      </c>
    </row>
    <row r="2244" spans="1:11" x14ac:dyDescent="0.25">
      <c r="A2244" t="s">
        <v>7463</v>
      </c>
      <c r="B2244" t="s">
        <v>7464</v>
      </c>
      <c r="C2244" t="s">
        <v>7465</v>
      </c>
      <c r="D2244" t="s">
        <v>3142</v>
      </c>
      <c r="E2244" t="s">
        <v>14</v>
      </c>
      <c r="F2244" t="s">
        <v>15</v>
      </c>
      <c r="G2244">
        <v>15236</v>
      </c>
      <c r="H2244" t="s">
        <v>48</v>
      </c>
      <c r="I2244">
        <v>3</v>
      </c>
      <c r="J2244">
        <v>1</v>
      </c>
      <c r="K2244" t="s">
        <v>8131</v>
      </c>
    </row>
    <row r="2245" spans="1:11" x14ac:dyDescent="0.25">
      <c r="A2245" t="s">
        <v>7466</v>
      </c>
      <c r="B2245" t="s">
        <v>36</v>
      </c>
      <c r="C2245" t="s">
        <v>7467</v>
      </c>
      <c r="D2245" t="s">
        <v>7468</v>
      </c>
      <c r="E2245" t="s">
        <v>14</v>
      </c>
      <c r="F2245" t="s">
        <v>15</v>
      </c>
      <c r="G2245">
        <v>15239</v>
      </c>
      <c r="H2245" t="s">
        <v>48</v>
      </c>
      <c r="I2245">
        <v>8</v>
      </c>
      <c r="J2245">
        <v>1</v>
      </c>
      <c r="K2245" t="s">
        <v>8131</v>
      </c>
    </row>
    <row r="2246" spans="1:11" x14ac:dyDescent="0.25">
      <c r="A2246" t="s">
        <v>7469</v>
      </c>
      <c r="B2246" t="s">
        <v>7470</v>
      </c>
      <c r="C2246" t="s">
        <v>7471</v>
      </c>
      <c r="D2246" t="s">
        <v>7472</v>
      </c>
      <c r="E2246" t="s">
        <v>14</v>
      </c>
      <c r="F2246" t="s">
        <v>15</v>
      </c>
      <c r="G2246">
        <v>15212</v>
      </c>
      <c r="H2246" t="s">
        <v>34</v>
      </c>
      <c r="I2246">
        <v>143</v>
      </c>
      <c r="J2246">
        <v>1</v>
      </c>
      <c r="K2246" t="s">
        <v>8131</v>
      </c>
    </row>
    <row r="2247" spans="1:11" x14ac:dyDescent="0.25">
      <c r="A2247" t="s">
        <v>7473</v>
      </c>
      <c r="B2247" t="s">
        <v>7474</v>
      </c>
      <c r="C2247" t="s">
        <v>7475</v>
      </c>
      <c r="D2247" t="s">
        <v>7476</v>
      </c>
      <c r="E2247" t="s">
        <v>14</v>
      </c>
      <c r="F2247" t="s">
        <v>15</v>
      </c>
      <c r="G2247">
        <v>15203</v>
      </c>
      <c r="H2247" t="s">
        <v>16</v>
      </c>
      <c r="I2247">
        <v>133</v>
      </c>
      <c r="J2247">
        <v>1</v>
      </c>
      <c r="K2247" t="s">
        <v>8131</v>
      </c>
    </row>
    <row r="2248" spans="1:11" x14ac:dyDescent="0.25">
      <c r="A2248" t="s">
        <v>7477</v>
      </c>
      <c r="B2248" t="s">
        <v>7478</v>
      </c>
      <c r="C2248" t="s">
        <v>7479</v>
      </c>
      <c r="D2248" t="s">
        <v>7480</v>
      </c>
      <c r="E2248" t="s">
        <v>14</v>
      </c>
      <c r="F2248" t="s">
        <v>15</v>
      </c>
      <c r="G2248">
        <v>15227</v>
      </c>
      <c r="H2248" t="s">
        <v>21</v>
      </c>
      <c r="I2248">
        <v>34</v>
      </c>
      <c r="J2248">
        <v>1</v>
      </c>
      <c r="K2248" t="s">
        <v>8131</v>
      </c>
    </row>
    <row r="2249" spans="1:11" x14ac:dyDescent="0.25">
      <c r="A2249" t="s">
        <v>7481</v>
      </c>
      <c r="B2249" t="s">
        <v>2090</v>
      </c>
      <c r="C2249" t="s">
        <v>32</v>
      </c>
      <c r="D2249" t="s">
        <v>6341</v>
      </c>
      <c r="E2249" t="s">
        <v>14</v>
      </c>
      <c r="F2249" t="s">
        <v>15</v>
      </c>
      <c r="G2249">
        <v>15205</v>
      </c>
      <c r="H2249" t="s">
        <v>1028</v>
      </c>
      <c r="I2249">
        <v>4</v>
      </c>
      <c r="J2249">
        <v>1</v>
      </c>
      <c r="K2249" t="s">
        <v>8131</v>
      </c>
    </row>
    <row r="2250" spans="1:11" x14ac:dyDescent="0.25">
      <c r="A2250" t="s">
        <v>7482</v>
      </c>
      <c r="B2250" t="s">
        <v>1881</v>
      </c>
      <c r="C2250" t="s">
        <v>4576</v>
      </c>
      <c r="D2250" t="s">
        <v>7483</v>
      </c>
      <c r="E2250" t="s">
        <v>14</v>
      </c>
      <c r="F2250" t="s">
        <v>15</v>
      </c>
      <c r="G2250">
        <v>15222</v>
      </c>
      <c r="H2250" t="s">
        <v>43</v>
      </c>
      <c r="I2250">
        <v>9</v>
      </c>
      <c r="J2250">
        <v>1</v>
      </c>
      <c r="K2250" t="s">
        <v>8131</v>
      </c>
    </row>
    <row r="2251" spans="1:11" x14ac:dyDescent="0.25">
      <c r="A2251" t="s">
        <v>7484</v>
      </c>
      <c r="B2251" t="s">
        <v>7485</v>
      </c>
      <c r="C2251" t="s">
        <v>7486</v>
      </c>
      <c r="D2251" t="s">
        <v>7487</v>
      </c>
      <c r="E2251" t="s">
        <v>14</v>
      </c>
      <c r="F2251" t="s">
        <v>15</v>
      </c>
      <c r="G2251">
        <v>15222</v>
      </c>
      <c r="H2251" t="s">
        <v>21</v>
      </c>
      <c r="I2251">
        <v>71</v>
      </c>
      <c r="J2251">
        <v>0</v>
      </c>
      <c r="K2251" t="s">
        <v>8131</v>
      </c>
    </row>
    <row r="2252" spans="1:11" x14ac:dyDescent="0.25">
      <c r="A2252" t="s">
        <v>7488</v>
      </c>
      <c r="B2252" t="s">
        <v>3498</v>
      </c>
      <c r="C2252" t="s">
        <v>7489</v>
      </c>
      <c r="D2252" t="s">
        <v>7490</v>
      </c>
      <c r="E2252" t="s">
        <v>14</v>
      </c>
      <c r="F2252" t="s">
        <v>15</v>
      </c>
      <c r="G2252">
        <v>15216</v>
      </c>
      <c r="H2252" t="s">
        <v>16</v>
      </c>
      <c r="I2252">
        <v>10</v>
      </c>
      <c r="J2252">
        <v>1</v>
      </c>
      <c r="K2252" t="s">
        <v>8131</v>
      </c>
    </row>
    <row r="2253" spans="1:11" x14ac:dyDescent="0.25">
      <c r="A2253" t="s">
        <v>7491</v>
      </c>
      <c r="B2253" t="s">
        <v>7492</v>
      </c>
      <c r="C2253" t="s">
        <v>1001</v>
      </c>
      <c r="D2253" t="s">
        <v>7493</v>
      </c>
      <c r="E2253" t="s">
        <v>14</v>
      </c>
      <c r="F2253" t="s">
        <v>15</v>
      </c>
      <c r="G2253">
        <v>15275</v>
      </c>
      <c r="H2253" t="s">
        <v>43</v>
      </c>
      <c r="I2253">
        <v>28</v>
      </c>
      <c r="J2253">
        <v>1</v>
      </c>
      <c r="K2253" t="s">
        <v>8131</v>
      </c>
    </row>
    <row r="2254" spans="1:11" x14ac:dyDescent="0.25">
      <c r="A2254" t="s">
        <v>7494</v>
      </c>
      <c r="B2254" t="s">
        <v>7495</v>
      </c>
      <c r="C2254" t="s">
        <v>7496</v>
      </c>
      <c r="D2254" t="s">
        <v>7497</v>
      </c>
      <c r="E2254" t="s">
        <v>14</v>
      </c>
      <c r="F2254" t="s">
        <v>15</v>
      </c>
      <c r="G2254">
        <v>15203</v>
      </c>
      <c r="H2254" t="s">
        <v>16</v>
      </c>
      <c r="I2254">
        <v>12</v>
      </c>
      <c r="J2254">
        <v>1</v>
      </c>
      <c r="K2254" t="s">
        <v>8131</v>
      </c>
    </row>
    <row r="2255" spans="1:11" x14ac:dyDescent="0.25">
      <c r="A2255" t="s">
        <v>7498</v>
      </c>
      <c r="B2255" t="s">
        <v>7499</v>
      </c>
      <c r="C2255" t="s">
        <v>7500</v>
      </c>
      <c r="D2255" t="s">
        <v>7501</v>
      </c>
      <c r="E2255" t="s">
        <v>14</v>
      </c>
      <c r="F2255" t="s">
        <v>15</v>
      </c>
      <c r="G2255">
        <v>15213</v>
      </c>
      <c r="H2255" t="s">
        <v>92</v>
      </c>
      <c r="I2255">
        <v>29</v>
      </c>
      <c r="J2255">
        <v>1</v>
      </c>
      <c r="K2255" t="s">
        <v>8131</v>
      </c>
    </row>
    <row r="2256" spans="1:11" x14ac:dyDescent="0.25">
      <c r="A2256" t="s">
        <v>7502</v>
      </c>
      <c r="B2256" t="s">
        <v>7503</v>
      </c>
      <c r="C2256" t="s">
        <v>7504</v>
      </c>
      <c r="D2256" t="s">
        <v>7505</v>
      </c>
      <c r="E2256" t="s">
        <v>14</v>
      </c>
      <c r="F2256" t="s">
        <v>15</v>
      </c>
      <c r="G2256">
        <v>15217</v>
      </c>
      <c r="H2256" t="s">
        <v>21</v>
      </c>
      <c r="I2256">
        <v>167</v>
      </c>
      <c r="J2256">
        <v>1</v>
      </c>
      <c r="K2256" t="s">
        <v>8131</v>
      </c>
    </row>
    <row r="2257" spans="1:11" x14ac:dyDescent="0.25">
      <c r="A2257" t="s">
        <v>7506</v>
      </c>
      <c r="B2257" t="s">
        <v>7507</v>
      </c>
      <c r="C2257" t="s">
        <v>7508</v>
      </c>
      <c r="D2257" t="s">
        <v>7509</v>
      </c>
      <c r="E2257" t="s">
        <v>14</v>
      </c>
      <c r="F2257" t="s">
        <v>15</v>
      </c>
      <c r="G2257">
        <v>15233</v>
      </c>
      <c r="H2257" t="s">
        <v>48</v>
      </c>
      <c r="I2257">
        <v>38</v>
      </c>
      <c r="J2257">
        <v>1</v>
      </c>
      <c r="K2257" t="s">
        <v>8131</v>
      </c>
    </row>
    <row r="2258" spans="1:11" x14ac:dyDescent="0.25">
      <c r="A2258" t="s">
        <v>7510</v>
      </c>
      <c r="B2258" t="s">
        <v>7511</v>
      </c>
      <c r="C2258" t="s">
        <v>7512</v>
      </c>
      <c r="D2258" t="s">
        <v>7513</v>
      </c>
      <c r="E2258" t="s">
        <v>14</v>
      </c>
      <c r="F2258" t="s">
        <v>15</v>
      </c>
      <c r="G2258">
        <v>15221</v>
      </c>
      <c r="H2258" t="s">
        <v>16</v>
      </c>
      <c r="I2258">
        <v>31</v>
      </c>
      <c r="J2258">
        <v>1</v>
      </c>
      <c r="K2258" t="s">
        <v>8131</v>
      </c>
    </row>
    <row r="2259" spans="1:11" x14ac:dyDescent="0.25">
      <c r="A2259" t="s">
        <v>7514</v>
      </c>
      <c r="B2259" t="s">
        <v>1416</v>
      </c>
      <c r="C2259" t="s">
        <v>2013</v>
      </c>
      <c r="D2259" t="s">
        <v>7515</v>
      </c>
      <c r="E2259" t="s">
        <v>14</v>
      </c>
      <c r="F2259" t="s">
        <v>15</v>
      </c>
      <c r="G2259">
        <v>15213</v>
      </c>
      <c r="H2259" t="s">
        <v>16</v>
      </c>
      <c r="I2259">
        <v>8</v>
      </c>
      <c r="J2259">
        <v>0</v>
      </c>
      <c r="K2259" t="s">
        <v>8131</v>
      </c>
    </row>
    <row r="2260" spans="1:11" x14ac:dyDescent="0.25">
      <c r="A2260" t="s">
        <v>7516</v>
      </c>
      <c r="B2260" t="s">
        <v>282</v>
      </c>
      <c r="C2260" t="s">
        <v>7517</v>
      </c>
      <c r="D2260" t="s">
        <v>7518</v>
      </c>
      <c r="E2260" t="s">
        <v>14</v>
      </c>
      <c r="F2260" t="s">
        <v>15</v>
      </c>
      <c r="G2260">
        <v>15226</v>
      </c>
      <c r="H2260" t="s">
        <v>16</v>
      </c>
      <c r="I2260">
        <v>18</v>
      </c>
      <c r="J2260">
        <v>1</v>
      </c>
      <c r="K2260" t="s">
        <v>8131</v>
      </c>
    </row>
    <row r="2261" spans="1:11" x14ac:dyDescent="0.25">
      <c r="A2261" t="s">
        <v>7519</v>
      </c>
      <c r="B2261" t="s">
        <v>7520</v>
      </c>
      <c r="C2261" t="s">
        <v>7521</v>
      </c>
      <c r="D2261" t="s">
        <v>4476</v>
      </c>
      <c r="E2261" t="s">
        <v>14</v>
      </c>
      <c r="F2261" t="s">
        <v>15</v>
      </c>
      <c r="G2261">
        <v>15205</v>
      </c>
      <c r="H2261" t="s">
        <v>16</v>
      </c>
      <c r="I2261">
        <v>47</v>
      </c>
      <c r="J2261">
        <v>0</v>
      </c>
      <c r="K2261" t="s">
        <v>8131</v>
      </c>
    </row>
    <row r="2262" spans="1:11" x14ac:dyDescent="0.25">
      <c r="A2262" t="s">
        <v>7522</v>
      </c>
      <c r="B2262" t="s">
        <v>7523</v>
      </c>
      <c r="C2262" t="s">
        <v>7524</v>
      </c>
      <c r="D2262" t="s">
        <v>7525</v>
      </c>
      <c r="E2262" t="s">
        <v>14</v>
      </c>
      <c r="F2262" t="s">
        <v>15</v>
      </c>
      <c r="G2262">
        <v>15222</v>
      </c>
      <c r="H2262" t="s">
        <v>21</v>
      </c>
      <c r="I2262">
        <v>4</v>
      </c>
      <c r="J2262">
        <v>1</v>
      </c>
      <c r="K2262" t="s">
        <v>8131</v>
      </c>
    </row>
    <row r="2263" spans="1:11" x14ac:dyDescent="0.25">
      <c r="A2263" t="s">
        <v>7526</v>
      </c>
      <c r="B2263" t="s">
        <v>7527</v>
      </c>
      <c r="C2263" t="s">
        <v>7528</v>
      </c>
      <c r="D2263" t="s">
        <v>7529</v>
      </c>
      <c r="E2263" t="s">
        <v>14</v>
      </c>
      <c r="F2263" t="s">
        <v>15</v>
      </c>
      <c r="G2263">
        <v>15213</v>
      </c>
      <c r="H2263" t="s">
        <v>34</v>
      </c>
      <c r="I2263">
        <v>4</v>
      </c>
      <c r="J2263">
        <v>1</v>
      </c>
      <c r="K2263" t="s">
        <v>8131</v>
      </c>
    </row>
    <row r="2264" spans="1:11" x14ac:dyDescent="0.25">
      <c r="A2264" t="s">
        <v>7530</v>
      </c>
      <c r="B2264" t="s">
        <v>7531</v>
      </c>
      <c r="C2264" t="s">
        <v>3343</v>
      </c>
      <c r="D2264" t="s">
        <v>7532</v>
      </c>
      <c r="E2264" t="s">
        <v>14</v>
      </c>
      <c r="F2264" t="s">
        <v>15</v>
      </c>
      <c r="G2264">
        <v>15238</v>
      </c>
      <c r="H2264" t="s">
        <v>43</v>
      </c>
      <c r="I2264">
        <v>26</v>
      </c>
      <c r="J2264">
        <v>1</v>
      </c>
      <c r="K2264" t="s">
        <v>8131</v>
      </c>
    </row>
    <row r="2265" spans="1:11" x14ac:dyDescent="0.25">
      <c r="A2265" t="s">
        <v>7533</v>
      </c>
      <c r="B2265" t="s">
        <v>40</v>
      </c>
      <c r="C2265" t="s">
        <v>7534</v>
      </c>
      <c r="D2265" t="s">
        <v>7535</v>
      </c>
      <c r="E2265" t="s">
        <v>14</v>
      </c>
      <c r="F2265" t="s">
        <v>15</v>
      </c>
      <c r="G2265">
        <v>15219</v>
      </c>
      <c r="H2265" t="s">
        <v>48</v>
      </c>
      <c r="I2265">
        <v>38</v>
      </c>
      <c r="J2265">
        <v>1</v>
      </c>
      <c r="K2265" t="s">
        <v>8131</v>
      </c>
    </row>
    <row r="2266" spans="1:11" x14ac:dyDescent="0.25">
      <c r="A2266" t="s">
        <v>7536</v>
      </c>
      <c r="B2266" t="s">
        <v>7537</v>
      </c>
      <c r="C2266" t="s">
        <v>4576</v>
      </c>
      <c r="D2266" t="s">
        <v>7538</v>
      </c>
      <c r="E2266" t="s">
        <v>14</v>
      </c>
      <c r="F2266" t="s">
        <v>15</v>
      </c>
      <c r="G2266">
        <v>15224</v>
      </c>
      <c r="H2266" t="s">
        <v>43</v>
      </c>
      <c r="I2266">
        <v>5</v>
      </c>
      <c r="J2266">
        <v>0</v>
      </c>
      <c r="K2266" t="s">
        <v>8131</v>
      </c>
    </row>
    <row r="2267" spans="1:11" x14ac:dyDescent="0.25">
      <c r="A2267" t="s">
        <v>7539</v>
      </c>
      <c r="B2267" t="s">
        <v>7540</v>
      </c>
      <c r="C2267" t="s">
        <v>7541</v>
      </c>
      <c r="D2267" t="s">
        <v>7542</v>
      </c>
      <c r="E2267" t="s">
        <v>14</v>
      </c>
      <c r="F2267" t="s">
        <v>15</v>
      </c>
      <c r="G2267">
        <v>15232</v>
      </c>
      <c r="H2267" t="s">
        <v>34</v>
      </c>
      <c r="I2267">
        <v>19</v>
      </c>
      <c r="J2267">
        <v>0</v>
      </c>
      <c r="K2267" t="s">
        <v>8131</v>
      </c>
    </row>
    <row r="2268" spans="1:11" x14ac:dyDescent="0.25">
      <c r="A2268" t="s">
        <v>7543</v>
      </c>
      <c r="B2268" t="s">
        <v>967</v>
      </c>
      <c r="C2268" t="s">
        <v>7544</v>
      </c>
      <c r="D2268" t="s">
        <v>7545</v>
      </c>
      <c r="E2268" t="s">
        <v>14</v>
      </c>
      <c r="F2268" t="s">
        <v>15</v>
      </c>
      <c r="G2268">
        <v>15227</v>
      </c>
      <c r="H2268" t="s">
        <v>16</v>
      </c>
      <c r="I2268">
        <v>73</v>
      </c>
      <c r="J2268">
        <v>1</v>
      </c>
      <c r="K2268" t="s">
        <v>8131</v>
      </c>
    </row>
    <row r="2269" spans="1:11" x14ac:dyDescent="0.25">
      <c r="A2269" t="s">
        <v>7546</v>
      </c>
      <c r="B2269" t="s">
        <v>7547</v>
      </c>
      <c r="C2269" t="s">
        <v>7548</v>
      </c>
      <c r="D2269" t="s">
        <v>4835</v>
      </c>
      <c r="E2269" t="s">
        <v>14</v>
      </c>
      <c r="F2269" t="s">
        <v>15</v>
      </c>
      <c r="G2269">
        <v>15213</v>
      </c>
      <c r="H2269" t="s">
        <v>16</v>
      </c>
      <c r="I2269">
        <v>3</v>
      </c>
      <c r="J2269">
        <v>1</v>
      </c>
      <c r="K2269" t="s">
        <v>8131</v>
      </c>
    </row>
    <row r="2270" spans="1:11" x14ac:dyDescent="0.25">
      <c r="A2270" t="s">
        <v>7549</v>
      </c>
      <c r="B2270" t="s">
        <v>282</v>
      </c>
      <c r="C2270" t="s">
        <v>7550</v>
      </c>
      <c r="D2270" t="s">
        <v>1666</v>
      </c>
      <c r="E2270" t="s">
        <v>14</v>
      </c>
      <c r="F2270" t="s">
        <v>15</v>
      </c>
      <c r="G2270">
        <v>15222</v>
      </c>
      <c r="H2270" t="s">
        <v>113</v>
      </c>
      <c r="I2270">
        <v>5</v>
      </c>
      <c r="J2270">
        <v>1</v>
      </c>
      <c r="K2270" t="s">
        <v>8131</v>
      </c>
    </row>
    <row r="2271" spans="1:11" x14ac:dyDescent="0.25">
      <c r="A2271" t="s">
        <v>7551</v>
      </c>
      <c r="B2271" t="s">
        <v>7552</v>
      </c>
      <c r="C2271" t="s">
        <v>7553</v>
      </c>
      <c r="D2271" t="s">
        <v>7554</v>
      </c>
      <c r="E2271" t="s">
        <v>14</v>
      </c>
      <c r="F2271" t="s">
        <v>15</v>
      </c>
      <c r="G2271">
        <v>15235</v>
      </c>
      <c r="H2271" t="s">
        <v>16</v>
      </c>
      <c r="I2271">
        <v>5</v>
      </c>
      <c r="J2271">
        <v>1</v>
      </c>
      <c r="K2271" t="s">
        <v>8131</v>
      </c>
    </row>
    <row r="2272" spans="1:11" x14ac:dyDescent="0.25">
      <c r="A2272" t="s">
        <v>7555</v>
      </c>
      <c r="B2272" t="s">
        <v>7556</v>
      </c>
      <c r="C2272" t="s">
        <v>7557</v>
      </c>
      <c r="D2272" t="s">
        <v>7558</v>
      </c>
      <c r="E2272" t="s">
        <v>14</v>
      </c>
      <c r="F2272" t="s">
        <v>15</v>
      </c>
      <c r="G2272">
        <v>15243</v>
      </c>
      <c r="H2272" t="s">
        <v>21</v>
      </c>
      <c r="I2272">
        <v>22</v>
      </c>
      <c r="J2272">
        <v>1</v>
      </c>
      <c r="K2272" t="s">
        <v>8131</v>
      </c>
    </row>
    <row r="2273" spans="1:11" x14ac:dyDescent="0.25">
      <c r="A2273" t="s">
        <v>7559</v>
      </c>
      <c r="B2273" t="s">
        <v>7560</v>
      </c>
      <c r="C2273" t="s">
        <v>7561</v>
      </c>
      <c r="D2273" t="s">
        <v>2732</v>
      </c>
      <c r="E2273" t="s">
        <v>14</v>
      </c>
      <c r="F2273" t="s">
        <v>15</v>
      </c>
      <c r="G2273">
        <v>15213</v>
      </c>
      <c r="H2273" t="s">
        <v>16</v>
      </c>
      <c r="I2273">
        <v>62</v>
      </c>
      <c r="J2273">
        <v>1</v>
      </c>
      <c r="K2273" t="s">
        <v>8131</v>
      </c>
    </row>
    <row r="2274" spans="1:11" x14ac:dyDescent="0.25">
      <c r="A2274" t="s">
        <v>7562</v>
      </c>
      <c r="B2274" t="s">
        <v>7563</v>
      </c>
      <c r="C2274" t="s">
        <v>7564</v>
      </c>
      <c r="D2274" t="s">
        <v>4953</v>
      </c>
      <c r="E2274" t="s">
        <v>14</v>
      </c>
      <c r="F2274" t="s">
        <v>15</v>
      </c>
      <c r="G2274">
        <v>15218</v>
      </c>
      <c r="H2274" t="s">
        <v>16</v>
      </c>
      <c r="I2274">
        <v>133</v>
      </c>
      <c r="J2274">
        <v>0</v>
      </c>
      <c r="K2274" t="s">
        <v>8131</v>
      </c>
    </row>
    <row r="2275" spans="1:11" x14ac:dyDescent="0.25">
      <c r="A2275" t="s">
        <v>7565</v>
      </c>
      <c r="B2275" t="s">
        <v>7566</v>
      </c>
      <c r="C2275" t="s">
        <v>6370</v>
      </c>
      <c r="D2275" t="s">
        <v>7567</v>
      </c>
      <c r="E2275" t="s">
        <v>14</v>
      </c>
      <c r="F2275" t="s">
        <v>15</v>
      </c>
      <c r="G2275">
        <v>15209</v>
      </c>
      <c r="H2275" t="s">
        <v>48</v>
      </c>
      <c r="I2275">
        <v>18</v>
      </c>
      <c r="J2275">
        <v>1</v>
      </c>
      <c r="K2275" t="s">
        <v>8131</v>
      </c>
    </row>
    <row r="2276" spans="1:11" x14ac:dyDescent="0.25">
      <c r="A2276" t="s">
        <v>7568</v>
      </c>
      <c r="B2276" t="s">
        <v>65</v>
      </c>
      <c r="C2276" t="s">
        <v>7569</v>
      </c>
      <c r="D2276" t="s">
        <v>7570</v>
      </c>
      <c r="E2276" t="s">
        <v>14</v>
      </c>
      <c r="F2276" t="s">
        <v>15</v>
      </c>
      <c r="G2276">
        <v>15207</v>
      </c>
      <c r="H2276" t="s">
        <v>21</v>
      </c>
      <c r="I2276">
        <v>39</v>
      </c>
      <c r="J2276">
        <v>1</v>
      </c>
      <c r="K2276" t="s">
        <v>8131</v>
      </c>
    </row>
    <row r="2277" spans="1:11" x14ac:dyDescent="0.25">
      <c r="A2277" t="s">
        <v>7571</v>
      </c>
      <c r="B2277" t="s">
        <v>7572</v>
      </c>
      <c r="C2277" t="s">
        <v>7573</v>
      </c>
      <c r="D2277" t="s">
        <v>7574</v>
      </c>
      <c r="E2277" t="s">
        <v>14</v>
      </c>
      <c r="F2277" t="s">
        <v>15</v>
      </c>
      <c r="G2277">
        <v>15201</v>
      </c>
      <c r="H2277" t="s">
        <v>48</v>
      </c>
      <c r="I2277">
        <v>474</v>
      </c>
      <c r="J2277">
        <v>1</v>
      </c>
      <c r="K2277" t="s">
        <v>8131</v>
      </c>
    </row>
    <row r="2278" spans="1:11" x14ac:dyDescent="0.25">
      <c r="A2278" t="s">
        <v>7575</v>
      </c>
      <c r="B2278" t="s">
        <v>2145</v>
      </c>
      <c r="C2278" t="s">
        <v>7576</v>
      </c>
      <c r="D2278" t="s">
        <v>7577</v>
      </c>
      <c r="E2278" t="s">
        <v>14</v>
      </c>
      <c r="F2278" t="s">
        <v>15</v>
      </c>
      <c r="G2278">
        <v>15201</v>
      </c>
      <c r="H2278" t="s">
        <v>16</v>
      </c>
      <c r="I2278">
        <v>386</v>
      </c>
      <c r="J2278">
        <v>1</v>
      </c>
      <c r="K2278" t="s">
        <v>8131</v>
      </c>
    </row>
    <row r="2279" spans="1:11" x14ac:dyDescent="0.25">
      <c r="A2279" t="s">
        <v>7578</v>
      </c>
      <c r="B2279" t="s">
        <v>7579</v>
      </c>
      <c r="C2279" t="s">
        <v>7580</v>
      </c>
      <c r="D2279" t="s">
        <v>7581</v>
      </c>
      <c r="E2279" t="s">
        <v>14</v>
      </c>
      <c r="F2279" t="s">
        <v>15</v>
      </c>
      <c r="G2279">
        <v>15203</v>
      </c>
      <c r="H2279" t="s">
        <v>16</v>
      </c>
      <c r="I2279">
        <v>14</v>
      </c>
      <c r="J2279">
        <v>0</v>
      </c>
      <c r="K2279" t="s">
        <v>8131</v>
      </c>
    </row>
    <row r="2280" spans="1:11" x14ac:dyDescent="0.25">
      <c r="A2280" t="s">
        <v>7582</v>
      </c>
      <c r="B2280" t="s">
        <v>2952</v>
      </c>
      <c r="C2280" t="s">
        <v>2013</v>
      </c>
      <c r="D2280" t="s">
        <v>7583</v>
      </c>
      <c r="E2280" t="s">
        <v>14</v>
      </c>
      <c r="F2280" t="s">
        <v>15</v>
      </c>
      <c r="G2280">
        <v>15218</v>
      </c>
      <c r="H2280" t="s">
        <v>157</v>
      </c>
      <c r="I2280">
        <v>3</v>
      </c>
      <c r="J2280">
        <v>1</v>
      </c>
      <c r="K2280" t="s">
        <v>8131</v>
      </c>
    </row>
    <row r="2281" spans="1:11" x14ac:dyDescent="0.25">
      <c r="A2281" t="s">
        <v>7584</v>
      </c>
      <c r="B2281" t="s">
        <v>65</v>
      </c>
      <c r="C2281" t="s">
        <v>7585</v>
      </c>
      <c r="D2281" t="s">
        <v>4270</v>
      </c>
      <c r="E2281" t="s">
        <v>14</v>
      </c>
      <c r="F2281" t="s">
        <v>15</v>
      </c>
      <c r="G2281">
        <v>15226</v>
      </c>
      <c r="H2281" t="s">
        <v>43</v>
      </c>
      <c r="I2281">
        <v>3</v>
      </c>
      <c r="J2281">
        <v>0</v>
      </c>
      <c r="K2281" t="s">
        <v>8131</v>
      </c>
    </row>
    <row r="2282" spans="1:11" x14ac:dyDescent="0.25">
      <c r="A2282" t="s">
        <v>7586</v>
      </c>
      <c r="B2282" t="s">
        <v>7587</v>
      </c>
      <c r="C2282" t="s">
        <v>7588</v>
      </c>
      <c r="D2282" t="s">
        <v>7589</v>
      </c>
      <c r="E2282" t="s">
        <v>14</v>
      </c>
      <c r="F2282" t="s">
        <v>15</v>
      </c>
      <c r="G2282">
        <v>15220</v>
      </c>
      <c r="H2282" t="s">
        <v>21</v>
      </c>
      <c r="I2282">
        <v>3</v>
      </c>
      <c r="J2282">
        <v>1</v>
      </c>
      <c r="K2282" t="s">
        <v>8131</v>
      </c>
    </row>
    <row r="2283" spans="1:11" x14ac:dyDescent="0.25">
      <c r="A2283" t="s">
        <v>7590</v>
      </c>
      <c r="B2283" t="s">
        <v>7591</v>
      </c>
      <c r="C2283" t="s">
        <v>7592</v>
      </c>
      <c r="D2283" t="s">
        <v>7593</v>
      </c>
      <c r="E2283" t="s">
        <v>14</v>
      </c>
      <c r="F2283" t="s">
        <v>15</v>
      </c>
      <c r="G2283">
        <v>15201</v>
      </c>
      <c r="H2283" t="s">
        <v>21</v>
      </c>
      <c r="I2283">
        <v>163</v>
      </c>
      <c r="J2283">
        <v>1</v>
      </c>
      <c r="K2283" t="s">
        <v>8131</v>
      </c>
    </row>
    <row r="2284" spans="1:11" x14ac:dyDescent="0.25">
      <c r="A2284" t="s">
        <v>7594</v>
      </c>
      <c r="B2284" t="s">
        <v>7595</v>
      </c>
      <c r="C2284" t="s">
        <v>7596</v>
      </c>
      <c r="D2284" t="s">
        <v>379</v>
      </c>
      <c r="E2284" t="s">
        <v>14</v>
      </c>
      <c r="F2284" t="s">
        <v>15</v>
      </c>
      <c r="G2284">
        <v>15217</v>
      </c>
      <c r="H2284" t="s">
        <v>157</v>
      </c>
      <c r="I2284">
        <v>3</v>
      </c>
      <c r="J2284">
        <v>0</v>
      </c>
      <c r="K2284" t="s">
        <v>8131</v>
      </c>
    </row>
    <row r="2285" spans="1:11" x14ac:dyDescent="0.25">
      <c r="A2285" t="s">
        <v>7597</v>
      </c>
      <c r="B2285" t="s">
        <v>377</v>
      </c>
      <c r="C2285" t="s">
        <v>7598</v>
      </c>
      <c r="D2285" t="s">
        <v>2903</v>
      </c>
      <c r="E2285" t="s">
        <v>14</v>
      </c>
      <c r="F2285" t="s">
        <v>15</v>
      </c>
      <c r="G2285">
        <v>15201</v>
      </c>
      <c r="H2285" t="s">
        <v>113</v>
      </c>
      <c r="I2285">
        <v>4</v>
      </c>
      <c r="J2285">
        <v>1</v>
      </c>
      <c r="K2285" t="s">
        <v>8131</v>
      </c>
    </row>
    <row r="2286" spans="1:11" x14ac:dyDescent="0.25">
      <c r="A2286" t="s">
        <v>7599</v>
      </c>
      <c r="B2286" t="s">
        <v>1143</v>
      </c>
      <c r="C2286" t="s">
        <v>340</v>
      </c>
      <c r="D2286" t="s">
        <v>7600</v>
      </c>
      <c r="E2286" t="s">
        <v>14</v>
      </c>
      <c r="F2286" t="s">
        <v>15</v>
      </c>
      <c r="G2286">
        <v>15213</v>
      </c>
      <c r="H2286" t="s">
        <v>48</v>
      </c>
      <c r="I2286">
        <v>27</v>
      </c>
      <c r="J2286">
        <v>1</v>
      </c>
      <c r="K2286" t="s">
        <v>8131</v>
      </c>
    </row>
    <row r="2287" spans="1:11" x14ac:dyDescent="0.25">
      <c r="A2287" t="s">
        <v>7601</v>
      </c>
      <c r="B2287" t="s">
        <v>7602</v>
      </c>
      <c r="C2287" t="s">
        <v>6451</v>
      </c>
      <c r="D2287" t="s">
        <v>5452</v>
      </c>
      <c r="E2287" t="s">
        <v>14</v>
      </c>
      <c r="F2287" t="s">
        <v>15</v>
      </c>
      <c r="G2287">
        <v>15236</v>
      </c>
      <c r="H2287" t="s">
        <v>21</v>
      </c>
      <c r="I2287">
        <v>79</v>
      </c>
      <c r="J2287">
        <v>1</v>
      </c>
      <c r="K2287" t="s">
        <v>8131</v>
      </c>
    </row>
    <row r="2288" spans="1:11" x14ac:dyDescent="0.25">
      <c r="A2288" t="s">
        <v>7603</v>
      </c>
      <c r="B2288" t="s">
        <v>1490</v>
      </c>
      <c r="C2288" t="s">
        <v>7604</v>
      </c>
      <c r="D2288" t="s">
        <v>6216</v>
      </c>
      <c r="E2288" t="s">
        <v>14</v>
      </c>
      <c r="F2288" t="s">
        <v>15</v>
      </c>
      <c r="G2288">
        <v>15203</v>
      </c>
      <c r="H2288" t="s">
        <v>16</v>
      </c>
      <c r="I2288">
        <v>14</v>
      </c>
      <c r="J2288">
        <v>0</v>
      </c>
      <c r="K2288" t="s">
        <v>8131</v>
      </c>
    </row>
    <row r="2289" spans="1:11" x14ac:dyDescent="0.25">
      <c r="A2289" t="s">
        <v>7605</v>
      </c>
      <c r="B2289" t="s">
        <v>7606</v>
      </c>
      <c r="C2289" t="s">
        <v>7607</v>
      </c>
      <c r="D2289" t="s">
        <v>7608</v>
      </c>
      <c r="E2289" t="s">
        <v>14</v>
      </c>
      <c r="F2289" t="s">
        <v>15</v>
      </c>
      <c r="G2289">
        <v>15210</v>
      </c>
      <c r="H2289" t="s">
        <v>21</v>
      </c>
      <c r="I2289">
        <v>4</v>
      </c>
      <c r="J2289">
        <v>1</v>
      </c>
      <c r="K2289" t="s">
        <v>8131</v>
      </c>
    </row>
    <row r="2290" spans="1:11" x14ac:dyDescent="0.25">
      <c r="A2290" t="s">
        <v>7609</v>
      </c>
      <c r="B2290" t="s">
        <v>7610</v>
      </c>
      <c r="C2290" t="s">
        <v>7611</v>
      </c>
      <c r="D2290" t="s">
        <v>5444</v>
      </c>
      <c r="E2290" t="s">
        <v>14</v>
      </c>
      <c r="F2290" t="s">
        <v>15</v>
      </c>
      <c r="G2290">
        <v>15213</v>
      </c>
      <c r="H2290" t="s">
        <v>34</v>
      </c>
      <c r="I2290">
        <v>131</v>
      </c>
      <c r="J2290">
        <v>0</v>
      </c>
      <c r="K2290" t="s">
        <v>8131</v>
      </c>
    </row>
    <row r="2291" spans="1:11" x14ac:dyDescent="0.25">
      <c r="A2291" t="s">
        <v>7612</v>
      </c>
      <c r="B2291" t="s">
        <v>1957</v>
      </c>
      <c r="C2291" t="s">
        <v>7613</v>
      </c>
      <c r="D2291" t="s">
        <v>7614</v>
      </c>
      <c r="E2291" t="s">
        <v>14</v>
      </c>
      <c r="F2291" t="s">
        <v>15</v>
      </c>
      <c r="G2291">
        <v>15206</v>
      </c>
      <c r="H2291" t="s">
        <v>48</v>
      </c>
      <c r="I2291">
        <v>15</v>
      </c>
      <c r="J2291">
        <v>0</v>
      </c>
      <c r="K2291" t="s">
        <v>8131</v>
      </c>
    </row>
    <row r="2292" spans="1:11" x14ac:dyDescent="0.25">
      <c r="A2292" t="s">
        <v>7615</v>
      </c>
      <c r="B2292" t="s">
        <v>7616</v>
      </c>
      <c r="C2292" t="s">
        <v>7617</v>
      </c>
      <c r="D2292" t="s">
        <v>7618</v>
      </c>
      <c r="E2292" t="s">
        <v>14</v>
      </c>
      <c r="F2292" t="s">
        <v>15</v>
      </c>
      <c r="G2292">
        <v>15217</v>
      </c>
      <c r="H2292" t="s">
        <v>21</v>
      </c>
      <c r="I2292">
        <v>5</v>
      </c>
      <c r="J2292">
        <v>1</v>
      </c>
      <c r="K2292" t="s">
        <v>8131</v>
      </c>
    </row>
    <row r="2293" spans="1:11" x14ac:dyDescent="0.25">
      <c r="A2293" t="s">
        <v>7619</v>
      </c>
      <c r="B2293" t="s">
        <v>7620</v>
      </c>
      <c r="C2293" t="s">
        <v>7621</v>
      </c>
      <c r="D2293" t="s">
        <v>7622</v>
      </c>
      <c r="E2293" t="s">
        <v>14</v>
      </c>
      <c r="F2293" t="s">
        <v>15</v>
      </c>
      <c r="G2293">
        <v>15217</v>
      </c>
      <c r="H2293" t="s">
        <v>21</v>
      </c>
      <c r="I2293">
        <v>110</v>
      </c>
      <c r="J2293">
        <v>1</v>
      </c>
      <c r="K2293" t="s">
        <v>8131</v>
      </c>
    </row>
    <row r="2294" spans="1:11" x14ac:dyDescent="0.25">
      <c r="A2294" t="e">
        <f>-SX8276QNjtSMu3ZIIcpLA</f>
        <v>#NAME?</v>
      </c>
      <c r="B2294" t="s">
        <v>7623</v>
      </c>
      <c r="C2294" t="s">
        <v>7624</v>
      </c>
      <c r="E2294" t="s">
        <v>14</v>
      </c>
      <c r="F2294" t="s">
        <v>15</v>
      </c>
      <c r="G2294">
        <v>15206</v>
      </c>
      <c r="H2294" t="s">
        <v>21</v>
      </c>
      <c r="I2294">
        <v>7</v>
      </c>
      <c r="J2294">
        <v>0</v>
      </c>
      <c r="K2294" t="s">
        <v>8131</v>
      </c>
    </row>
    <row r="2295" spans="1:11" x14ac:dyDescent="0.25">
      <c r="A2295" t="s">
        <v>7625</v>
      </c>
      <c r="B2295" t="s">
        <v>1187</v>
      </c>
      <c r="C2295" t="s">
        <v>7626</v>
      </c>
      <c r="D2295" t="s">
        <v>2950</v>
      </c>
      <c r="E2295" t="s">
        <v>14</v>
      </c>
      <c r="F2295" t="s">
        <v>15</v>
      </c>
      <c r="G2295">
        <v>15206</v>
      </c>
      <c r="H2295" t="s">
        <v>48</v>
      </c>
      <c r="I2295">
        <v>12</v>
      </c>
      <c r="J2295">
        <v>0</v>
      </c>
      <c r="K2295" t="s">
        <v>8131</v>
      </c>
    </row>
    <row r="2296" spans="1:11" x14ac:dyDescent="0.25">
      <c r="A2296" t="s">
        <v>7627</v>
      </c>
      <c r="B2296" t="s">
        <v>7628</v>
      </c>
      <c r="C2296" t="s">
        <v>7629</v>
      </c>
      <c r="D2296" t="s">
        <v>7630</v>
      </c>
      <c r="E2296" t="s">
        <v>14</v>
      </c>
      <c r="F2296" t="s">
        <v>15</v>
      </c>
      <c r="G2296">
        <v>15224</v>
      </c>
      <c r="H2296" t="s">
        <v>16</v>
      </c>
      <c r="I2296">
        <v>5</v>
      </c>
      <c r="J2296">
        <v>0</v>
      </c>
      <c r="K2296" t="s">
        <v>8131</v>
      </c>
    </row>
    <row r="2297" spans="1:11" x14ac:dyDescent="0.25">
      <c r="A2297" t="s">
        <v>7631</v>
      </c>
      <c r="B2297" t="s">
        <v>36</v>
      </c>
      <c r="C2297" t="s">
        <v>6431</v>
      </c>
      <c r="D2297" t="s">
        <v>7632</v>
      </c>
      <c r="E2297" t="s">
        <v>14</v>
      </c>
      <c r="F2297" t="s">
        <v>15</v>
      </c>
      <c r="G2297">
        <v>15238</v>
      </c>
      <c r="H2297" t="s">
        <v>16</v>
      </c>
      <c r="I2297">
        <v>5</v>
      </c>
      <c r="J2297">
        <v>1</v>
      </c>
      <c r="K2297" t="s">
        <v>8131</v>
      </c>
    </row>
    <row r="2298" spans="1:11" x14ac:dyDescent="0.25">
      <c r="A2298" t="s">
        <v>7633</v>
      </c>
      <c r="B2298" t="s">
        <v>7634</v>
      </c>
      <c r="C2298" t="s">
        <v>7635</v>
      </c>
      <c r="D2298" t="s">
        <v>7636</v>
      </c>
      <c r="E2298" t="s">
        <v>14</v>
      </c>
      <c r="F2298" t="s">
        <v>15</v>
      </c>
      <c r="G2298">
        <v>15226</v>
      </c>
      <c r="H2298" t="s">
        <v>48</v>
      </c>
      <c r="I2298">
        <v>27</v>
      </c>
      <c r="J2298">
        <v>1</v>
      </c>
      <c r="K2298" t="s">
        <v>8131</v>
      </c>
    </row>
    <row r="2299" spans="1:11" x14ac:dyDescent="0.25">
      <c r="A2299" t="s">
        <v>7637</v>
      </c>
      <c r="B2299" t="s">
        <v>7638</v>
      </c>
      <c r="C2299" t="s">
        <v>7639</v>
      </c>
      <c r="D2299" t="s">
        <v>6341</v>
      </c>
      <c r="E2299" t="s">
        <v>14</v>
      </c>
      <c r="F2299" t="s">
        <v>15</v>
      </c>
      <c r="G2299">
        <v>15205</v>
      </c>
      <c r="H2299" t="s">
        <v>48</v>
      </c>
      <c r="I2299">
        <v>33</v>
      </c>
      <c r="J2299">
        <v>0</v>
      </c>
      <c r="K2299" t="s">
        <v>8131</v>
      </c>
    </row>
    <row r="2300" spans="1:11" x14ac:dyDescent="0.25">
      <c r="A2300" t="s">
        <v>7640</v>
      </c>
      <c r="B2300" t="s">
        <v>65</v>
      </c>
      <c r="C2300" t="s">
        <v>3188</v>
      </c>
      <c r="D2300" t="s">
        <v>7378</v>
      </c>
      <c r="E2300" t="s">
        <v>14</v>
      </c>
      <c r="F2300" t="s">
        <v>15</v>
      </c>
      <c r="G2300">
        <v>15222</v>
      </c>
      <c r="H2300" t="s">
        <v>16</v>
      </c>
      <c r="I2300">
        <v>10</v>
      </c>
      <c r="J2300">
        <v>1</v>
      </c>
      <c r="K2300" t="s">
        <v>8131</v>
      </c>
    </row>
    <row r="2301" spans="1:11" x14ac:dyDescent="0.25">
      <c r="A2301" t="s">
        <v>7641</v>
      </c>
      <c r="B2301" t="s">
        <v>7642</v>
      </c>
      <c r="C2301" t="s">
        <v>2783</v>
      </c>
      <c r="D2301" t="s">
        <v>7643</v>
      </c>
      <c r="E2301" t="s">
        <v>14</v>
      </c>
      <c r="F2301" t="s">
        <v>15</v>
      </c>
      <c r="G2301">
        <v>15219</v>
      </c>
      <c r="H2301" t="s">
        <v>34</v>
      </c>
      <c r="I2301">
        <v>11</v>
      </c>
      <c r="J2301">
        <v>1</v>
      </c>
      <c r="K2301" t="s">
        <v>8131</v>
      </c>
    </row>
    <row r="2302" spans="1:11" x14ac:dyDescent="0.25">
      <c r="A2302" t="s">
        <v>7644</v>
      </c>
      <c r="B2302" t="s">
        <v>94</v>
      </c>
      <c r="C2302" t="s">
        <v>7645</v>
      </c>
      <c r="D2302" t="s">
        <v>7646</v>
      </c>
      <c r="E2302" t="s">
        <v>14</v>
      </c>
      <c r="F2302" t="s">
        <v>15</v>
      </c>
      <c r="G2302">
        <v>15201</v>
      </c>
      <c r="H2302" t="s">
        <v>21</v>
      </c>
      <c r="I2302">
        <v>24</v>
      </c>
      <c r="J2302">
        <v>1</v>
      </c>
      <c r="K2302" t="s">
        <v>8131</v>
      </c>
    </row>
    <row r="2303" spans="1:11" x14ac:dyDescent="0.25">
      <c r="A2303" t="s">
        <v>7647</v>
      </c>
      <c r="B2303" t="s">
        <v>7648</v>
      </c>
      <c r="C2303" t="s">
        <v>3228</v>
      </c>
      <c r="D2303" t="s">
        <v>7649</v>
      </c>
      <c r="E2303" t="s">
        <v>14</v>
      </c>
      <c r="F2303" t="s">
        <v>15</v>
      </c>
      <c r="G2303">
        <v>15211</v>
      </c>
      <c r="H2303" t="s">
        <v>48</v>
      </c>
      <c r="I2303">
        <v>13</v>
      </c>
      <c r="J2303">
        <v>1</v>
      </c>
      <c r="K2303" t="s">
        <v>8131</v>
      </c>
    </row>
    <row r="2304" spans="1:11" x14ac:dyDescent="0.25">
      <c r="A2304" t="s">
        <v>7650</v>
      </c>
      <c r="B2304" t="s">
        <v>4597</v>
      </c>
      <c r="C2304" t="s">
        <v>2044</v>
      </c>
      <c r="D2304" t="s">
        <v>7651</v>
      </c>
      <c r="E2304" t="s">
        <v>14</v>
      </c>
      <c r="F2304" t="s">
        <v>15</v>
      </c>
      <c r="G2304">
        <v>15203</v>
      </c>
      <c r="H2304" t="s">
        <v>113</v>
      </c>
      <c r="I2304">
        <v>30</v>
      </c>
      <c r="J2304">
        <v>1</v>
      </c>
      <c r="K2304" t="s">
        <v>8131</v>
      </c>
    </row>
    <row r="2305" spans="1:11" x14ac:dyDescent="0.25">
      <c r="A2305" t="s">
        <v>7652</v>
      </c>
      <c r="B2305" t="s">
        <v>7653</v>
      </c>
      <c r="C2305" t="s">
        <v>1866</v>
      </c>
      <c r="D2305" t="s">
        <v>7654</v>
      </c>
      <c r="E2305" t="s">
        <v>14</v>
      </c>
      <c r="F2305" t="s">
        <v>15</v>
      </c>
      <c r="G2305">
        <v>15222</v>
      </c>
      <c r="H2305" t="s">
        <v>16</v>
      </c>
      <c r="I2305">
        <v>614</v>
      </c>
      <c r="J2305">
        <v>1</v>
      </c>
      <c r="K2305" t="s">
        <v>8131</v>
      </c>
    </row>
    <row r="2306" spans="1:11" x14ac:dyDescent="0.25">
      <c r="A2306" t="s">
        <v>7655</v>
      </c>
      <c r="B2306" t="s">
        <v>377</v>
      </c>
      <c r="C2306" t="s">
        <v>7656</v>
      </c>
      <c r="D2306" t="s">
        <v>1327</v>
      </c>
      <c r="E2306" t="s">
        <v>14</v>
      </c>
      <c r="F2306" t="s">
        <v>15</v>
      </c>
      <c r="G2306">
        <v>15222</v>
      </c>
      <c r="H2306" t="s">
        <v>48</v>
      </c>
      <c r="I2306">
        <v>3</v>
      </c>
      <c r="J2306">
        <v>1</v>
      </c>
      <c r="K2306" t="s">
        <v>8131</v>
      </c>
    </row>
    <row r="2307" spans="1:11" x14ac:dyDescent="0.25">
      <c r="A2307" t="s">
        <v>7657</v>
      </c>
      <c r="B2307" t="s">
        <v>7658</v>
      </c>
      <c r="C2307" t="s">
        <v>7659</v>
      </c>
      <c r="D2307" t="s">
        <v>7429</v>
      </c>
      <c r="E2307" t="s">
        <v>14</v>
      </c>
      <c r="F2307" t="s">
        <v>15</v>
      </c>
      <c r="G2307">
        <v>15219</v>
      </c>
      <c r="H2307" t="s">
        <v>92</v>
      </c>
      <c r="I2307">
        <v>5</v>
      </c>
      <c r="J2307">
        <v>0</v>
      </c>
      <c r="K2307" t="s">
        <v>8131</v>
      </c>
    </row>
    <row r="2308" spans="1:11" x14ac:dyDescent="0.25">
      <c r="A2308" t="s">
        <v>7660</v>
      </c>
      <c r="B2308" t="s">
        <v>335</v>
      </c>
      <c r="C2308" t="s">
        <v>7661</v>
      </c>
      <c r="D2308" t="s">
        <v>7662</v>
      </c>
      <c r="E2308" t="s">
        <v>14</v>
      </c>
      <c r="F2308" t="s">
        <v>15</v>
      </c>
      <c r="G2308">
        <v>15239</v>
      </c>
      <c r="H2308" t="s">
        <v>34</v>
      </c>
      <c r="I2308">
        <v>5</v>
      </c>
      <c r="J2308">
        <v>0</v>
      </c>
      <c r="K2308" t="s">
        <v>8131</v>
      </c>
    </row>
    <row r="2309" spans="1:11" x14ac:dyDescent="0.25">
      <c r="A2309" t="s">
        <v>7663</v>
      </c>
      <c r="B2309" t="s">
        <v>7664</v>
      </c>
      <c r="C2309" t="s">
        <v>7665</v>
      </c>
      <c r="D2309" t="s">
        <v>7666</v>
      </c>
      <c r="E2309" t="s">
        <v>14</v>
      </c>
      <c r="F2309" t="s">
        <v>15</v>
      </c>
      <c r="G2309">
        <v>15217</v>
      </c>
      <c r="H2309" t="s">
        <v>21</v>
      </c>
      <c r="I2309">
        <v>74</v>
      </c>
      <c r="J2309">
        <v>1</v>
      </c>
      <c r="K2309" t="s">
        <v>8131</v>
      </c>
    </row>
    <row r="2310" spans="1:11" x14ac:dyDescent="0.25">
      <c r="A2310" t="s">
        <v>7667</v>
      </c>
      <c r="B2310" t="s">
        <v>578</v>
      </c>
      <c r="C2310" t="s">
        <v>7668</v>
      </c>
      <c r="D2310" t="s">
        <v>7669</v>
      </c>
      <c r="E2310" t="s">
        <v>14</v>
      </c>
      <c r="F2310" t="s">
        <v>15</v>
      </c>
      <c r="G2310">
        <v>15237</v>
      </c>
      <c r="H2310" t="s">
        <v>48</v>
      </c>
      <c r="I2310">
        <v>160</v>
      </c>
      <c r="J2310">
        <v>1</v>
      </c>
      <c r="K2310" t="s">
        <v>8131</v>
      </c>
    </row>
    <row r="2311" spans="1:11" x14ac:dyDescent="0.25">
      <c r="A2311" t="s">
        <v>7670</v>
      </c>
      <c r="B2311" t="s">
        <v>7671</v>
      </c>
      <c r="C2311" t="s">
        <v>2476</v>
      </c>
      <c r="D2311" t="s">
        <v>5321</v>
      </c>
      <c r="E2311" t="s">
        <v>14</v>
      </c>
      <c r="F2311" t="s">
        <v>15</v>
      </c>
      <c r="G2311">
        <v>15218</v>
      </c>
      <c r="H2311" t="s">
        <v>48</v>
      </c>
      <c r="I2311">
        <v>35</v>
      </c>
      <c r="J2311">
        <v>1</v>
      </c>
      <c r="K2311" t="s">
        <v>8131</v>
      </c>
    </row>
    <row r="2312" spans="1:11" x14ac:dyDescent="0.25">
      <c r="A2312" t="s">
        <v>7672</v>
      </c>
      <c r="B2312" t="s">
        <v>1384</v>
      </c>
      <c r="C2312" t="s">
        <v>7673</v>
      </c>
      <c r="D2312" t="s">
        <v>7674</v>
      </c>
      <c r="E2312" t="s">
        <v>14</v>
      </c>
      <c r="F2312" t="s">
        <v>15</v>
      </c>
      <c r="G2312">
        <v>15213</v>
      </c>
      <c r="H2312" t="s">
        <v>48</v>
      </c>
      <c r="I2312">
        <v>28</v>
      </c>
      <c r="J2312">
        <v>0</v>
      </c>
      <c r="K2312" t="s">
        <v>8131</v>
      </c>
    </row>
    <row r="2313" spans="1:11" x14ac:dyDescent="0.25">
      <c r="A2313" t="s">
        <v>7675</v>
      </c>
      <c r="B2313" t="s">
        <v>7676</v>
      </c>
      <c r="C2313" t="s">
        <v>7677</v>
      </c>
      <c r="D2313" t="s">
        <v>7678</v>
      </c>
      <c r="E2313" t="s">
        <v>14</v>
      </c>
      <c r="F2313" t="s">
        <v>15</v>
      </c>
      <c r="G2313">
        <v>15206</v>
      </c>
      <c r="H2313" t="s">
        <v>48</v>
      </c>
      <c r="I2313">
        <v>11</v>
      </c>
      <c r="J2313">
        <v>0</v>
      </c>
      <c r="K2313" t="s">
        <v>8131</v>
      </c>
    </row>
    <row r="2314" spans="1:11" x14ac:dyDescent="0.25">
      <c r="A2314" t="s">
        <v>7679</v>
      </c>
      <c r="B2314" t="s">
        <v>7680</v>
      </c>
      <c r="C2314" t="s">
        <v>7681</v>
      </c>
      <c r="D2314" t="s">
        <v>7682</v>
      </c>
      <c r="E2314" t="s">
        <v>14</v>
      </c>
      <c r="F2314" t="s">
        <v>15</v>
      </c>
      <c r="G2314">
        <v>15234</v>
      </c>
      <c r="H2314" t="s">
        <v>48</v>
      </c>
      <c r="I2314">
        <v>14</v>
      </c>
      <c r="J2314">
        <v>1</v>
      </c>
      <c r="K2314" t="s">
        <v>8131</v>
      </c>
    </row>
    <row r="2315" spans="1:11" x14ac:dyDescent="0.25">
      <c r="A2315" t="s">
        <v>7683</v>
      </c>
      <c r="B2315" t="s">
        <v>447</v>
      </c>
      <c r="C2315" t="s">
        <v>7684</v>
      </c>
      <c r="D2315" t="s">
        <v>7685</v>
      </c>
      <c r="E2315" t="s">
        <v>14</v>
      </c>
      <c r="F2315" t="s">
        <v>15</v>
      </c>
      <c r="G2315">
        <v>15222</v>
      </c>
      <c r="H2315" t="s">
        <v>16</v>
      </c>
      <c r="I2315">
        <v>9</v>
      </c>
      <c r="J2315">
        <v>0</v>
      </c>
      <c r="K2315" t="s">
        <v>8131</v>
      </c>
    </row>
    <row r="2316" spans="1:11" x14ac:dyDescent="0.25">
      <c r="A2316" t="s">
        <v>7686</v>
      </c>
      <c r="B2316" t="s">
        <v>3259</v>
      </c>
      <c r="C2316" t="s">
        <v>7687</v>
      </c>
      <c r="D2316" t="s">
        <v>7581</v>
      </c>
      <c r="E2316" t="s">
        <v>14</v>
      </c>
      <c r="F2316" t="s">
        <v>15</v>
      </c>
      <c r="G2316">
        <v>15203</v>
      </c>
      <c r="H2316" t="s">
        <v>16</v>
      </c>
      <c r="I2316">
        <v>5</v>
      </c>
      <c r="J2316">
        <v>0</v>
      </c>
      <c r="K2316" t="s">
        <v>8131</v>
      </c>
    </row>
    <row r="2317" spans="1:11" x14ac:dyDescent="0.25">
      <c r="A2317" t="s">
        <v>7688</v>
      </c>
      <c r="B2317" t="s">
        <v>7689</v>
      </c>
      <c r="C2317" t="s">
        <v>7690</v>
      </c>
      <c r="D2317" t="s">
        <v>7691</v>
      </c>
      <c r="E2317" t="s">
        <v>14</v>
      </c>
      <c r="F2317" t="s">
        <v>15</v>
      </c>
      <c r="G2317">
        <v>15212</v>
      </c>
      <c r="H2317" t="s">
        <v>21</v>
      </c>
      <c r="I2317">
        <v>55</v>
      </c>
      <c r="J2317">
        <v>1</v>
      </c>
      <c r="K2317" t="s">
        <v>8131</v>
      </c>
    </row>
    <row r="2318" spans="1:11" x14ac:dyDescent="0.25">
      <c r="A2318" t="s">
        <v>7692</v>
      </c>
      <c r="B2318" t="s">
        <v>7693</v>
      </c>
      <c r="C2318" t="s">
        <v>7694</v>
      </c>
      <c r="D2318" t="s">
        <v>7695</v>
      </c>
      <c r="E2318" t="s">
        <v>14</v>
      </c>
      <c r="F2318" t="s">
        <v>15</v>
      </c>
      <c r="G2318">
        <v>15222</v>
      </c>
      <c r="H2318" t="s">
        <v>43</v>
      </c>
      <c r="I2318">
        <v>44</v>
      </c>
      <c r="J2318">
        <v>1</v>
      </c>
      <c r="K2318" t="s">
        <v>8131</v>
      </c>
    </row>
    <row r="2319" spans="1:11" x14ac:dyDescent="0.25">
      <c r="A2319" t="s">
        <v>7696</v>
      </c>
      <c r="B2319" t="s">
        <v>7697</v>
      </c>
      <c r="C2319" t="s">
        <v>1737</v>
      </c>
      <c r="D2319" t="s">
        <v>7698</v>
      </c>
      <c r="E2319" t="s">
        <v>14</v>
      </c>
      <c r="F2319" t="s">
        <v>15</v>
      </c>
      <c r="G2319">
        <v>15203</v>
      </c>
      <c r="H2319" t="s">
        <v>48</v>
      </c>
      <c r="I2319">
        <v>51</v>
      </c>
      <c r="J2319">
        <v>1</v>
      </c>
      <c r="K2319" t="s">
        <v>8131</v>
      </c>
    </row>
    <row r="2320" spans="1:11" x14ac:dyDescent="0.25">
      <c r="A2320" t="s">
        <v>7699</v>
      </c>
      <c r="B2320" t="s">
        <v>7700</v>
      </c>
      <c r="C2320" t="s">
        <v>7701</v>
      </c>
      <c r="D2320" t="s">
        <v>7702</v>
      </c>
      <c r="E2320" t="s">
        <v>14</v>
      </c>
      <c r="F2320" t="s">
        <v>15</v>
      </c>
      <c r="G2320">
        <v>15222</v>
      </c>
      <c r="H2320" t="s">
        <v>48</v>
      </c>
      <c r="I2320">
        <v>174</v>
      </c>
      <c r="J2320">
        <v>1</v>
      </c>
      <c r="K2320" t="s">
        <v>8131</v>
      </c>
    </row>
    <row r="2321" spans="1:11" x14ac:dyDescent="0.25">
      <c r="A2321" t="s">
        <v>7703</v>
      </c>
      <c r="B2321" t="s">
        <v>5751</v>
      </c>
      <c r="C2321" t="s">
        <v>7704</v>
      </c>
      <c r="D2321" t="s">
        <v>7705</v>
      </c>
      <c r="E2321" t="s">
        <v>14</v>
      </c>
      <c r="F2321" t="s">
        <v>15</v>
      </c>
      <c r="G2321">
        <v>15234</v>
      </c>
      <c r="H2321" t="s">
        <v>113</v>
      </c>
      <c r="I2321">
        <v>5</v>
      </c>
      <c r="J2321">
        <v>1</v>
      </c>
      <c r="K2321" t="s">
        <v>8131</v>
      </c>
    </row>
    <row r="2322" spans="1:11" x14ac:dyDescent="0.25">
      <c r="A2322" t="s">
        <v>7706</v>
      </c>
      <c r="B2322" t="s">
        <v>36</v>
      </c>
      <c r="C2322" t="s">
        <v>7707</v>
      </c>
      <c r="D2322" t="s">
        <v>7708</v>
      </c>
      <c r="E2322" t="s">
        <v>14</v>
      </c>
      <c r="F2322" t="s">
        <v>15</v>
      </c>
      <c r="G2322">
        <v>15205</v>
      </c>
      <c r="H2322" t="s">
        <v>113</v>
      </c>
      <c r="I2322">
        <v>3</v>
      </c>
      <c r="J2322">
        <v>0</v>
      </c>
      <c r="K2322" t="s">
        <v>8131</v>
      </c>
    </row>
    <row r="2323" spans="1:11" x14ac:dyDescent="0.25">
      <c r="A2323" t="s">
        <v>7709</v>
      </c>
      <c r="B2323" t="s">
        <v>2058</v>
      </c>
      <c r="C2323" t="s">
        <v>7710</v>
      </c>
      <c r="D2323" t="s">
        <v>6581</v>
      </c>
      <c r="E2323" t="s">
        <v>14</v>
      </c>
      <c r="F2323" t="s">
        <v>15</v>
      </c>
      <c r="G2323">
        <v>15213</v>
      </c>
      <c r="H2323" t="s">
        <v>157</v>
      </c>
      <c r="I2323">
        <v>3</v>
      </c>
      <c r="J2323">
        <v>1</v>
      </c>
      <c r="K2323" t="s">
        <v>8131</v>
      </c>
    </row>
    <row r="2324" spans="1:11" x14ac:dyDescent="0.25">
      <c r="A2324" t="s">
        <v>7711</v>
      </c>
      <c r="B2324" t="s">
        <v>7712</v>
      </c>
      <c r="C2324" t="s">
        <v>7713</v>
      </c>
      <c r="D2324" t="s">
        <v>1945</v>
      </c>
      <c r="E2324" t="s">
        <v>14</v>
      </c>
      <c r="F2324" t="s">
        <v>15</v>
      </c>
      <c r="G2324">
        <v>15224</v>
      </c>
      <c r="H2324" t="s">
        <v>21</v>
      </c>
      <c r="I2324">
        <v>4</v>
      </c>
      <c r="J2324">
        <v>0</v>
      </c>
      <c r="K2324" t="s">
        <v>8131</v>
      </c>
    </row>
    <row r="2325" spans="1:11" x14ac:dyDescent="0.25">
      <c r="A2325" t="s">
        <v>7714</v>
      </c>
      <c r="B2325" t="s">
        <v>7715</v>
      </c>
      <c r="C2325" t="s">
        <v>2605</v>
      </c>
      <c r="D2325" t="s">
        <v>7716</v>
      </c>
      <c r="E2325" t="s">
        <v>14</v>
      </c>
      <c r="F2325" t="s">
        <v>15</v>
      </c>
      <c r="G2325">
        <v>15241</v>
      </c>
      <c r="H2325" t="s">
        <v>48</v>
      </c>
      <c r="I2325">
        <v>20</v>
      </c>
      <c r="J2325">
        <v>1</v>
      </c>
      <c r="K2325" t="s">
        <v>8131</v>
      </c>
    </row>
    <row r="2326" spans="1:11" x14ac:dyDescent="0.25">
      <c r="A2326" t="s">
        <v>7717</v>
      </c>
      <c r="B2326" t="s">
        <v>7718</v>
      </c>
      <c r="C2326" t="s">
        <v>7719</v>
      </c>
      <c r="D2326" t="s">
        <v>7720</v>
      </c>
      <c r="E2326" t="s">
        <v>14</v>
      </c>
      <c r="F2326" t="s">
        <v>15</v>
      </c>
      <c r="G2326">
        <v>15219</v>
      </c>
      <c r="H2326" t="s">
        <v>43</v>
      </c>
      <c r="I2326">
        <v>45</v>
      </c>
      <c r="J2326">
        <v>1</v>
      </c>
      <c r="K2326" t="s">
        <v>8131</v>
      </c>
    </row>
    <row r="2327" spans="1:11" x14ac:dyDescent="0.25">
      <c r="A2327" t="s">
        <v>7721</v>
      </c>
      <c r="B2327" t="s">
        <v>267</v>
      </c>
      <c r="C2327" t="s">
        <v>7722</v>
      </c>
      <c r="D2327" t="s">
        <v>6380</v>
      </c>
      <c r="E2327" t="s">
        <v>14</v>
      </c>
      <c r="F2327" t="s">
        <v>15</v>
      </c>
      <c r="G2327">
        <v>15222</v>
      </c>
      <c r="H2327" t="s">
        <v>92</v>
      </c>
      <c r="I2327">
        <v>6</v>
      </c>
      <c r="J2327">
        <v>1</v>
      </c>
      <c r="K2327" t="s">
        <v>8131</v>
      </c>
    </row>
    <row r="2328" spans="1:11" x14ac:dyDescent="0.25">
      <c r="A2328" t="e">
        <f>-wXyBph4d0IQlQrS8H1rDw</f>
        <v>#NAME?</v>
      </c>
      <c r="B2328" t="s">
        <v>7723</v>
      </c>
      <c r="C2328" t="s">
        <v>7724</v>
      </c>
      <c r="D2328" t="s">
        <v>7725</v>
      </c>
      <c r="E2328" t="s">
        <v>14</v>
      </c>
      <c r="F2328" t="s">
        <v>15</v>
      </c>
      <c r="G2328">
        <v>15201</v>
      </c>
      <c r="H2328" t="s">
        <v>48</v>
      </c>
      <c r="I2328">
        <v>99</v>
      </c>
      <c r="J2328">
        <v>1</v>
      </c>
      <c r="K2328" t="s">
        <v>8131</v>
      </c>
    </row>
    <row r="2329" spans="1:11" x14ac:dyDescent="0.25">
      <c r="A2329" t="s">
        <v>7726</v>
      </c>
      <c r="B2329" t="s">
        <v>7727</v>
      </c>
      <c r="C2329" t="s">
        <v>4846</v>
      </c>
      <c r="D2329" t="s">
        <v>75</v>
      </c>
      <c r="E2329" t="s">
        <v>14</v>
      </c>
      <c r="F2329" t="s">
        <v>15</v>
      </c>
      <c r="G2329">
        <v>15212</v>
      </c>
      <c r="H2329" t="s">
        <v>43</v>
      </c>
      <c r="I2329">
        <v>87</v>
      </c>
      <c r="J2329">
        <v>1</v>
      </c>
      <c r="K2329" t="s">
        <v>8131</v>
      </c>
    </row>
    <row r="2330" spans="1:11" x14ac:dyDescent="0.25">
      <c r="A2330" t="s">
        <v>7728</v>
      </c>
      <c r="B2330" t="s">
        <v>94</v>
      </c>
      <c r="C2330" t="s">
        <v>3232</v>
      </c>
      <c r="D2330" t="s">
        <v>3175</v>
      </c>
      <c r="E2330" t="s">
        <v>14</v>
      </c>
      <c r="F2330" t="s">
        <v>15</v>
      </c>
      <c r="G2330">
        <v>15226</v>
      </c>
      <c r="H2330" t="s">
        <v>21</v>
      </c>
      <c r="I2330">
        <v>6</v>
      </c>
      <c r="J2330">
        <v>0</v>
      </c>
      <c r="K2330" t="s">
        <v>8131</v>
      </c>
    </row>
    <row r="2331" spans="1:11" x14ac:dyDescent="0.25">
      <c r="A2331" t="s">
        <v>7729</v>
      </c>
      <c r="B2331" t="s">
        <v>36</v>
      </c>
      <c r="C2331" t="s">
        <v>7730</v>
      </c>
      <c r="D2331" t="s">
        <v>7731</v>
      </c>
      <c r="E2331" t="s">
        <v>14</v>
      </c>
      <c r="F2331" t="s">
        <v>15</v>
      </c>
      <c r="G2331">
        <v>15212</v>
      </c>
      <c r="H2331" t="s">
        <v>34</v>
      </c>
      <c r="I2331">
        <v>21</v>
      </c>
      <c r="J2331">
        <v>0</v>
      </c>
      <c r="K2331" t="s">
        <v>8131</v>
      </c>
    </row>
    <row r="2332" spans="1:11" x14ac:dyDescent="0.25">
      <c r="A2332" t="s">
        <v>7732</v>
      </c>
      <c r="B2332" t="s">
        <v>7733</v>
      </c>
      <c r="C2332" t="s">
        <v>7734</v>
      </c>
      <c r="D2332" t="s">
        <v>4918</v>
      </c>
      <c r="E2332" t="s">
        <v>14</v>
      </c>
      <c r="F2332" t="s">
        <v>15</v>
      </c>
      <c r="G2332">
        <v>15203</v>
      </c>
      <c r="H2332" t="s">
        <v>21</v>
      </c>
      <c r="I2332">
        <v>95</v>
      </c>
      <c r="J2332">
        <v>0</v>
      </c>
      <c r="K2332" t="s">
        <v>8131</v>
      </c>
    </row>
    <row r="2333" spans="1:11" x14ac:dyDescent="0.25">
      <c r="A2333" t="s">
        <v>7735</v>
      </c>
      <c r="B2333" t="s">
        <v>3791</v>
      </c>
      <c r="C2333" t="s">
        <v>7736</v>
      </c>
      <c r="D2333" t="s">
        <v>7737</v>
      </c>
      <c r="E2333" t="s">
        <v>14</v>
      </c>
      <c r="F2333" t="s">
        <v>15</v>
      </c>
      <c r="G2333">
        <v>15233</v>
      </c>
      <c r="H2333" t="s">
        <v>16</v>
      </c>
      <c r="I2333">
        <v>46</v>
      </c>
      <c r="J2333">
        <v>1</v>
      </c>
      <c r="K2333" t="s">
        <v>8131</v>
      </c>
    </row>
    <row r="2334" spans="1:11" x14ac:dyDescent="0.25">
      <c r="A2334" t="s">
        <v>7738</v>
      </c>
      <c r="B2334" t="s">
        <v>7739</v>
      </c>
      <c r="C2334" t="s">
        <v>7740</v>
      </c>
      <c r="D2334" t="s">
        <v>7741</v>
      </c>
      <c r="E2334" t="s">
        <v>14</v>
      </c>
      <c r="F2334" t="s">
        <v>15</v>
      </c>
      <c r="G2334">
        <v>15203</v>
      </c>
      <c r="H2334" t="s">
        <v>21</v>
      </c>
      <c r="I2334">
        <v>11</v>
      </c>
      <c r="J2334">
        <v>1</v>
      </c>
      <c r="K2334" t="s">
        <v>8131</v>
      </c>
    </row>
    <row r="2335" spans="1:11" x14ac:dyDescent="0.25">
      <c r="A2335" t="s">
        <v>7742</v>
      </c>
      <c r="B2335" t="s">
        <v>7743</v>
      </c>
      <c r="C2335" t="s">
        <v>7744</v>
      </c>
      <c r="D2335" t="s">
        <v>5916</v>
      </c>
      <c r="E2335" t="s">
        <v>14</v>
      </c>
      <c r="F2335" t="s">
        <v>15</v>
      </c>
      <c r="G2335">
        <v>15220</v>
      </c>
      <c r="H2335" t="s">
        <v>92</v>
      </c>
      <c r="I2335">
        <v>10</v>
      </c>
      <c r="J2335">
        <v>1</v>
      </c>
      <c r="K2335" t="s">
        <v>8131</v>
      </c>
    </row>
    <row r="2336" spans="1:11" x14ac:dyDescent="0.25">
      <c r="A2336" t="s">
        <v>7745</v>
      </c>
      <c r="B2336" t="s">
        <v>7746</v>
      </c>
      <c r="C2336" t="s">
        <v>7747</v>
      </c>
      <c r="D2336" t="s">
        <v>6718</v>
      </c>
      <c r="E2336" t="s">
        <v>14</v>
      </c>
      <c r="F2336" t="s">
        <v>15</v>
      </c>
      <c r="G2336">
        <v>15224</v>
      </c>
      <c r="H2336" t="s">
        <v>16</v>
      </c>
      <c r="I2336">
        <v>235</v>
      </c>
      <c r="J2336">
        <v>1</v>
      </c>
      <c r="K2336" t="s">
        <v>8131</v>
      </c>
    </row>
    <row r="2337" spans="1:11" x14ac:dyDescent="0.25">
      <c r="A2337" t="s">
        <v>7748</v>
      </c>
      <c r="B2337" t="s">
        <v>6026</v>
      </c>
      <c r="C2337" t="s">
        <v>7749</v>
      </c>
      <c r="D2337" t="s">
        <v>7750</v>
      </c>
      <c r="E2337" t="s">
        <v>14</v>
      </c>
      <c r="F2337" t="s">
        <v>15</v>
      </c>
      <c r="G2337">
        <v>15237</v>
      </c>
      <c r="H2337" t="s">
        <v>16</v>
      </c>
      <c r="I2337">
        <v>304</v>
      </c>
      <c r="J2337">
        <v>1</v>
      </c>
      <c r="K2337" t="s">
        <v>8131</v>
      </c>
    </row>
    <row r="2338" spans="1:11" x14ac:dyDescent="0.25">
      <c r="A2338" t="s">
        <v>7751</v>
      </c>
      <c r="B2338" t="s">
        <v>7752</v>
      </c>
      <c r="C2338" t="s">
        <v>419</v>
      </c>
      <c r="D2338" t="s">
        <v>7753</v>
      </c>
      <c r="E2338" t="s">
        <v>14</v>
      </c>
      <c r="F2338" t="s">
        <v>15</v>
      </c>
      <c r="G2338">
        <v>15275</v>
      </c>
      <c r="H2338" t="s">
        <v>1028</v>
      </c>
      <c r="I2338">
        <v>4</v>
      </c>
      <c r="J2338">
        <v>1</v>
      </c>
      <c r="K2338" t="s">
        <v>8131</v>
      </c>
    </row>
    <row r="2339" spans="1:11" x14ac:dyDescent="0.25">
      <c r="A2339" t="s">
        <v>7754</v>
      </c>
      <c r="B2339" t="s">
        <v>7755</v>
      </c>
      <c r="C2339" t="s">
        <v>7756</v>
      </c>
      <c r="D2339" t="s">
        <v>7757</v>
      </c>
      <c r="E2339" t="s">
        <v>14</v>
      </c>
      <c r="F2339" t="s">
        <v>15</v>
      </c>
      <c r="G2339">
        <v>15219</v>
      </c>
      <c r="H2339" t="s">
        <v>34</v>
      </c>
      <c r="I2339">
        <v>148</v>
      </c>
      <c r="J2339">
        <v>1</v>
      </c>
      <c r="K2339" t="s">
        <v>8131</v>
      </c>
    </row>
    <row r="2340" spans="1:11" x14ac:dyDescent="0.25">
      <c r="A2340" t="s">
        <v>7758</v>
      </c>
      <c r="B2340" t="s">
        <v>1881</v>
      </c>
      <c r="C2340" t="s">
        <v>7759</v>
      </c>
      <c r="D2340" t="s">
        <v>7760</v>
      </c>
      <c r="E2340" t="s">
        <v>14</v>
      </c>
      <c r="F2340" t="s">
        <v>15</v>
      </c>
      <c r="G2340">
        <v>15212</v>
      </c>
      <c r="H2340" t="s">
        <v>16</v>
      </c>
      <c r="I2340">
        <v>192</v>
      </c>
      <c r="J2340">
        <v>1</v>
      </c>
      <c r="K2340" t="s">
        <v>8131</v>
      </c>
    </row>
    <row r="2341" spans="1:11" x14ac:dyDescent="0.25">
      <c r="A2341" t="s">
        <v>7761</v>
      </c>
      <c r="B2341" t="s">
        <v>1112</v>
      </c>
      <c r="C2341" t="s">
        <v>7762</v>
      </c>
      <c r="D2341" t="s">
        <v>7763</v>
      </c>
      <c r="E2341" t="s">
        <v>14</v>
      </c>
      <c r="F2341" t="s">
        <v>15</v>
      </c>
      <c r="G2341">
        <v>15213</v>
      </c>
      <c r="H2341" t="s">
        <v>34</v>
      </c>
      <c r="I2341">
        <v>26</v>
      </c>
      <c r="J2341">
        <v>0</v>
      </c>
      <c r="K2341" t="s">
        <v>8131</v>
      </c>
    </row>
    <row r="2342" spans="1:11" x14ac:dyDescent="0.25">
      <c r="A2342" t="s">
        <v>7764</v>
      </c>
      <c r="B2342" t="s">
        <v>65</v>
      </c>
      <c r="C2342" t="s">
        <v>208</v>
      </c>
      <c r="D2342" t="s">
        <v>7765</v>
      </c>
      <c r="E2342" t="s">
        <v>14</v>
      </c>
      <c r="F2342" t="s">
        <v>15</v>
      </c>
      <c r="G2342">
        <v>15215</v>
      </c>
      <c r="H2342" t="s">
        <v>113</v>
      </c>
      <c r="I2342">
        <v>3</v>
      </c>
      <c r="J2342">
        <v>1</v>
      </c>
      <c r="K2342" t="s">
        <v>8131</v>
      </c>
    </row>
    <row r="2343" spans="1:11" x14ac:dyDescent="0.25">
      <c r="A2343" t="e">
        <f>-nHkhiuerqmfBG3v2v9O-g</f>
        <v>#NAME?</v>
      </c>
      <c r="B2343" t="s">
        <v>7766</v>
      </c>
      <c r="C2343" t="s">
        <v>479</v>
      </c>
      <c r="D2343" t="s">
        <v>7767</v>
      </c>
      <c r="E2343" t="s">
        <v>14</v>
      </c>
      <c r="F2343" t="s">
        <v>15</v>
      </c>
      <c r="G2343">
        <v>15236</v>
      </c>
      <c r="H2343" t="s">
        <v>43</v>
      </c>
      <c r="I2343">
        <v>5</v>
      </c>
      <c r="J2343">
        <v>0</v>
      </c>
      <c r="K2343" t="s">
        <v>8131</v>
      </c>
    </row>
    <row r="2344" spans="1:11" x14ac:dyDescent="0.25">
      <c r="A2344" t="s">
        <v>7768</v>
      </c>
      <c r="B2344" t="s">
        <v>7769</v>
      </c>
      <c r="C2344" t="s">
        <v>6067</v>
      </c>
      <c r="D2344" t="s">
        <v>7770</v>
      </c>
      <c r="E2344" t="s">
        <v>14</v>
      </c>
      <c r="F2344" t="s">
        <v>15</v>
      </c>
      <c r="G2344">
        <v>15222</v>
      </c>
      <c r="H2344" t="s">
        <v>34</v>
      </c>
      <c r="I2344">
        <v>179</v>
      </c>
      <c r="J2344">
        <v>1</v>
      </c>
      <c r="K2344" t="s">
        <v>8131</v>
      </c>
    </row>
    <row r="2345" spans="1:11" x14ac:dyDescent="0.25">
      <c r="A2345" t="e">
        <f>-zu_7iWh5CnV9kEQyCDAQQ</f>
        <v>#NAME?</v>
      </c>
      <c r="B2345" t="s">
        <v>2082</v>
      </c>
      <c r="C2345" t="s">
        <v>7771</v>
      </c>
      <c r="D2345" t="s">
        <v>7435</v>
      </c>
      <c r="E2345" t="s">
        <v>14</v>
      </c>
      <c r="F2345" t="s">
        <v>15</v>
      </c>
      <c r="G2345">
        <v>15211</v>
      </c>
      <c r="H2345" t="s">
        <v>34</v>
      </c>
      <c r="I2345">
        <v>28</v>
      </c>
      <c r="J2345">
        <v>0</v>
      </c>
      <c r="K2345" t="s">
        <v>8131</v>
      </c>
    </row>
    <row r="2346" spans="1:11" x14ac:dyDescent="0.25">
      <c r="A2346" t="s">
        <v>7772</v>
      </c>
      <c r="B2346" t="s">
        <v>586</v>
      </c>
      <c r="C2346" t="s">
        <v>7773</v>
      </c>
      <c r="D2346" t="s">
        <v>7774</v>
      </c>
      <c r="E2346" t="s">
        <v>14</v>
      </c>
      <c r="F2346" t="s">
        <v>15</v>
      </c>
      <c r="G2346">
        <v>15222</v>
      </c>
      <c r="H2346" t="s">
        <v>43</v>
      </c>
      <c r="I2346">
        <v>103</v>
      </c>
      <c r="J2346">
        <v>0</v>
      </c>
      <c r="K2346" t="s">
        <v>8131</v>
      </c>
    </row>
    <row r="2347" spans="1:11" x14ac:dyDescent="0.25">
      <c r="A2347" t="s">
        <v>7775</v>
      </c>
      <c r="B2347" t="s">
        <v>7776</v>
      </c>
      <c r="C2347" t="s">
        <v>46</v>
      </c>
      <c r="D2347" t="s">
        <v>7777</v>
      </c>
      <c r="E2347" t="s">
        <v>14</v>
      </c>
      <c r="F2347" t="s">
        <v>15</v>
      </c>
      <c r="G2347">
        <v>15222</v>
      </c>
      <c r="H2347" t="s">
        <v>34</v>
      </c>
      <c r="I2347">
        <v>108</v>
      </c>
      <c r="J2347">
        <v>1</v>
      </c>
      <c r="K2347" t="s">
        <v>8131</v>
      </c>
    </row>
    <row r="2348" spans="1:11" x14ac:dyDescent="0.25">
      <c r="A2348" t="s">
        <v>7778</v>
      </c>
      <c r="B2348" t="s">
        <v>65</v>
      </c>
      <c r="C2348" t="s">
        <v>208</v>
      </c>
      <c r="D2348" t="s">
        <v>7779</v>
      </c>
      <c r="E2348" t="s">
        <v>14</v>
      </c>
      <c r="F2348" t="s">
        <v>15</v>
      </c>
      <c r="G2348">
        <v>15223</v>
      </c>
      <c r="H2348" t="s">
        <v>43</v>
      </c>
      <c r="I2348">
        <v>4</v>
      </c>
      <c r="J2348">
        <v>1</v>
      </c>
      <c r="K2348" t="s">
        <v>8131</v>
      </c>
    </row>
    <row r="2349" spans="1:11" x14ac:dyDescent="0.25">
      <c r="A2349" t="s">
        <v>7780</v>
      </c>
      <c r="B2349" t="s">
        <v>7781</v>
      </c>
      <c r="C2349" t="s">
        <v>7782</v>
      </c>
      <c r="D2349" t="s">
        <v>7783</v>
      </c>
      <c r="E2349" t="s">
        <v>14</v>
      </c>
      <c r="F2349" t="s">
        <v>15</v>
      </c>
      <c r="G2349">
        <v>15217</v>
      </c>
      <c r="H2349" t="s">
        <v>48</v>
      </c>
      <c r="I2349">
        <v>23</v>
      </c>
      <c r="J2349">
        <v>1</v>
      </c>
      <c r="K2349" t="s">
        <v>8131</v>
      </c>
    </row>
    <row r="2350" spans="1:11" x14ac:dyDescent="0.25">
      <c r="A2350" t="s">
        <v>7784</v>
      </c>
      <c r="B2350" t="s">
        <v>7785</v>
      </c>
      <c r="C2350" t="s">
        <v>7786</v>
      </c>
      <c r="D2350" t="s">
        <v>2921</v>
      </c>
      <c r="E2350" t="s">
        <v>14</v>
      </c>
      <c r="F2350" t="s">
        <v>15</v>
      </c>
      <c r="G2350">
        <v>15203</v>
      </c>
      <c r="H2350" t="s">
        <v>16</v>
      </c>
      <c r="I2350">
        <v>138</v>
      </c>
      <c r="J2350">
        <v>1</v>
      </c>
      <c r="K2350" t="s">
        <v>8131</v>
      </c>
    </row>
    <row r="2351" spans="1:11" x14ac:dyDescent="0.25">
      <c r="A2351" t="s">
        <v>7787</v>
      </c>
      <c r="B2351" t="s">
        <v>7788</v>
      </c>
      <c r="C2351" t="s">
        <v>1802</v>
      </c>
      <c r="D2351" t="s">
        <v>7789</v>
      </c>
      <c r="E2351" t="s">
        <v>14</v>
      </c>
      <c r="F2351" t="s">
        <v>15</v>
      </c>
      <c r="G2351">
        <v>15205</v>
      </c>
      <c r="H2351" t="s">
        <v>48</v>
      </c>
      <c r="I2351">
        <v>37</v>
      </c>
      <c r="J2351">
        <v>1</v>
      </c>
      <c r="K2351" t="s">
        <v>8131</v>
      </c>
    </row>
    <row r="2352" spans="1:11" x14ac:dyDescent="0.25">
      <c r="A2352" t="s">
        <v>7790</v>
      </c>
      <c r="B2352" t="s">
        <v>7791</v>
      </c>
      <c r="C2352" t="s">
        <v>7792</v>
      </c>
      <c r="D2352" t="s">
        <v>7793</v>
      </c>
      <c r="E2352" t="s">
        <v>14</v>
      </c>
      <c r="F2352" t="s">
        <v>15</v>
      </c>
      <c r="G2352">
        <v>15203</v>
      </c>
      <c r="H2352" t="s">
        <v>34</v>
      </c>
      <c r="I2352">
        <v>78</v>
      </c>
      <c r="J2352">
        <v>0</v>
      </c>
      <c r="K2352" t="s">
        <v>8131</v>
      </c>
    </row>
    <row r="2353" spans="1:11" x14ac:dyDescent="0.25">
      <c r="A2353" t="s">
        <v>7794</v>
      </c>
      <c r="B2353" t="s">
        <v>7795</v>
      </c>
      <c r="C2353" t="s">
        <v>7796</v>
      </c>
      <c r="D2353" t="s">
        <v>7797</v>
      </c>
      <c r="E2353" t="s">
        <v>14</v>
      </c>
      <c r="F2353" t="s">
        <v>15</v>
      </c>
      <c r="G2353">
        <v>15205</v>
      </c>
      <c r="H2353" t="s">
        <v>48</v>
      </c>
      <c r="I2353">
        <v>15</v>
      </c>
      <c r="J2353">
        <v>1</v>
      </c>
      <c r="K2353" t="s">
        <v>8131</v>
      </c>
    </row>
    <row r="2354" spans="1:11" x14ac:dyDescent="0.25">
      <c r="A2354" t="s">
        <v>7798</v>
      </c>
      <c r="B2354" t="s">
        <v>7799</v>
      </c>
      <c r="C2354" t="s">
        <v>7800</v>
      </c>
      <c r="D2354" t="s">
        <v>4782</v>
      </c>
      <c r="E2354" t="s">
        <v>14</v>
      </c>
      <c r="F2354" t="s">
        <v>15</v>
      </c>
      <c r="G2354">
        <v>15228</v>
      </c>
      <c r="H2354" t="s">
        <v>48</v>
      </c>
      <c r="I2354">
        <v>67</v>
      </c>
      <c r="J2354">
        <v>1</v>
      </c>
      <c r="K2354" t="s">
        <v>8131</v>
      </c>
    </row>
    <row r="2355" spans="1:11" x14ac:dyDescent="0.25">
      <c r="A2355" t="s">
        <v>7801</v>
      </c>
      <c r="B2355" t="s">
        <v>7802</v>
      </c>
      <c r="C2355" t="s">
        <v>7803</v>
      </c>
      <c r="D2355" t="s">
        <v>7804</v>
      </c>
      <c r="E2355" t="s">
        <v>14</v>
      </c>
      <c r="F2355" t="s">
        <v>15</v>
      </c>
      <c r="G2355">
        <v>15203</v>
      </c>
      <c r="H2355" t="s">
        <v>48</v>
      </c>
      <c r="I2355">
        <v>156</v>
      </c>
      <c r="J2355">
        <v>1</v>
      </c>
      <c r="K2355" t="s">
        <v>8131</v>
      </c>
    </row>
    <row r="2356" spans="1:11" x14ac:dyDescent="0.25">
      <c r="A2356" t="s">
        <v>7805</v>
      </c>
      <c r="B2356" t="s">
        <v>335</v>
      </c>
      <c r="C2356" t="s">
        <v>7806</v>
      </c>
      <c r="D2356" t="s">
        <v>2202</v>
      </c>
      <c r="E2356" t="s">
        <v>14</v>
      </c>
      <c r="F2356" t="s">
        <v>15</v>
      </c>
      <c r="G2356">
        <v>15203</v>
      </c>
      <c r="H2356" t="s">
        <v>21</v>
      </c>
      <c r="I2356">
        <v>3</v>
      </c>
      <c r="J2356">
        <v>0</v>
      </c>
      <c r="K2356" t="s">
        <v>8131</v>
      </c>
    </row>
    <row r="2357" spans="1:11" x14ac:dyDescent="0.25">
      <c r="A2357" t="s">
        <v>7807</v>
      </c>
      <c r="B2357" t="s">
        <v>7808</v>
      </c>
      <c r="C2357" t="s">
        <v>7809</v>
      </c>
      <c r="D2357" t="s">
        <v>5916</v>
      </c>
      <c r="E2357" t="s">
        <v>14</v>
      </c>
      <c r="F2357" t="s">
        <v>15</v>
      </c>
      <c r="G2357">
        <v>15220</v>
      </c>
      <c r="H2357" t="s">
        <v>16</v>
      </c>
      <c r="I2357">
        <v>61</v>
      </c>
      <c r="J2357">
        <v>0</v>
      </c>
      <c r="K2357" t="s">
        <v>8131</v>
      </c>
    </row>
    <row r="2358" spans="1:11" x14ac:dyDescent="0.25">
      <c r="A2358" t="s">
        <v>7810</v>
      </c>
      <c r="B2358" t="s">
        <v>319</v>
      </c>
      <c r="C2358" t="s">
        <v>7811</v>
      </c>
      <c r="D2358" t="s">
        <v>1968</v>
      </c>
      <c r="E2358" t="s">
        <v>14</v>
      </c>
      <c r="F2358" t="s">
        <v>15</v>
      </c>
      <c r="G2358">
        <v>15201</v>
      </c>
      <c r="H2358" t="s">
        <v>48</v>
      </c>
      <c r="I2358">
        <v>4</v>
      </c>
      <c r="J2358">
        <v>0</v>
      </c>
      <c r="K2358" t="s">
        <v>8131</v>
      </c>
    </row>
    <row r="2359" spans="1:11" x14ac:dyDescent="0.25">
      <c r="A2359" t="s">
        <v>7812</v>
      </c>
      <c r="B2359" t="s">
        <v>7813</v>
      </c>
      <c r="C2359" t="s">
        <v>7814</v>
      </c>
      <c r="E2359" t="s">
        <v>14</v>
      </c>
      <c r="F2359" t="s">
        <v>15</v>
      </c>
      <c r="G2359">
        <v>15222</v>
      </c>
      <c r="H2359" t="s">
        <v>21</v>
      </c>
      <c r="I2359">
        <v>28</v>
      </c>
      <c r="J2359">
        <v>1</v>
      </c>
      <c r="K2359" t="s">
        <v>8131</v>
      </c>
    </row>
    <row r="2360" spans="1:11" x14ac:dyDescent="0.25">
      <c r="A2360" t="s">
        <v>7815</v>
      </c>
      <c r="B2360" t="s">
        <v>36</v>
      </c>
      <c r="C2360" t="s">
        <v>1971</v>
      </c>
      <c r="D2360" t="s">
        <v>7816</v>
      </c>
      <c r="E2360" t="s">
        <v>14</v>
      </c>
      <c r="F2360" t="s">
        <v>15</v>
      </c>
      <c r="G2360">
        <v>15206</v>
      </c>
      <c r="H2360" t="s">
        <v>48</v>
      </c>
      <c r="I2360">
        <v>59</v>
      </c>
      <c r="J2360">
        <v>0</v>
      </c>
      <c r="K2360" t="s">
        <v>8131</v>
      </c>
    </row>
    <row r="2361" spans="1:11" x14ac:dyDescent="0.25">
      <c r="A2361" t="s">
        <v>7817</v>
      </c>
      <c r="B2361" t="s">
        <v>7818</v>
      </c>
      <c r="C2361" t="s">
        <v>7819</v>
      </c>
      <c r="D2361" t="s">
        <v>7820</v>
      </c>
      <c r="E2361" t="s">
        <v>14</v>
      </c>
      <c r="F2361" t="s">
        <v>15</v>
      </c>
      <c r="G2361">
        <v>15205</v>
      </c>
      <c r="H2361" t="s">
        <v>16</v>
      </c>
      <c r="I2361">
        <v>29</v>
      </c>
      <c r="J2361">
        <v>1</v>
      </c>
      <c r="K2361" t="s">
        <v>8131</v>
      </c>
    </row>
    <row r="2362" spans="1:11" x14ac:dyDescent="0.25">
      <c r="A2362" t="s">
        <v>7821</v>
      </c>
      <c r="B2362" t="s">
        <v>2149</v>
      </c>
      <c r="C2362" t="s">
        <v>7822</v>
      </c>
      <c r="D2362" t="s">
        <v>386</v>
      </c>
      <c r="E2362" t="s">
        <v>14</v>
      </c>
      <c r="F2362" t="s">
        <v>15</v>
      </c>
      <c r="G2362">
        <v>15222</v>
      </c>
      <c r="H2362" t="s">
        <v>48</v>
      </c>
      <c r="I2362">
        <v>56</v>
      </c>
      <c r="J2362">
        <v>0</v>
      </c>
      <c r="K2362" t="s">
        <v>8131</v>
      </c>
    </row>
    <row r="2363" spans="1:11" x14ac:dyDescent="0.25">
      <c r="A2363" t="s">
        <v>7823</v>
      </c>
      <c r="B2363" t="s">
        <v>7824</v>
      </c>
      <c r="C2363" t="s">
        <v>419</v>
      </c>
      <c r="D2363" t="s">
        <v>7825</v>
      </c>
      <c r="E2363" t="s">
        <v>14</v>
      </c>
      <c r="F2363" t="s">
        <v>15</v>
      </c>
      <c r="G2363">
        <v>15237</v>
      </c>
      <c r="H2363" t="s">
        <v>113</v>
      </c>
      <c r="I2363">
        <v>5</v>
      </c>
      <c r="J2363">
        <v>1</v>
      </c>
      <c r="K2363" t="s">
        <v>8131</v>
      </c>
    </row>
    <row r="2364" spans="1:11" x14ac:dyDescent="0.25">
      <c r="A2364" t="s">
        <v>7826</v>
      </c>
      <c r="B2364" t="s">
        <v>7827</v>
      </c>
      <c r="C2364" t="s">
        <v>7828</v>
      </c>
      <c r="D2364" t="s">
        <v>7829</v>
      </c>
      <c r="E2364" t="s">
        <v>14</v>
      </c>
      <c r="F2364" t="s">
        <v>15</v>
      </c>
      <c r="G2364">
        <v>15203</v>
      </c>
      <c r="H2364" t="s">
        <v>48</v>
      </c>
      <c r="I2364">
        <v>3</v>
      </c>
      <c r="J2364">
        <v>0</v>
      </c>
      <c r="K2364" t="s">
        <v>8131</v>
      </c>
    </row>
    <row r="2365" spans="1:11" x14ac:dyDescent="0.25">
      <c r="A2365" t="s">
        <v>7830</v>
      </c>
      <c r="B2365" t="s">
        <v>7831</v>
      </c>
      <c r="C2365" t="s">
        <v>7832</v>
      </c>
      <c r="D2365" t="s">
        <v>1063</v>
      </c>
      <c r="E2365" t="s">
        <v>14</v>
      </c>
      <c r="F2365" t="s">
        <v>15</v>
      </c>
      <c r="G2365">
        <v>15203</v>
      </c>
      <c r="H2365" t="s">
        <v>43</v>
      </c>
      <c r="I2365">
        <v>16</v>
      </c>
      <c r="J2365">
        <v>0</v>
      </c>
      <c r="K2365" t="s">
        <v>8131</v>
      </c>
    </row>
    <row r="2366" spans="1:11" x14ac:dyDescent="0.25">
      <c r="A2366" t="s">
        <v>7833</v>
      </c>
      <c r="B2366" t="s">
        <v>7834</v>
      </c>
      <c r="C2366" t="s">
        <v>7835</v>
      </c>
      <c r="D2366" t="s">
        <v>7417</v>
      </c>
      <c r="E2366" t="s">
        <v>14</v>
      </c>
      <c r="F2366" t="s">
        <v>15</v>
      </c>
      <c r="G2366">
        <v>15205</v>
      </c>
      <c r="H2366" t="s">
        <v>16</v>
      </c>
      <c r="I2366">
        <v>21</v>
      </c>
      <c r="J2366">
        <v>1</v>
      </c>
      <c r="K2366" t="s">
        <v>8131</v>
      </c>
    </row>
    <row r="2367" spans="1:11" x14ac:dyDescent="0.25">
      <c r="A2367" t="s">
        <v>7836</v>
      </c>
      <c r="B2367" t="s">
        <v>7837</v>
      </c>
      <c r="C2367" t="s">
        <v>7838</v>
      </c>
      <c r="D2367" t="s">
        <v>7839</v>
      </c>
      <c r="E2367" t="s">
        <v>14</v>
      </c>
      <c r="F2367" t="s">
        <v>15</v>
      </c>
      <c r="G2367">
        <v>15203</v>
      </c>
      <c r="H2367" t="s">
        <v>48</v>
      </c>
      <c r="I2367">
        <v>65</v>
      </c>
      <c r="J2367">
        <v>1</v>
      </c>
      <c r="K2367" t="s">
        <v>8131</v>
      </c>
    </row>
    <row r="2368" spans="1:11" x14ac:dyDescent="0.25">
      <c r="A2368" t="s">
        <v>7840</v>
      </c>
      <c r="B2368" t="s">
        <v>1664</v>
      </c>
      <c r="C2368" t="s">
        <v>7841</v>
      </c>
      <c r="D2368" t="s">
        <v>7842</v>
      </c>
      <c r="E2368" t="s">
        <v>14</v>
      </c>
      <c r="F2368" t="s">
        <v>15</v>
      </c>
      <c r="G2368">
        <v>15222</v>
      </c>
      <c r="H2368" t="s">
        <v>16</v>
      </c>
      <c r="I2368">
        <v>129</v>
      </c>
      <c r="J2368">
        <v>0</v>
      </c>
      <c r="K2368" t="s">
        <v>8131</v>
      </c>
    </row>
    <row r="2369" spans="1:11" x14ac:dyDescent="0.25">
      <c r="A2369" t="s">
        <v>7843</v>
      </c>
      <c r="B2369" t="s">
        <v>319</v>
      </c>
      <c r="C2369" t="s">
        <v>7844</v>
      </c>
      <c r="D2369" t="s">
        <v>249</v>
      </c>
      <c r="E2369" t="s">
        <v>14</v>
      </c>
      <c r="F2369" t="s">
        <v>15</v>
      </c>
      <c r="G2369">
        <v>15216</v>
      </c>
      <c r="H2369" t="s">
        <v>92</v>
      </c>
      <c r="I2369">
        <v>3</v>
      </c>
      <c r="J2369">
        <v>0</v>
      </c>
      <c r="K2369" t="s">
        <v>8131</v>
      </c>
    </row>
    <row r="2370" spans="1:11" x14ac:dyDescent="0.25">
      <c r="A2370" t="s">
        <v>7845</v>
      </c>
      <c r="B2370" t="s">
        <v>7846</v>
      </c>
      <c r="C2370" t="s">
        <v>7847</v>
      </c>
      <c r="D2370" t="s">
        <v>7848</v>
      </c>
      <c r="E2370" t="s">
        <v>14</v>
      </c>
      <c r="F2370" t="s">
        <v>15</v>
      </c>
      <c r="G2370">
        <v>15234</v>
      </c>
      <c r="H2370" t="s">
        <v>48</v>
      </c>
      <c r="I2370">
        <v>11</v>
      </c>
      <c r="J2370">
        <v>1</v>
      </c>
      <c r="K2370" t="s">
        <v>8131</v>
      </c>
    </row>
    <row r="2371" spans="1:11" x14ac:dyDescent="0.25">
      <c r="A2371" t="s">
        <v>7849</v>
      </c>
      <c r="B2371" t="s">
        <v>7537</v>
      </c>
      <c r="C2371" t="s">
        <v>7850</v>
      </c>
      <c r="D2371" t="s">
        <v>7287</v>
      </c>
      <c r="E2371" t="s">
        <v>14</v>
      </c>
      <c r="F2371" t="s">
        <v>15</v>
      </c>
      <c r="G2371">
        <v>15213</v>
      </c>
      <c r="H2371" t="s">
        <v>34</v>
      </c>
      <c r="I2371">
        <v>4</v>
      </c>
      <c r="J2371">
        <v>0</v>
      </c>
      <c r="K2371" t="s">
        <v>8131</v>
      </c>
    </row>
    <row r="2372" spans="1:11" x14ac:dyDescent="0.25">
      <c r="A2372" t="s">
        <v>7851</v>
      </c>
      <c r="B2372" t="s">
        <v>7852</v>
      </c>
      <c r="C2372" t="s">
        <v>7853</v>
      </c>
      <c r="D2372" t="s">
        <v>7854</v>
      </c>
      <c r="E2372" t="s">
        <v>14</v>
      </c>
      <c r="F2372" t="s">
        <v>15</v>
      </c>
      <c r="G2372">
        <v>15206</v>
      </c>
      <c r="H2372" t="s">
        <v>16</v>
      </c>
      <c r="I2372">
        <v>100</v>
      </c>
      <c r="J2372">
        <v>1</v>
      </c>
      <c r="K2372" t="s">
        <v>8131</v>
      </c>
    </row>
    <row r="2373" spans="1:11" x14ac:dyDescent="0.25">
      <c r="A2373" t="s">
        <v>7855</v>
      </c>
      <c r="B2373" t="s">
        <v>119</v>
      </c>
      <c r="C2373" t="s">
        <v>7856</v>
      </c>
      <c r="D2373" t="s">
        <v>7857</v>
      </c>
      <c r="E2373" t="s">
        <v>14</v>
      </c>
      <c r="F2373" t="s">
        <v>15</v>
      </c>
      <c r="G2373">
        <v>15215</v>
      </c>
      <c r="H2373" t="s">
        <v>48</v>
      </c>
      <c r="I2373">
        <v>46</v>
      </c>
      <c r="J2373">
        <v>1</v>
      </c>
      <c r="K2373" t="s">
        <v>8131</v>
      </c>
    </row>
    <row r="2374" spans="1:11" x14ac:dyDescent="0.25">
      <c r="A2374" t="s">
        <v>7858</v>
      </c>
      <c r="B2374" t="s">
        <v>282</v>
      </c>
      <c r="C2374" t="s">
        <v>796</v>
      </c>
      <c r="D2374" t="s">
        <v>986</v>
      </c>
      <c r="E2374" t="s">
        <v>14</v>
      </c>
      <c r="F2374" t="s">
        <v>15</v>
      </c>
      <c r="G2374">
        <v>15217</v>
      </c>
      <c r="H2374" t="s">
        <v>113</v>
      </c>
      <c r="I2374">
        <v>3</v>
      </c>
      <c r="J2374">
        <v>1</v>
      </c>
      <c r="K2374" t="s">
        <v>8131</v>
      </c>
    </row>
    <row r="2375" spans="1:11" x14ac:dyDescent="0.25">
      <c r="A2375" t="s">
        <v>7859</v>
      </c>
      <c r="B2375" t="s">
        <v>267</v>
      </c>
      <c r="C2375" t="s">
        <v>7860</v>
      </c>
      <c r="D2375" t="s">
        <v>1238</v>
      </c>
      <c r="E2375" t="s">
        <v>14</v>
      </c>
      <c r="F2375" t="s">
        <v>15</v>
      </c>
      <c r="G2375">
        <v>15212</v>
      </c>
      <c r="H2375" t="s">
        <v>48</v>
      </c>
      <c r="I2375">
        <v>22</v>
      </c>
      <c r="J2375">
        <v>1</v>
      </c>
      <c r="K2375" t="s">
        <v>8131</v>
      </c>
    </row>
    <row r="2376" spans="1:11" x14ac:dyDescent="0.25">
      <c r="A2376" t="s">
        <v>7861</v>
      </c>
      <c r="B2376" t="s">
        <v>7862</v>
      </c>
      <c r="C2376" t="s">
        <v>7863</v>
      </c>
      <c r="D2376" t="s">
        <v>2628</v>
      </c>
      <c r="E2376" t="s">
        <v>14</v>
      </c>
      <c r="F2376" t="s">
        <v>15</v>
      </c>
      <c r="G2376">
        <v>15224</v>
      </c>
      <c r="H2376" t="s">
        <v>48</v>
      </c>
      <c r="I2376">
        <v>38</v>
      </c>
      <c r="J2376">
        <v>1</v>
      </c>
      <c r="K2376" t="s">
        <v>8131</v>
      </c>
    </row>
    <row r="2377" spans="1:11" x14ac:dyDescent="0.25">
      <c r="A2377" t="s">
        <v>7864</v>
      </c>
      <c r="B2377" t="s">
        <v>7865</v>
      </c>
      <c r="C2377" t="s">
        <v>7866</v>
      </c>
      <c r="D2377" t="s">
        <v>7867</v>
      </c>
      <c r="E2377" t="s">
        <v>14</v>
      </c>
      <c r="F2377" t="s">
        <v>15</v>
      </c>
      <c r="G2377">
        <v>15216</v>
      </c>
      <c r="H2377" t="s">
        <v>34</v>
      </c>
      <c r="I2377">
        <v>27</v>
      </c>
      <c r="J2377">
        <v>1</v>
      </c>
      <c r="K2377" t="s">
        <v>8131</v>
      </c>
    </row>
    <row r="2378" spans="1:11" x14ac:dyDescent="0.25">
      <c r="A2378" t="s">
        <v>7868</v>
      </c>
      <c r="B2378" t="s">
        <v>2752</v>
      </c>
      <c r="C2378" t="s">
        <v>4592</v>
      </c>
      <c r="D2378" t="s">
        <v>7869</v>
      </c>
      <c r="E2378" t="s">
        <v>14</v>
      </c>
      <c r="F2378" t="s">
        <v>15</v>
      </c>
      <c r="G2378">
        <v>15214</v>
      </c>
      <c r="H2378" t="s">
        <v>21</v>
      </c>
      <c r="I2378">
        <v>16</v>
      </c>
      <c r="J2378">
        <v>1</v>
      </c>
      <c r="K2378" t="s">
        <v>8131</v>
      </c>
    </row>
    <row r="2379" spans="1:11" x14ac:dyDescent="0.25">
      <c r="A2379" t="s">
        <v>7870</v>
      </c>
      <c r="B2379" t="s">
        <v>7871</v>
      </c>
      <c r="C2379" t="s">
        <v>7872</v>
      </c>
      <c r="D2379" t="s">
        <v>7873</v>
      </c>
      <c r="E2379" t="s">
        <v>14</v>
      </c>
      <c r="F2379" t="s">
        <v>15</v>
      </c>
      <c r="G2379">
        <v>15219</v>
      </c>
      <c r="H2379" t="s">
        <v>16</v>
      </c>
      <c r="I2379">
        <v>140</v>
      </c>
      <c r="J2379">
        <v>1</v>
      </c>
      <c r="K2379" t="s">
        <v>8131</v>
      </c>
    </row>
    <row r="2380" spans="1:11" x14ac:dyDescent="0.25">
      <c r="A2380" t="s">
        <v>7874</v>
      </c>
      <c r="B2380" t="s">
        <v>7875</v>
      </c>
      <c r="C2380" t="s">
        <v>4605</v>
      </c>
      <c r="D2380" t="s">
        <v>1924</v>
      </c>
      <c r="E2380" t="s">
        <v>14</v>
      </c>
      <c r="F2380" t="s">
        <v>15</v>
      </c>
      <c r="G2380">
        <v>15231</v>
      </c>
      <c r="H2380" t="s">
        <v>48</v>
      </c>
      <c r="I2380">
        <v>490</v>
      </c>
      <c r="J2380">
        <v>1</v>
      </c>
      <c r="K2380" t="s">
        <v>8131</v>
      </c>
    </row>
    <row r="2381" spans="1:11" x14ac:dyDescent="0.25">
      <c r="A2381" t="s">
        <v>7876</v>
      </c>
      <c r="B2381" t="s">
        <v>7877</v>
      </c>
      <c r="C2381" t="s">
        <v>7878</v>
      </c>
      <c r="D2381" t="s">
        <v>7879</v>
      </c>
      <c r="E2381" t="s">
        <v>14</v>
      </c>
      <c r="F2381" t="s">
        <v>15</v>
      </c>
      <c r="G2381">
        <v>15222</v>
      </c>
      <c r="H2381" t="s">
        <v>21</v>
      </c>
      <c r="I2381">
        <v>71</v>
      </c>
      <c r="J2381">
        <v>1</v>
      </c>
      <c r="K2381" t="s">
        <v>8131</v>
      </c>
    </row>
    <row r="2382" spans="1:11" x14ac:dyDescent="0.25">
      <c r="A2382" t="s">
        <v>7880</v>
      </c>
      <c r="B2382" t="s">
        <v>7881</v>
      </c>
      <c r="C2382" t="s">
        <v>5617</v>
      </c>
      <c r="D2382" t="s">
        <v>7882</v>
      </c>
      <c r="E2382" t="s">
        <v>14</v>
      </c>
      <c r="F2382" t="s">
        <v>15</v>
      </c>
      <c r="G2382">
        <v>15217</v>
      </c>
      <c r="H2382" t="s">
        <v>43</v>
      </c>
      <c r="I2382">
        <v>79</v>
      </c>
      <c r="J2382">
        <v>1</v>
      </c>
      <c r="K2382" t="s">
        <v>8131</v>
      </c>
    </row>
    <row r="2383" spans="1:11" x14ac:dyDescent="0.25">
      <c r="A2383" t="s">
        <v>7883</v>
      </c>
      <c r="B2383" t="s">
        <v>319</v>
      </c>
      <c r="C2383" t="s">
        <v>7884</v>
      </c>
      <c r="D2383" t="s">
        <v>2539</v>
      </c>
      <c r="E2383" t="s">
        <v>14</v>
      </c>
      <c r="F2383" t="s">
        <v>15</v>
      </c>
      <c r="G2383">
        <v>15289</v>
      </c>
      <c r="H2383" t="s">
        <v>16</v>
      </c>
      <c r="I2383">
        <v>30</v>
      </c>
      <c r="J2383">
        <v>0</v>
      </c>
      <c r="K2383" t="s">
        <v>8131</v>
      </c>
    </row>
    <row r="2384" spans="1:11" x14ac:dyDescent="0.25">
      <c r="A2384" t="s">
        <v>7885</v>
      </c>
      <c r="B2384" t="s">
        <v>7886</v>
      </c>
      <c r="C2384" t="s">
        <v>7887</v>
      </c>
      <c r="D2384" t="s">
        <v>7888</v>
      </c>
      <c r="E2384" t="s">
        <v>14</v>
      </c>
      <c r="F2384" t="s">
        <v>15</v>
      </c>
      <c r="G2384">
        <v>15213</v>
      </c>
      <c r="H2384" t="s">
        <v>21</v>
      </c>
      <c r="I2384">
        <v>10</v>
      </c>
      <c r="J2384">
        <v>0</v>
      </c>
      <c r="K2384" t="s">
        <v>8131</v>
      </c>
    </row>
    <row r="2385" spans="1:11" x14ac:dyDescent="0.25">
      <c r="A2385" t="s">
        <v>7889</v>
      </c>
      <c r="B2385" t="s">
        <v>7890</v>
      </c>
      <c r="C2385" t="s">
        <v>1020</v>
      </c>
      <c r="D2385" t="s">
        <v>7891</v>
      </c>
      <c r="E2385" t="s">
        <v>14</v>
      </c>
      <c r="F2385" t="s">
        <v>15</v>
      </c>
      <c r="G2385">
        <v>15219</v>
      </c>
      <c r="H2385" t="s">
        <v>34</v>
      </c>
      <c r="I2385">
        <v>9</v>
      </c>
      <c r="J2385">
        <v>1</v>
      </c>
      <c r="K2385" t="s">
        <v>8131</v>
      </c>
    </row>
    <row r="2386" spans="1:11" x14ac:dyDescent="0.25">
      <c r="A2386" t="s">
        <v>7892</v>
      </c>
      <c r="B2386" t="s">
        <v>7893</v>
      </c>
      <c r="C2386" t="s">
        <v>7894</v>
      </c>
      <c r="D2386" t="s">
        <v>7895</v>
      </c>
      <c r="E2386" t="s">
        <v>14</v>
      </c>
      <c r="F2386" t="s">
        <v>15</v>
      </c>
      <c r="G2386">
        <v>15237</v>
      </c>
      <c r="H2386" t="s">
        <v>48</v>
      </c>
      <c r="I2386">
        <v>71</v>
      </c>
      <c r="J2386">
        <v>1</v>
      </c>
      <c r="K2386" t="s">
        <v>8131</v>
      </c>
    </row>
    <row r="2387" spans="1:11" x14ac:dyDescent="0.25">
      <c r="A2387" t="s">
        <v>7896</v>
      </c>
      <c r="B2387" t="s">
        <v>7897</v>
      </c>
      <c r="C2387" t="s">
        <v>7898</v>
      </c>
      <c r="D2387" t="s">
        <v>7899</v>
      </c>
      <c r="E2387" t="s">
        <v>14</v>
      </c>
      <c r="F2387" t="s">
        <v>15</v>
      </c>
      <c r="G2387">
        <v>15207</v>
      </c>
      <c r="H2387" t="s">
        <v>48</v>
      </c>
      <c r="I2387">
        <v>51</v>
      </c>
      <c r="J2387">
        <v>1</v>
      </c>
      <c r="K2387" t="s">
        <v>8131</v>
      </c>
    </row>
    <row r="2388" spans="1:11" x14ac:dyDescent="0.25">
      <c r="A2388" t="s">
        <v>7900</v>
      </c>
      <c r="B2388" t="s">
        <v>1881</v>
      </c>
      <c r="C2388" t="s">
        <v>7901</v>
      </c>
      <c r="D2388" t="s">
        <v>2889</v>
      </c>
      <c r="E2388" t="s">
        <v>14</v>
      </c>
      <c r="F2388" t="s">
        <v>15</v>
      </c>
      <c r="G2388">
        <v>15211</v>
      </c>
      <c r="H2388" t="s">
        <v>113</v>
      </c>
      <c r="I2388">
        <v>52</v>
      </c>
      <c r="J2388">
        <v>1</v>
      </c>
      <c r="K2388" t="s">
        <v>8131</v>
      </c>
    </row>
    <row r="2389" spans="1:11" x14ac:dyDescent="0.25">
      <c r="A2389" t="s">
        <v>7902</v>
      </c>
      <c r="B2389" t="s">
        <v>7903</v>
      </c>
      <c r="C2389" t="s">
        <v>6420</v>
      </c>
      <c r="D2389" t="s">
        <v>6421</v>
      </c>
      <c r="E2389" t="s">
        <v>14</v>
      </c>
      <c r="F2389" t="s">
        <v>15</v>
      </c>
      <c r="G2389">
        <v>15203</v>
      </c>
      <c r="H2389" t="s">
        <v>43</v>
      </c>
      <c r="I2389">
        <v>73</v>
      </c>
      <c r="J2389">
        <v>0</v>
      </c>
      <c r="K2389" t="s">
        <v>8131</v>
      </c>
    </row>
    <row r="2390" spans="1:11" x14ac:dyDescent="0.25">
      <c r="A2390" t="s">
        <v>7904</v>
      </c>
      <c r="B2390" t="s">
        <v>7905</v>
      </c>
      <c r="C2390" t="s">
        <v>7906</v>
      </c>
      <c r="D2390" t="s">
        <v>714</v>
      </c>
      <c r="E2390" t="s">
        <v>14</v>
      </c>
      <c r="F2390" t="s">
        <v>15</v>
      </c>
      <c r="G2390">
        <v>15203</v>
      </c>
      <c r="H2390" t="s">
        <v>34</v>
      </c>
      <c r="I2390">
        <v>140</v>
      </c>
      <c r="J2390">
        <v>0</v>
      </c>
      <c r="K2390" t="s">
        <v>8131</v>
      </c>
    </row>
    <row r="2391" spans="1:11" x14ac:dyDescent="0.25">
      <c r="A2391" t="s">
        <v>7907</v>
      </c>
      <c r="B2391" t="s">
        <v>7908</v>
      </c>
      <c r="C2391" t="s">
        <v>7909</v>
      </c>
      <c r="D2391" t="s">
        <v>1515</v>
      </c>
      <c r="E2391" t="s">
        <v>14</v>
      </c>
      <c r="F2391" t="s">
        <v>15</v>
      </c>
      <c r="G2391">
        <v>15222</v>
      </c>
      <c r="H2391" t="s">
        <v>21</v>
      </c>
      <c r="I2391">
        <v>35</v>
      </c>
      <c r="J2391">
        <v>0</v>
      </c>
      <c r="K2391" t="s">
        <v>8131</v>
      </c>
    </row>
    <row r="2392" spans="1:11" x14ac:dyDescent="0.25">
      <c r="A2392" t="s">
        <v>7910</v>
      </c>
      <c r="B2392" t="s">
        <v>7911</v>
      </c>
      <c r="C2392" t="s">
        <v>7912</v>
      </c>
      <c r="D2392" t="s">
        <v>3421</v>
      </c>
      <c r="E2392" t="s">
        <v>14</v>
      </c>
      <c r="F2392" t="s">
        <v>15</v>
      </c>
      <c r="G2392">
        <v>15224</v>
      </c>
      <c r="H2392" t="s">
        <v>21</v>
      </c>
      <c r="I2392">
        <v>8</v>
      </c>
      <c r="J2392">
        <v>0</v>
      </c>
      <c r="K2392" t="s">
        <v>8131</v>
      </c>
    </row>
    <row r="2393" spans="1:11" x14ac:dyDescent="0.25">
      <c r="A2393" t="e">
        <f>-Z83meSvAH4vJ6dfO8hjUw</f>
        <v>#NAME?</v>
      </c>
      <c r="B2393" t="s">
        <v>7913</v>
      </c>
      <c r="C2393" t="s">
        <v>632</v>
      </c>
      <c r="D2393" t="s">
        <v>7914</v>
      </c>
      <c r="E2393" t="s">
        <v>14</v>
      </c>
      <c r="F2393" t="s">
        <v>15</v>
      </c>
      <c r="G2393">
        <v>15136</v>
      </c>
      <c r="H2393" t="s">
        <v>16</v>
      </c>
      <c r="I2393">
        <v>18</v>
      </c>
      <c r="J2393">
        <v>1</v>
      </c>
      <c r="K2393" t="s">
        <v>8131</v>
      </c>
    </row>
    <row r="2394" spans="1:11" x14ac:dyDescent="0.25">
      <c r="A2394" t="s">
        <v>7915</v>
      </c>
      <c r="B2394" t="s">
        <v>7916</v>
      </c>
      <c r="C2394" t="s">
        <v>7917</v>
      </c>
      <c r="D2394" t="s">
        <v>1968</v>
      </c>
      <c r="E2394" t="s">
        <v>14</v>
      </c>
      <c r="F2394" t="s">
        <v>15</v>
      </c>
      <c r="G2394">
        <v>15201</v>
      </c>
      <c r="H2394" t="s">
        <v>34</v>
      </c>
      <c r="I2394">
        <v>46</v>
      </c>
      <c r="J2394">
        <v>0</v>
      </c>
      <c r="K2394" t="s">
        <v>8131</v>
      </c>
    </row>
    <row r="2395" spans="1:11" x14ac:dyDescent="0.25">
      <c r="A2395" t="s">
        <v>7918</v>
      </c>
      <c r="B2395" t="s">
        <v>7919</v>
      </c>
      <c r="C2395" t="s">
        <v>7920</v>
      </c>
      <c r="D2395" t="s">
        <v>7921</v>
      </c>
      <c r="E2395" t="s">
        <v>14</v>
      </c>
      <c r="F2395" t="s">
        <v>15</v>
      </c>
      <c r="G2395">
        <v>15227</v>
      </c>
      <c r="H2395" t="s">
        <v>48</v>
      </c>
      <c r="I2395">
        <v>15</v>
      </c>
      <c r="J2395">
        <v>1</v>
      </c>
      <c r="K2395" t="s">
        <v>8131</v>
      </c>
    </row>
    <row r="2396" spans="1:11" x14ac:dyDescent="0.25">
      <c r="A2396" t="s">
        <v>7922</v>
      </c>
      <c r="B2396" t="s">
        <v>7923</v>
      </c>
      <c r="C2396" t="s">
        <v>7924</v>
      </c>
      <c r="D2396" t="s">
        <v>5470</v>
      </c>
      <c r="E2396" t="s">
        <v>14</v>
      </c>
      <c r="F2396" t="s">
        <v>15</v>
      </c>
      <c r="G2396">
        <v>15203</v>
      </c>
      <c r="H2396" t="s">
        <v>48</v>
      </c>
      <c r="I2396">
        <v>8</v>
      </c>
      <c r="J2396">
        <v>0</v>
      </c>
      <c r="K2396" t="s">
        <v>8131</v>
      </c>
    </row>
    <row r="2397" spans="1:11" x14ac:dyDescent="0.25">
      <c r="A2397" t="s">
        <v>7925</v>
      </c>
      <c r="B2397" t="s">
        <v>7926</v>
      </c>
      <c r="C2397" t="s">
        <v>7927</v>
      </c>
      <c r="D2397" t="s">
        <v>7928</v>
      </c>
      <c r="E2397" t="s">
        <v>14</v>
      </c>
      <c r="F2397" t="s">
        <v>15</v>
      </c>
      <c r="G2397">
        <v>15203</v>
      </c>
      <c r="H2397" t="s">
        <v>21</v>
      </c>
      <c r="I2397">
        <v>7</v>
      </c>
      <c r="J2397">
        <v>0</v>
      </c>
      <c r="K2397" t="s">
        <v>8131</v>
      </c>
    </row>
    <row r="2398" spans="1:11" x14ac:dyDescent="0.25">
      <c r="A2398" t="s">
        <v>7929</v>
      </c>
      <c r="B2398" t="s">
        <v>7930</v>
      </c>
      <c r="C2398" t="s">
        <v>7931</v>
      </c>
      <c r="D2398" t="s">
        <v>7932</v>
      </c>
      <c r="E2398" t="s">
        <v>14</v>
      </c>
      <c r="F2398" t="s">
        <v>15</v>
      </c>
      <c r="G2398">
        <v>15222</v>
      </c>
      <c r="H2398" t="s">
        <v>16</v>
      </c>
      <c r="I2398">
        <v>143</v>
      </c>
      <c r="J2398">
        <v>0</v>
      </c>
      <c r="K2398" t="s">
        <v>8131</v>
      </c>
    </row>
    <row r="2399" spans="1:11" x14ac:dyDescent="0.25">
      <c r="A2399" t="s">
        <v>7933</v>
      </c>
      <c r="B2399" t="s">
        <v>7934</v>
      </c>
      <c r="C2399" t="s">
        <v>7935</v>
      </c>
      <c r="D2399" t="s">
        <v>7936</v>
      </c>
      <c r="E2399" t="s">
        <v>14</v>
      </c>
      <c r="F2399" t="s">
        <v>15</v>
      </c>
      <c r="G2399">
        <v>15224</v>
      </c>
      <c r="H2399" t="s">
        <v>34</v>
      </c>
      <c r="I2399">
        <v>83</v>
      </c>
      <c r="J2399">
        <v>1</v>
      </c>
      <c r="K2399" t="s">
        <v>8131</v>
      </c>
    </row>
    <row r="2400" spans="1:11" x14ac:dyDescent="0.25">
      <c r="A2400" t="s">
        <v>7937</v>
      </c>
      <c r="B2400" t="s">
        <v>7938</v>
      </c>
      <c r="C2400" t="s">
        <v>7939</v>
      </c>
      <c r="D2400" t="s">
        <v>7940</v>
      </c>
      <c r="E2400" t="s">
        <v>14</v>
      </c>
      <c r="F2400" t="s">
        <v>15</v>
      </c>
      <c r="G2400">
        <v>15222</v>
      </c>
      <c r="H2400" t="s">
        <v>21</v>
      </c>
      <c r="I2400">
        <v>24</v>
      </c>
      <c r="J2400">
        <v>0</v>
      </c>
      <c r="K2400" t="s">
        <v>8131</v>
      </c>
    </row>
    <row r="2401" spans="1:11" x14ac:dyDescent="0.25">
      <c r="A2401" t="s">
        <v>7941</v>
      </c>
      <c r="B2401" t="s">
        <v>7942</v>
      </c>
      <c r="C2401" t="s">
        <v>7943</v>
      </c>
      <c r="D2401" t="s">
        <v>5696</v>
      </c>
      <c r="E2401" t="s">
        <v>14</v>
      </c>
      <c r="F2401" t="s">
        <v>15</v>
      </c>
      <c r="G2401">
        <v>15203</v>
      </c>
      <c r="H2401" t="s">
        <v>21</v>
      </c>
      <c r="I2401">
        <v>37</v>
      </c>
      <c r="J2401">
        <v>1</v>
      </c>
      <c r="K2401" t="s">
        <v>8131</v>
      </c>
    </row>
    <row r="2402" spans="1:11" x14ac:dyDescent="0.25">
      <c r="A2402" t="s">
        <v>7944</v>
      </c>
      <c r="B2402" t="s">
        <v>7945</v>
      </c>
      <c r="C2402" t="s">
        <v>7946</v>
      </c>
      <c r="D2402" t="s">
        <v>7947</v>
      </c>
      <c r="E2402" t="s">
        <v>14</v>
      </c>
      <c r="F2402" t="s">
        <v>15</v>
      </c>
      <c r="G2402">
        <v>15222</v>
      </c>
      <c r="H2402" t="s">
        <v>16</v>
      </c>
      <c r="I2402">
        <v>19</v>
      </c>
      <c r="J2402">
        <v>1</v>
      </c>
      <c r="K2402" t="s">
        <v>8131</v>
      </c>
    </row>
    <row r="2403" spans="1:11" x14ac:dyDescent="0.25">
      <c r="A2403" t="s">
        <v>7948</v>
      </c>
      <c r="B2403" t="s">
        <v>7949</v>
      </c>
      <c r="C2403" t="s">
        <v>7950</v>
      </c>
      <c r="D2403" t="s">
        <v>5148</v>
      </c>
      <c r="E2403" t="s">
        <v>14</v>
      </c>
      <c r="F2403" t="s">
        <v>15</v>
      </c>
      <c r="G2403">
        <v>15232</v>
      </c>
      <c r="H2403" t="s">
        <v>16</v>
      </c>
      <c r="I2403">
        <v>99</v>
      </c>
      <c r="J2403">
        <v>1</v>
      </c>
      <c r="K2403" t="s">
        <v>8131</v>
      </c>
    </row>
    <row r="2404" spans="1:11" x14ac:dyDescent="0.25">
      <c r="A2404" t="s">
        <v>7951</v>
      </c>
      <c r="B2404" t="s">
        <v>36</v>
      </c>
      <c r="C2404" t="s">
        <v>7952</v>
      </c>
      <c r="D2404" t="s">
        <v>7953</v>
      </c>
      <c r="E2404" t="s">
        <v>14</v>
      </c>
      <c r="F2404" t="s">
        <v>15</v>
      </c>
      <c r="G2404">
        <v>15223</v>
      </c>
      <c r="H2404" t="s">
        <v>34</v>
      </c>
      <c r="I2404">
        <v>9</v>
      </c>
      <c r="J2404">
        <v>1</v>
      </c>
      <c r="K2404" t="s">
        <v>8131</v>
      </c>
    </row>
    <row r="2405" spans="1:11" x14ac:dyDescent="0.25">
      <c r="A2405" t="s">
        <v>7954</v>
      </c>
      <c r="B2405" t="s">
        <v>7955</v>
      </c>
      <c r="C2405" t="s">
        <v>7956</v>
      </c>
      <c r="D2405" t="s">
        <v>4778</v>
      </c>
      <c r="E2405" t="s">
        <v>14</v>
      </c>
      <c r="F2405" t="s">
        <v>15</v>
      </c>
      <c r="G2405">
        <v>15219</v>
      </c>
      <c r="H2405" t="s">
        <v>16</v>
      </c>
      <c r="I2405">
        <v>544</v>
      </c>
      <c r="J2405">
        <v>1</v>
      </c>
      <c r="K2405" t="s">
        <v>8131</v>
      </c>
    </row>
    <row r="2406" spans="1:11" x14ac:dyDescent="0.25">
      <c r="A2406" t="s">
        <v>7957</v>
      </c>
      <c r="B2406" t="s">
        <v>65</v>
      </c>
      <c r="C2406" t="s">
        <v>7958</v>
      </c>
      <c r="D2406" t="s">
        <v>7959</v>
      </c>
      <c r="E2406" t="s">
        <v>14</v>
      </c>
      <c r="F2406" t="s">
        <v>15</v>
      </c>
      <c r="G2406">
        <v>15227</v>
      </c>
      <c r="H2406" t="s">
        <v>16</v>
      </c>
      <c r="I2406">
        <v>26</v>
      </c>
      <c r="J2406">
        <v>1</v>
      </c>
      <c r="K2406" t="s">
        <v>8131</v>
      </c>
    </row>
    <row r="2407" spans="1:11" x14ac:dyDescent="0.25">
      <c r="A2407" t="s">
        <v>7960</v>
      </c>
      <c r="B2407" t="s">
        <v>7961</v>
      </c>
      <c r="C2407" t="s">
        <v>7962</v>
      </c>
      <c r="D2407" t="s">
        <v>7963</v>
      </c>
      <c r="E2407" t="s">
        <v>14</v>
      </c>
      <c r="F2407" t="s">
        <v>15</v>
      </c>
      <c r="G2407">
        <v>15205</v>
      </c>
      <c r="H2407" t="s">
        <v>16</v>
      </c>
      <c r="I2407">
        <v>90</v>
      </c>
      <c r="J2407">
        <v>1</v>
      </c>
      <c r="K2407" t="s">
        <v>8131</v>
      </c>
    </row>
    <row r="2408" spans="1:11" x14ac:dyDescent="0.25">
      <c r="A2408" t="s">
        <v>7964</v>
      </c>
      <c r="B2408" t="s">
        <v>7965</v>
      </c>
      <c r="C2408" t="s">
        <v>7966</v>
      </c>
      <c r="D2408" t="s">
        <v>4909</v>
      </c>
      <c r="E2408" t="s">
        <v>14</v>
      </c>
      <c r="F2408" t="s">
        <v>15</v>
      </c>
      <c r="G2408">
        <v>15222</v>
      </c>
      <c r="H2408" t="s">
        <v>48</v>
      </c>
      <c r="I2408">
        <v>8</v>
      </c>
      <c r="J2408">
        <v>0</v>
      </c>
      <c r="K2408" t="s">
        <v>8131</v>
      </c>
    </row>
    <row r="2409" spans="1:11" x14ac:dyDescent="0.25">
      <c r="A2409" t="s">
        <v>7967</v>
      </c>
      <c r="B2409" t="s">
        <v>967</v>
      </c>
      <c r="C2409" t="s">
        <v>7968</v>
      </c>
      <c r="D2409" t="s">
        <v>5206</v>
      </c>
      <c r="E2409" t="s">
        <v>14</v>
      </c>
      <c r="F2409" t="s">
        <v>15</v>
      </c>
      <c r="G2409">
        <v>15203</v>
      </c>
      <c r="H2409" t="s">
        <v>48</v>
      </c>
      <c r="I2409">
        <v>14</v>
      </c>
      <c r="J2409">
        <v>1</v>
      </c>
      <c r="K2409" t="s">
        <v>8131</v>
      </c>
    </row>
    <row r="2410" spans="1:11" x14ac:dyDescent="0.25">
      <c r="A2410" t="s">
        <v>7969</v>
      </c>
      <c r="B2410" t="s">
        <v>7970</v>
      </c>
      <c r="C2410" t="s">
        <v>7971</v>
      </c>
      <c r="D2410" t="s">
        <v>7972</v>
      </c>
      <c r="E2410" t="s">
        <v>14</v>
      </c>
      <c r="F2410" t="s">
        <v>15</v>
      </c>
      <c r="G2410">
        <v>15232</v>
      </c>
      <c r="H2410" t="s">
        <v>48</v>
      </c>
      <c r="I2410">
        <v>94</v>
      </c>
      <c r="J2410">
        <v>1</v>
      </c>
      <c r="K2410" t="s">
        <v>8131</v>
      </c>
    </row>
    <row r="2411" spans="1:11" x14ac:dyDescent="0.25">
      <c r="A2411" t="s">
        <v>7973</v>
      </c>
      <c r="B2411" t="s">
        <v>5535</v>
      </c>
      <c r="C2411" t="s">
        <v>260</v>
      </c>
      <c r="D2411" t="s">
        <v>7674</v>
      </c>
      <c r="E2411" t="s">
        <v>14</v>
      </c>
      <c r="F2411" t="s">
        <v>15</v>
      </c>
      <c r="G2411">
        <v>15213</v>
      </c>
      <c r="H2411" t="s">
        <v>113</v>
      </c>
      <c r="I2411">
        <v>14</v>
      </c>
      <c r="J2411">
        <v>1</v>
      </c>
      <c r="K2411" t="s">
        <v>8131</v>
      </c>
    </row>
    <row r="2412" spans="1:11" x14ac:dyDescent="0.25">
      <c r="A2412" t="s">
        <v>7974</v>
      </c>
      <c r="B2412" t="s">
        <v>7975</v>
      </c>
      <c r="C2412" t="s">
        <v>7976</v>
      </c>
      <c r="D2412" t="s">
        <v>7977</v>
      </c>
      <c r="E2412" t="s">
        <v>14</v>
      </c>
      <c r="F2412" t="s">
        <v>15</v>
      </c>
      <c r="G2412">
        <v>15211</v>
      </c>
      <c r="H2412" t="s">
        <v>16</v>
      </c>
      <c r="I2412">
        <v>248</v>
      </c>
      <c r="J2412">
        <v>1</v>
      </c>
      <c r="K2412" t="s">
        <v>8131</v>
      </c>
    </row>
    <row r="2413" spans="1:11" x14ac:dyDescent="0.25">
      <c r="A2413" t="s">
        <v>7978</v>
      </c>
      <c r="B2413" t="s">
        <v>7979</v>
      </c>
      <c r="C2413" t="s">
        <v>7980</v>
      </c>
      <c r="D2413" t="s">
        <v>7981</v>
      </c>
      <c r="E2413" t="s">
        <v>14</v>
      </c>
      <c r="F2413" t="s">
        <v>15</v>
      </c>
      <c r="G2413">
        <v>15213</v>
      </c>
      <c r="H2413" t="s">
        <v>16</v>
      </c>
      <c r="I2413">
        <v>21</v>
      </c>
      <c r="J2413">
        <v>0</v>
      </c>
      <c r="K2413" t="s">
        <v>8131</v>
      </c>
    </row>
    <row r="2414" spans="1:11" x14ac:dyDescent="0.25">
      <c r="A2414" t="s">
        <v>7982</v>
      </c>
      <c r="B2414" t="s">
        <v>7983</v>
      </c>
      <c r="C2414" t="s">
        <v>7984</v>
      </c>
      <c r="D2414" t="s">
        <v>1238</v>
      </c>
      <c r="E2414" t="s">
        <v>14</v>
      </c>
      <c r="F2414" t="s">
        <v>15</v>
      </c>
      <c r="G2414">
        <v>15212</v>
      </c>
      <c r="H2414" t="s">
        <v>34</v>
      </c>
      <c r="I2414">
        <v>3</v>
      </c>
      <c r="J2414">
        <v>1</v>
      </c>
      <c r="K2414" t="s">
        <v>8131</v>
      </c>
    </row>
    <row r="2415" spans="1:11" x14ac:dyDescent="0.25">
      <c r="A2415" t="s">
        <v>7985</v>
      </c>
      <c r="B2415" t="s">
        <v>36</v>
      </c>
      <c r="C2415" t="s">
        <v>7986</v>
      </c>
      <c r="D2415" t="s">
        <v>7987</v>
      </c>
      <c r="E2415" t="s">
        <v>14</v>
      </c>
      <c r="F2415" t="s">
        <v>15</v>
      </c>
      <c r="G2415">
        <v>15213</v>
      </c>
      <c r="H2415" t="s">
        <v>43</v>
      </c>
      <c r="I2415">
        <v>29</v>
      </c>
      <c r="J2415">
        <v>1</v>
      </c>
      <c r="K2415" t="s">
        <v>8131</v>
      </c>
    </row>
    <row r="2416" spans="1:11" x14ac:dyDescent="0.25">
      <c r="A2416" t="s">
        <v>7988</v>
      </c>
      <c r="B2416" t="s">
        <v>115</v>
      </c>
      <c r="C2416" t="s">
        <v>7989</v>
      </c>
      <c r="D2416" t="s">
        <v>7990</v>
      </c>
      <c r="E2416" t="s">
        <v>14</v>
      </c>
      <c r="F2416" t="s">
        <v>15</v>
      </c>
      <c r="G2416">
        <v>15222</v>
      </c>
      <c r="H2416" t="s">
        <v>48</v>
      </c>
      <c r="I2416">
        <v>150</v>
      </c>
      <c r="J2416">
        <v>1</v>
      </c>
      <c r="K2416" t="s">
        <v>8131</v>
      </c>
    </row>
    <row r="2417" spans="1:11" x14ac:dyDescent="0.25">
      <c r="A2417" t="s">
        <v>7991</v>
      </c>
      <c r="B2417" t="s">
        <v>7992</v>
      </c>
      <c r="C2417" t="s">
        <v>2958</v>
      </c>
      <c r="D2417" t="s">
        <v>137</v>
      </c>
      <c r="E2417" t="s">
        <v>14</v>
      </c>
      <c r="F2417" t="s">
        <v>15</v>
      </c>
      <c r="G2417">
        <v>15217</v>
      </c>
      <c r="H2417" t="s">
        <v>48</v>
      </c>
      <c r="I2417">
        <v>259</v>
      </c>
      <c r="J2417">
        <v>1</v>
      </c>
      <c r="K2417" t="s">
        <v>8131</v>
      </c>
    </row>
    <row r="2418" spans="1:11" x14ac:dyDescent="0.25">
      <c r="A2418" t="s">
        <v>7993</v>
      </c>
      <c r="B2418" t="s">
        <v>7994</v>
      </c>
      <c r="C2418" t="s">
        <v>7995</v>
      </c>
      <c r="D2418" t="s">
        <v>91</v>
      </c>
      <c r="E2418" t="s">
        <v>14</v>
      </c>
      <c r="F2418" t="s">
        <v>15</v>
      </c>
      <c r="G2418">
        <v>15212</v>
      </c>
      <c r="H2418" t="s">
        <v>16</v>
      </c>
      <c r="I2418">
        <v>10</v>
      </c>
      <c r="J2418">
        <v>1</v>
      </c>
      <c r="K2418" t="s">
        <v>8131</v>
      </c>
    </row>
    <row r="2419" spans="1:11" x14ac:dyDescent="0.25">
      <c r="A2419" t="s">
        <v>7996</v>
      </c>
      <c r="B2419" t="s">
        <v>7997</v>
      </c>
      <c r="C2419" t="s">
        <v>7998</v>
      </c>
      <c r="D2419" t="s">
        <v>7999</v>
      </c>
      <c r="E2419" t="s">
        <v>14</v>
      </c>
      <c r="F2419" t="s">
        <v>15</v>
      </c>
      <c r="G2419">
        <v>15217</v>
      </c>
      <c r="H2419" t="s">
        <v>48</v>
      </c>
      <c r="I2419">
        <v>77</v>
      </c>
      <c r="J2419">
        <v>1</v>
      </c>
      <c r="K2419" t="s">
        <v>8131</v>
      </c>
    </row>
    <row r="2420" spans="1:11" x14ac:dyDescent="0.25">
      <c r="A2420" t="s">
        <v>8000</v>
      </c>
      <c r="B2420" t="s">
        <v>331</v>
      </c>
      <c r="C2420" t="s">
        <v>8001</v>
      </c>
      <c r="D2420" t="s">
        <v>8002</v>
      </c>
      <c r="E2420" t="s">
        <v>14</v>
      </c>
      <c r="F2420" t="s">
        <v>15</v>
      </c>
      <c r="G2420">
        <v>15234</v>
      </c>
      <c r="H2420" t="s">
        <v>16</v>
      </c>
      <c r="I2420">
        <v>36</v>
      </c>
      <c r="J2420">
        <v>1</v>
      </c>
      <c r="K2420" t="s">
        <v>8131</v>
      </c>
    </row>
    <row r="2421" spans="1:11" x14ac:dyDescent="0.25">
      <c r="A2421" t="s">
        <v>8003</v>
      </c>
      <c r="B2421" t="s">
        <v>8004</v>
      </c>
      <c r="C2421" t="s">
        <v>8005</v>
      </c>
      <c r="D2421" t="s">
        <v>8006</v>
      </c>
      <c r="E2421" t="s">
        <v>14</v>
      </c>
      <c r="F2421" t="s">
        <v>15</v>
      </c>
      <c r="G2421">
        <v>15222</v>
      </c>
      <c r="H2421" t="s">
        <v>48</v>
      </c>
      <c r="I2421">
        <v>24</v>
      </c>
      <c r="J2421">
        <v>0</v>
      </c>
      <c r="K2421" t="s">
        <v>8131</v>
      </c>
    </row>
    <row r="2422" spans="1:11" x14ac:dyDescent="0.25">
      <c r="A2422" t="s">
        <v>8007</v>
      </c>
      <c r="B2422" t="s">
        <v>8008</v>
      </c>
      <c r="C2422" t="s">
        <v>8009</v>
      </c>
      <c r="D2422" t="s">
        <v>8010</v>
      </c>
      <c r="E2422" t="s">
        <v>14</v>
      </c>
      <c r="F2422" t="s">
        <v>15</v>
      </c>
      <c r="G2422">
        <v>15216</v>
      </c>
      <c r="H2422" t="s">
        <v>16</v>
      </c>
      <c r="I2422">
        <v>89</v>
      </c>
      <c r="J2422">
        <v>1</v>
      </c>
      <c r="K2422" t="s">
        <v>8131</v>
      </c>
    </row>
    <row r="2423" spans="1:11" x14ac:dyDescent="0.25">
      <c r="A2423" t="s">
        <v>8011</v>
      </c>
      <c r="B2423" t="s">
        <v>8012</v>
      </c>
      <c r="C2423" t="s">
        <v>46</v>
      </c>
      <c r="D2423" t="s">
        <v>8013</v>
      </c>
      <c r="E2423" t="s">
        <v>14</v>
      </c>
      <c r="F2423" t="s">
        <v>15</v>
      </c>
      <c r="G2423">
        <v>15213</v>
      </c>
      <c r="H2423" t="s">
        <v>48</v>
      </c>
      <c r="I2423">
        <v>184</v>
      </c>
      <c r="J2423">
        <v>1</v>
      </c>
      <c r="K2423" t="s">
        <v>8131</v>
      </c>
    </row>
    <row r="2424" spans="1:11" x14ac:dyDescent="0.25">
      <c r="A2424" t="s">
        <v>8014</v>
      </c>
      <c r="B2424" t="s">
        <v>65</v>
      </c>
      <c r="C2424" t="s">
        <v>8015</v>
      </c>
      <c r="D2424" t="s">
        <v>137</v>
      </c>
      <c r="E2424" t="s">
        <v>14</v>
      </c>
      <c r="F2424" t="s">
        <v>15</v>
      </c>
      <c r="G2424">
        <v>15217</v>
      </c>
      <c r="H2424" t="s">
        <v>34</v>
      </c>
      <c r="I2424">
        <v>29</v>
      </c>
      <c r="J2424">
        <v>0</v>
      </c>
      <c r="K2424" t="s">
        <v>8131</v>
      </c>
    </row>
    <row r="2425" spans="1:11" x14ac:dyDescent="0.25">
      <c r="A2425" t="s">
        <v>8016</v>
      </c>
      <c r="B2425" t="s">
        <v>119</v>
      </c>
      <c r="C2425" t="s">
        <v>8017</v>
      </c>
      <c r="D2425" t="s">
        <v>8018</v>
      </c>
      <c r="E2425" t="s">
        <v>14</v>
      </c>
      <c r="F2425" t="s">
        <v>15</v>
      </c>
      <c r="G2425">
        <v>15224</v>
      </c>
      <c r="H2425" t="s">
        <v>48</v>
      </c>
      <c r="I2425">
        <v>77</v>
      </c>
      <c r="J2425">
        <v>1</v>
      </c>
      <c r="K2425" t="s">
        <v>8131</v>
      </c>
    </row>
    <row r="2426" spans="1:11" x14ac:dyDescent="0.25">
      <c r="A2426" t="s">
        <v>8019</v>
      </c>
      <c r="B2426" t="s">
        <v>8020</v>
      </c>
      <c r="C2426" t="s">
        <v>8021</v>
      </c>
      <c r="D2426" t="s">
        <v>1071</v>
      </c>
      <c r="E2426" t="s">
        <v>14</v>
      </c>
      <c r="F2426" t="s">
        <v>15</v>
      </c>
      <c r="G2426">
        <v>15237</v>
      </c>
      <c r="H2426" t="s">
        <v>16</v>
      </c>
      <c r="I2426">
        <v>102</v>
      </c>
      <c r="J2426">
        <v>0</v>
      </c>
      <c r="K2426" t="s">
        <v>8131</v>
      </c>
    </row>
    <row r="2427" spans="1:11" x14ac:dyDescent="0.25">
      <c r="A2427" t="s">
        <v>8022</v>
      </c>
      <c r="B2427" t="s">
        <v>2414</v>
      </c>
      <c r="C2427" t="s">
        <v>2415</v>
      </c>
      <c r="D2427" t="s">
        <v>8023</v>
      </c>
      <c r="E2427" t="s">
        <v>14</v>
      </c>
      <c r="F2427" t="s">
        <v>15</v>
      </c>
      <c r="G2427">
        <v>15216</v>
      </c>
      <c r="H2427" t="s">
        <v>48</v>
      </c>
      <c r="I2427">
        <v>16</v>
      </c>
      <c r="J2427">
        <v>1</v>
      </c>
      <c r="K2427" t="s">
        <v>8131</v>
      </c>
    </row>
    <row r="2428" spans="1:11" x14ac:dyDescent="0.25">
      <c r="A2428" t="s">
        <v>8024</v>
      </c>
      <c r="B2428" t="s">
        <v>8025</v>
      </c>
      <c r="C2428" t="s">
        <v>8026</v>
      </c>
      <c r="D2428" t="s">
        <v>8027</v>
      </c>
      <c r="E2428" t="s">
        <v>14</v>
      </c>
      <c r="F2428" t="s">
        <v>15</v>
      </c>
      <c r="G2428">
        <v>15203</v>
      </c>
      <c r="H2428" t="s">
        <v>43</v>
      </c>
      <c r="I2428">
        <v>19</v>
      </c>
      <c r="J2428">
        <v>0</v>
      </c>
      <c r="K2428" t="s">
        <v>8131</v>
      </c>
    </row>
    <row r="2429" spans="1:11" x14ac:dyDescent="0.25">
      <c r="A2429" t="s">
        <v>8028</v>
      </c>
      <c r="B2429" t="s">
        <v>36</v>
      </c>
      <c r="C2429" t="s">
        <v>8029</v>
      </c>
      <c r="D2429" t="s">
        <v>8030</v>
      </c>
      <c r="E2429" t="s">
        <v>14</v>
      </c>
      <c r="F2429" t="s">
        <v>15</v>
      </c>
      <c r="G2429">
        <v>15201</v>
      </c>
      <c r="H2429" t="s">
        <v>43</v>
      </c>
      <c r="I2429">
        <v>6</v>
      </c>
      <c r="J2429">
        <v>1</v>
      </c>
      <c r="K2429" t="s">
        <v>8131</v>
      </c>
    </row>
    <row r="2430" spans="1:11" x14ac:dyDescent="0.25">
      <c r="A2430" t="s">
        <v>8031</v>
      </c>
      <c r="B2430" t="s">
        <v>1384</v>
      </c>
      <c r="C2430" t="s">
        <v>8032</v>
      </c>
      <c r="D2430" t="s">
        <v>8033</v>
      </c>
      <c r="E2430" t="s">
        <v>14</v>
      </c>
      <c r="F2430" t="s">
        <v>15</v>
      </c>
      <c r="G2430">
        <v>15222</v>
      </c>
      <c r="H2430" t="s">
        <v>48</v>
      </c>
      <c r="I2430">
        <v>19</v>
      </c>
      <c r="J2430">
        <v>0</v>
      </c>
      <c r="K2430" t="s">
        <v>8131</v>
      </c>
    </row>
    <row r="2431" spans="1:11" x14ac:dyDescent="0.25">
      <c r="A2431" t="s">
        <v>8034</v>
      </c>
      <c r="B2431" t="s">
        <v>8035</v>
      </c>
      <c r="C2431" t="s">
        <v>8036</v>
      </c>
      <c r="D2431" t="s">
        <v>1196</v>
      </c>
      <c r="E2431" t="s">
        <v>14</v>
      </c>
      <c r="F2431" t="s">
        <v>15</v>
      </c>
      <c r="G2431">
        <v>15201</v>
      </c>
      <c r="H2431" t="s">
        <v>48</v>
      </c>
      <c r="I2431">
        <v>60</v>
      </c>
      <c r="J2431">
        <v>1</v>
      </c>
      <c r="K2431" t="s">
        <v>8131</v>
      </c>
    </row>
    <row r="2432" spans="1:11" x14ac:dyDescent="0.25">
      <c r="A2432" t="s">
        <v>8037</v>
      </c>
      <c r="B2432" t="s">
        <v>8038</v>
      </c>
      <c r="C2432" t="s">
        <v>8039</v>
      </c>
      <c r="D2432" t="s">
        <v>1809</v>
      </c>
      <c r="E2432" t="s">
        <v>14</v>
      </c>
      <c r="F2432" t="s">
        <v>15</v>
      </c>
      <c r="G2432">
        <v>15201</v>
      </c>
      <c r="H2432" t="s">
        <v>34</v>
      </c>
      <c r="I2432">
        <v>35</v>
      </c>
      <c r="J2432">
        <v>0</v>
      </c>
      <c r="K2432" t="s">
        <v>8131</v>
      </c>
    </row>
    <row r="2433" spans="1:11" x14ac:dyDescent="0.25">
      <c r="A2433" t="s">
        <v>8040</v>
      </c>
      <c r="B2433" t="s">
        <v>8041</v>
      </c>
      <c r="C2433" t="s">
        <v>8042</v>
      </c>
      <c r="D2433" t="s">
        <v>8043</v>
      </c>
      <c r="E2433" t="s">
        <v>14</v>
      </c>
      <c r="F2433" t="s">
        <v>15</v>
      </c>
      <c r="G2433">
        <v>15213</v>
      </c>
      <c r="H2433" t="s">
        <v>16</v>
      </c>
      <c r="I2433">
        <v>6</v>
      </c>
      <c r="J2433">
        <v>0</v>
      </c>
      <c r="K2433" t="s">
        <v>8131</v>
      </c>
    </row>
    <row r="2434" spans="1:11" x14ac:dyDescent="0.25">
      <c r="A2434" t="s">
        <v>8044</v>
      </c>
      <c r="B2434" t="s">
        <v>8045</v>
      </c>
      <c r="C2434" t="s">
        <v>8046</v>
      </c>
      <c r="D2434" t="s">
        <v>1660</v>
      </c>
      <c r="E2434" t="s">
        <v>14</v>
      </c>
      <c r="F2434" t="s">
        <v>15</v>
      </c>
      <c r="G2434">
        <v>15201</v>
      </c>
      <c r="H2434" t="s">
        <v>34</v>
      </c>
      <c r="I2434">
        <v>84</v>
      </c>
      <c r="J2434">
        <v>1</v>
      </c>
      <c r="K2434" t="s">
        <v>8131</v>
      </c>
    </row>
    <row r="2435" spans="1:11" x14ac:dyDescent="0.25">
      <c r="A2435" t="s">
        <v>8047</v>
      </c>
      <c r="B2435" t="s">
        <v>8048</v>
      </c>
      <c r="C2435" t="s">
        <v>942</v>
      </c>
      <c r="D2435" t="s">
        <v>8049</v>
      </c>
      <c r="E2435" t="s">
        <v>14</v>
      </c>
      <c r="F2435" t="s">
        <v>15</v>
      </c>
      <c r="G2435">
        <v>15212</v>
      </c>
      <c r="H2435" t="s">
        <v>34</v>
      </c>
      <c r="I2435">
        <v>6</v>
      </c>
      <c r="J2435">
        <v>1</v>
      </c>
      <c r="K2435" t="s">
        <v>8131</v>
      </c>
    </row>
    <row r="2436" spans="1:11" x14ac:dyDescent="0.25">
      <c r="A2436" t="s">
        <v>8050</v>
      </c>
      <c r="B2436" t="s">
        <v>8051</v>
      </c>
      <c r="C2436" t="s">
        <v>8052</v>
      </c>
      <c r="D2436" t="s">
        <v>8053</v>
      </c>
      <c r="E2436" t="s">
        <v>14</v>
      </c>
      <c r="F2436" t="s">
        <v>15</v>
      </c>
      <c r="G2436">
        <v>15201</v>
      </c>
      <c r="H2436" t="s">
        <v>21</v>
      </c>
      <c r="I2436">
        <v>196</v>
      </c>
      <c r="J2436">
        <v>1</v>
      </c>
      <c r="K2436" t="s">
        <v>8131</v>
      </c>
    </row>
    <row r="2437" spans="1:11" x14ac:dyDescent="0.25">
      <c r="A2437" t="s">
        <v>8054</v>
      </c>
      <c r="B2437" t="s">
        <v>8055</v>
      </c>
      <c r="C2437" t="s">
        <v>622</v>
      </c>
      <c r="D2437" t="s">
        <v>8056</v>
      </c>
      <c r="E2437" t="s">
        <v>14</v>
      </c>
      <c r="F2437" t="s">
        <v>15</v>
      </c>
      <c r="G2437">
        <v>15221</v>
      </c>
      <c r="H2437" t="s">
        <v>113</v>
      </c>
      <c r="I2437">
        <v>8</v>
      </c>
      <c r="J2437">
        <v>1</v>
      </c>
      <c r="K2437" t="s">
        <v>8131</v>
      </c>
    </row>
    <row r="2438" spans="1:11" x14ac:dyDescent="0.25">
      <c r="A2438" t="s">
        <v>8057</v>
      </c>
      <c r="B2438" t="s">
        <v>1707</v>
      </c>
      <c r="C2438" t="s">
        <v>8058</v>
      </c>
      <c r="D2438" t="s">
        <v>8059</v>
      </c>
      <c r="E2438" t="s">
        <v>14</v>
      </c>
      <c r="F2438" t="s">
        <v>15</v>
      </c>
      <c r="G2438">
        <v>15206</v>
      </c>
      <c r="H2438" t="s">
        <v>43</v>
      </c>
      <c r="I2438">
        <v>7</v>
      </c>
      <c r="J2438">
        <v>1</v>
      </c>
      <c r="K2438" t="s">
        <v>8131</v>
      </c>
    </row>
    <row r="2439" spans="1:11" x14ac:dyDescent="0.25">
      <c r="A2439" t="s">
        <v>8060</v>
      </c>
      <c r="B2439" t="s">
        <v>8061</v>
      </c>
      <c r="C2439" t="s">
        <v>8062</v>
      </c>
      <c r="D2439" t="s">
        <v>179</v>
      </c>
      <c r="E2439" t="s">
        <v>14</v>
      </c>
      <c r="F2439" t="s">
        <v>15</v>
      </c>
      <c r="G2439">
        <v>15205</v>
      </c>
      <c r="H2439" t="s">
        <v>16</v>
      </c>
      <c r="I2439">
        <v>118</v>
      </c>
      <c r="J2439">
        <v>1</v>
      </c>
      <c r="K2439" t="s">
        <v>8131</v>
      </c>
    </row>
    <row r="2440" spans="1:11" x14ac:dyDescent="0.25">
      <c r="A2440" t="s">
        <v>8063</v>
      </c>
      <c r="B2440" t="s">
        <v>578</v>
      </c>
      <c r="C2440" t="s">
        <v>8064</v>
      </c>
      <c r="D2440" t="s">
        <v>8065</v>
      </c>
      <c r="E2440" t="s">
        <v>14</v>
      </c>
      <c r="F2440" t="s">
        <v>15</v>
      </c>
      <c r="G2440">
        <v>15237</v>
      </c>
      <c r="H2440" t="s">
        <v>34</v>
      </c>
      <c r="I2440">
        <v>23</v>
      </c>
      <c r="J2440">
        <v>1</v>
      </c>
      <c r="K2440" t="s">
        <v>8131</v>
      </c>
    </row>
    <row r="2441" spans="1:11" x14ac:dyDescent="0.25">
      <c r="A2441" t="s">
        <v>8066</v>
      </c>
      <c r="B2441" t="s">
        <v>8067</v>
      </c>
      <c r="C2441" t="s">
        <v>8068</v>
      </c>
      <c r="D2441" t="s">
        <v>8069</v>
      </c>
      <c r="E2441" t="s">
        <v>14</v>
      </c>
      <c r="F2441" t="s">
        <v>15</v>
      </c>
      <c r="G2441">
        <v>15201</v>
      </c>
      <c r="H2441" t="s">
        <v>21</v>
      </c>
      <c r="I2441">
        <v>34</v>
      </c>
      <c r="J2441">
        <v>1</v>
      </c>
      <c r="K2441" t="s">
        <v>8131</v>
      </c>
    </row>
    <row r="2442" spans="1:11" x14ac:dyDescent="0.25">
      <c r="A2442" t="s">
        <v>8070</v>
      </c>
      <c r="B2442" t="s">
        <v>8071</v>
      </c>
      <c r="C2442" t="s">
        <v>622</v>
      </c>
      <c r="D2442" t="s">
        <v>3983</v>
      </c>
      <c r="E2442" t="s">
        <v>14</v>
      </c>
      <c r="F2442" t="s">
        <v>15</v>
      </c>
      <c r="G2442">
        <v>15220</v>
      </c>
      <c r="H2442" t="s">
        <v>34</v>
      </c>
      <c r="I2442">
        <v>11</v>
      </c>
      <c r="J2442">
        <v>1</v>
      </c>
      <c r="K2442" t="s">
        <v>8131</v>
      </c>
    </row>
    <row r="2443" spans="1:11" x14ac:dyDescent="0.25">
      <c r="A2443" t="s">
        <v>8072</v>
      </c>
      <c r="B2443" t="s">
        <v>8073</v>
      </c>
      <c r="C2443" t="s">
        <v>2065</v>
      </c>
      <c r="D2443" t="s">
        <v>8074</v>
      </c>
      <c r="E2443" t="s">
        <v>14</v>
      </c>
      <c r="F2443" t="s">
        <v>15</v>
      </c>
      <c r="G2443">
        <v>15237</v>
      </c>
      <c r="H2443" t="s">
        <v>113</v>
      </c>
      <c r="I2443">
        <v>29</v>
      </c>
      <c r="J2443">
        <v>1</v>
      </c>
      <c r="K2443" t="s">
        <v>8131</v>
      </c>
    </row>
    <row r="2444" spans="1:11" x14ac:dyDescent="0.25">
      <c r="A2444" t="s">
        <v>8075</v>
      </c>
      <c r="B2444" t="s">
        <v>8076</v>
      </c>
      <c r="C2444" t="s">
        <v>8077</v>
      </c>
      <c r="D2444" t="s">
        <v>8078</v>
      </c>
      <c r="E2444" t="s">
        <v>14</v>
      </c>
      <c r="F2444" t="s">
        <v>15</v>
      </c>
      <c r="G2444">
        <v>15203</v>
      </c>
      <c r="H2444" t="s">
        <v>16</v>
      </c>
      <c r="I2444">
        <v>256</v>
      </c>
      <c r="J2444">
        <v>1</v>
      </c>
      <c r="K2444" t="s">
        <v>8131</v>
      </c>
    </row>
    <row r="2445" spans="1:11" x14ac:dyDescent="0.25">
      <c r="A2445" t="s">
        <v>8079</v>
      </c>
      <c r="B2445" t="s">
        <v>8080</v>
      </c>
      <c r="C2445" t="s">
        <v>8081</v>
      </c>
      <c r="D2445" t="s">
        <v>8082</v>
      </c>
      <c r="E2445" t="s">
        <v>14</v>
      </c>
      <c r="F2445" t="s">
        <v>15</v>
      </c>
      <c r="G2445">
        <v>15224</v>
      </c>
      <c r="H2445" t="s">
        <v>21</v>
      </c>
      <c r="I2445">
        <v>38</v>
      </c>
      <c r="J2445">
        <v>1</v>
      </c>
      <c r="K2445" t="s">
        <v>8131</v>
      </c>
    </row>
    <row r="2446" spans="1:11" x14ac:dyDescent="0.25">
      <c r="A2446" t="s">
        <v>8083</v>
      </c>
      <c r="B2446" t="s">
        <v>8084</v>
      </c>
      <c r="C2446" t="s">
        <v>8085</v>
      </c>
      <c r="D2446" t="s">
        <v>8086</v>
      </c>
      <c r="E2446" t="s">
        <v>14</v>
      </c>
      <c r="F2446" t="s">
        <v>15</v>
      </c>
      <c r="G2446">
        <v>15213</v>
      </c>
      <c r="H2446" t="s">
        <v>43</v>
      </c>
      <c r="I2446">
        <v>32</v>
      </c>
      <c r="J2446">
        <v>1</v>
      </c>
      <c r="K2446" t="s">
        <v>8131</v>
      </c>
    </row>
    <row r="2447" spans="1:11" x14ac:dyDescent="0.25">
      <c r="A2447" t="s">
        <v>8087</v>
      </c>
      <c r="B2447" t="s">
        <v>8088</v>
      </c>
      <c r="C2447" t="s">
        <v>8089</v>
      </c>
      <c r="D2447" t="s">
        <v>8090</v>
      </c>
      <c r="E2447" t="s">
        <v>14</v>
      </c>
      <c r="F2447" t="s">
        <v>15</v>
      </c>
      <c r="G2447">
        <v>15222</v>
      </c>
      <c r="H2447" t="s">
        <v>16</v>
      </c>
      <c r="I2447">
        <v>83</v>
      </c>
      <c r="J2447">
        <v>1</v>
      </c>
      <c r="K2447" t="s">
        <v>8131</v>
      </c>
    </row>
    <row r="2448" spans="1:11" x14ac:dyDescent="0.25">
      <c r="A2448" t="s">
        <v>8091</v>
      </c>
      <c r="B2448" t="s">
        <v>8092</v>
      </c>
      <c r="C2448" t="s">
        <v>8093</v>
      </c>
      <c r="D2448" t="s">
        <v>8094</v>
      </c>
      <c r="E2448" t="s">
        <v>14</v>
      </c>
      <c r="F2448" t="s">
        <v>15</v>
      </c>
      <c r="G2448">
        <v>15203</v>
      </c>
      <c r="H2448" t="s">
        <v>16</v>
      </c>
      <c r="I2448">
        <v>131</v>
      </c>
      <c r="J2448">
        <v>1</v>
      </c>
      <c r="K2448" t="s">
        <v>8131</v>
      </c>
    </row>
    <row r="2449" spans="1:11" x14ac:dyDescent="0.25">
      <c r="A2449" t="s">
        <v>8095</v>
      </c>
      <c r="B2449" t="s">
        <v>1664</v>
      </c>
      <c r="C2449" t="s">
        <v>8096</v>
      </c>
      <c r="D2449" t="s">
        <v>8097</v>
      </c>
      <c r="E2449" t="s">
        <v>14</v>
      </c>
      <c r="F2449" t="s">
        <v>15</v>
      </c>
      <c r="G2449">
        <v>15219</v>
      </c>
      <c r="H2449" t="s">
        <v>92</v>
      </c>
      <c r="I2449">
        <v>6</v>
      </c>
      <c r="J2449">
        <v>1</v>
      </c>
      <c r="K2449" t="s">
        <v>8131</v>
      </c>
    </row>
    <row r="2450" spans="1:11" x14ac:dyDescent="0.25">
      <c r="A2450" t="s">
        <v>8098</v>
      </c>
      <c r="B2450" t="s">
        <v>8099</v>
      </c>
      <c r="C2450" t="s">
        <v>8100</v>
      </c>
      <c r="D2450" t="s">
        <v>979</v>
      </c>
      <c r="E2450" t="s">
        <v>14</v>
      </c>
      <c r="F2450" t="s">
        <v>15</v>
      </c>
      <c r="G2450">
        <v>15222</v>
      </c>
      <c r="H2450" t="s">
        <v>16</v>
      </c>
      <c r="I2450">
        <v>13</v>
      </c>
      <c r="J2450">
        <v>0</v>
      </c>
      <c r="K2450" t="s">
        <v>8131</v>
      </c>
    </row>
    <row r="2451" spans="1:11" x14ac:dyDescent="0.25">
      <c r="A2451" t="s">
        <v>8101</v>
      </c>
      <c r="B2451" t="s">
        <v>708</v>
      </c>
      <c r="C2451" t="s">
        <v>8089</v>
      </c>
      <c r="D2451" t="s">
        <v>8102</v>
      </c>
      <c r="E2451" t="s">
        <v>14</v>
      </c>
      <c r="F2451" t="s">
        <v>15</v>
      </c>
      <c r="G2451">
        <v>15205</v>
      </c>
      <c r="H2451" t="s">
        <v>16</v>
      </c>
      <c r="I2451">
        <v>35</v>
      </c>
      <c r="J2451">
        <v>1</v>
      </c>
      <c r="K2451" t="s">
        <v>8131</v>
      </c>
    </row>
    <row r="2452" spans="1:11" x14ac:dyDescent="0.25">
      <c r="A2452" t="s">
        <v>8103</v>
      </c>
      <c r="B2452" t="s">
        <v>5031</v>
      </c>
      <c r="C2452" t="s">
        <v>8104</v>
      </c>
      <c r="D2452" t="s">
        <v>3067</v>
      </c>
      <c r="E2452" t="s">
        <v>14</v>
      </c>
      <c r="F2452" t="s">
        <v>15</v>
      </c>
      <c r="G2452">
        <v>15217</v>
      </c>
      <c r="H2452" t="s">
        <v>48</v>
      </c>
      <c r="I2452">
        <v>37</v>
      </c>
      <c r="J2452">
        <v>0</v>
      </c>
      <c r="K2452" t="s">
        <v>8131</v>
      </c>
    </row>
    <row r="2453" spans="1:11" x14ac:dyDescent="0.25">
      <c r="A2453" t="s">
        <v>8105</v>
      </c>
      <c r="B2453" t="s">
        <v>8106</v>
      </c>
      <c r="C2453" t="s">
        <v>8107</v>
      </c>
      <c r="D2453" t="s">
        <v>7132</v>
      </c>
      <c r="E2453" t="s">
        <v>14</v>
      </c>
      <c r="F2453" t="s">
        <v>15</v>
      </c>
      <c r="G2453">
        <v>15203</v>
      </c>
      <c r="H2453" t="s">
        <v>34</v>
      </c>
      <c r="I2453">
        <v>6</v>
      </c>
      <c r="J2453">
        <v>0</v>
      </c>
      <c r="K2453" t="s">
        <v>8131</v>
      </c>
    </row>
    <row r="2454" spans="1:11" x14ac:dyDescent="0.25">
      <c r="A2454" t="s">
        <v>8108</v>
      </c>
      <c r="B2454" t="s">
        <v>945</v>
      </c>
      <c r="C2454" t="s">
        <v>2013</v>
      </c>
      <c r="D2454" t="s">
        <v>8109</v>
      </c>
      <c r="E2454" t="s">
        <v>14</v>
      </c>
      <c r="F2454" t="s">
        <v>15</v>
      </c>
      <c r="G2454">
        <v>15236</v>
      </c>
      <c r="H2454" t="s">
        <v>48</v>
      </c>
      <c r="I2454">
        <v>5</v>
      </c>
      <c r="J2454">
        <v>1</v>
      </c>
      <c r="K2454" t="s">
        <v>8131</v>
      </c>
    </row>
    <row r="2455" spans="1:11" x14ac:dyDescent="0.25">
      <c r="A2455" t="s">
        <v>8110</v>
      </c>
      <c r="B2455" t="s">
        <v>8111</v>
      </c>
      <c r="C2455" t="s">
        <v>8112</v>
      </c>
      <c r="D2455" t="s">
        <v>8113</v>
      </c>
      <c r="E2455" t="s">
        <v>14</v>
      </c>
      <c r="F2455" t="s">
        <v>15</v>
      </c>
      <c r="G2455">
        <v>15243</v>
      </c>
      <c r="H2455" t="s">
        <v>16</v>
      </c>
      <c r="I2455">
        <v>64</v>
      </c>
      <c r="J2455">
        <v>1</v>
      </c>
      <c r="K2455" t="s">
        <v>8131</v>
      </c>
    </row>
    <row r="2456" spans="1:11" x14ac:dyDescent="0.25">
      <c r="A2456" t="s">
        <v>8114</v>
      </c>
      <c r="B2456" t="s">
        <v>8115</v>
      </c>
      <c r="C2456" t="s">
        <v>4157</v>
      </c>
      <c r="D2456" t="s">
        <v>8116</v>
      </c>
      <c r="E2456" t="s">
        <v>14</v>
      </c>
      <c r="F2456" t="s">
        <v>15</v>
      </c>
      <c r="G2456">
        <v>15238</v>
      </c>
      <c r="H2456" t="s">
        <v>43</v>
      </c>
      <c r="I2456">
        <v>39</v>
      </c>
      <c r="J2456">
        <v>1</v>
      </c>
      <c r="K2456" t="s">
        <v>8131</v>
      </c>
    </row>
  </sheetData>
  <autoFilter ref="A1:K2456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Pittsburgh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Voto</dc:creator>
  <cp:lastModifiedBy>Pedro Voto</cp:lastModifiedBy>
  <dcterms:created xsi:type="dcterms:W3CDTF">2019-12-02T01:20:20Z</dcterms:created>
  <dcterms:modified xsi:type="dcterms:W3CDTF">2019-12-07T00:49:48Z</dcterms:modified>
</cp:coreProperties>
</file>